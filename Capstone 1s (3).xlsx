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5F47C5BC-8301-4732-9F1C-02336553E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Report" sheetId="1" r:id="rId1"/>
    <sheet name="Data Descriptors" sheetId="2" r:id="rId2"/>
    <sheet name="Graphs and Charts" sheetId="3" r:id="rId3"/>
    <sheet name="Statistical Test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<sst xmlns="http://schemas.openxmlformats.org/spreadsheetml/2006/main" count="264" uniqueCount="94">
  <si>
    <r>
      <t>Ln(VALUE) = β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AGE1 + β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Metro + β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Northeast</t>
    </r>
    <r>
      <rPr>
        <b/>
        <sz val="11"/>
        <color theme="1"/>
        <rFont val="Calibri"/>
        <family val="2"/>
        <scheme val="minor"/>
      </rPr>
      <t xml:space="preserve">  + β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Midwest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South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Ln(LMED) + β</t>
    </r>
    <r>
      <rPr>
        <b/>
        <vertAlign val="subscript"/>
        <sz val="11"/>
        <color theme="1"/>
        <rFont val="Calibri"/>
        <family val="2"/>
        <scheme val="minor"/>
      </rPr>
      <t>7</t>
    </r>
    <r>
      <rPr>
        <b/>
        <sz val="11"/>
        <color theme="1"/>
        <rFont val="Calibri"/>
        <family val="2"/>
        <scheme val="minor"/>
      </rPr>
      <t>Ln(FMR) + β</t>
    </r>
    <r>
      <rPr>
        <b/>
        <vertAlign val="subscript"/>
        <sz val="11"/>
        <color theme="1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BEDRMS + β</t>
    </r>
    <r>
      <rPr>
        <b/>
        <vertAlign val="subscript"/>
        <sz val="11"/>
        <color theme="1"/>
        <rFont val="Calibri"/>
        <family val="2"/>
        <scheme val="minor"/>
      </rPr>
      <t>9</t>
    </r>
    <r>
      <rPr>
        <b/>
        <sz val="11"/>
        <color theme="1"/>
        <rFont val="Calibri"/>
        <family val="2"/>
        <scheme val="minor"/>
      </rPr>
      <t>BUILT + β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ROOMS + β</t>
    </r>
    <r>
      <rPr>
        <b/>
        <vertAlign val="subscript"/>
        <sz val="11"/>
        <color theme="1"/>
        <rFont val="Calibri"/>
        <family val="2"/>
        <scheme val="minor"/>
      </rPr>
      <t>11</t>
    </r>
    <r>
      <rPr>
        <b/>
        <sz val="11"/>
        <color theme="1"/>
        <rFont val="Calibri"/>
        <family val="2"/>
        <scheme val="minor"/>
      </rPr>
      <t>PER + β</t>
    </r>
    <r>
      <rPr>
        <b/>
        <vertAlign val="subscript"/>
        <sz val="11"/>
        <color theme="1"/>
        <rFont val="Calibri"/>
        <family val="2"/>
        <scheme val="minor"/>
      </rPr>
      <t>12</t>
    </r>
    <r>
      <rPr>
        <b/>
        <sz val="11"/>
        <color theme="1"/>
        <rFont val="Calibri"/>
        <family val="2"/>
        <scheme val="minor"/>
      </rPr>
      <t>Ln(ZINC2) + β</t>
    </r>
    <r>
      <rPr>
        <b/>
        <vertAlign val="sub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Adequate + β</t>
    </r>
    <r>
      <rPr>
        <b/>
        <vertAlign val="sub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Ln(UTILITY) + β</t>
    </r>
    <r>
      <rPr>
        <b/>
        <vertAlign val="sub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Ln(OTHERCOST)</t>
    </r>
  </si>
  <si>
    <t>Note: 'Metro' is a dummy variable = 1 when METRO3 variable is = '1', otherwise it is =0</t>
  </si>
  <si>
    <t>Note: 'Northeast', Midwest' and 'South' are dummy variables for the categorical variable REGION</t>
  </si>
  <si>
    <t>Note: 'Adequate' is a dummy variable =1 when the categorical variable ZADEQ is ='1', otherwise it is =0</t>
  </si>
  <si>
    <t>Note: This regression also takes a logarithmic transformation of many of the 'X' variables</t>
  </si>
  <si>
    <t xml:space="preserve"> 'Metro' is a dummy variable = 1 when METRO3 variable is = '1', otherwise it is =0</t>
  </si>
  <si>
    <t>Northeast', Midwest' and 'South' are dummy variables for the categorical variable REGION</t>
  </si>
  <si>
    <t>Regression 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</si>
  <si>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</si>
  <si>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</si>
  <si>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</si>
  <si>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</si>
  <si>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</si>
  <si>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</si>
  <si>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</si>
  <si>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 xml:space="preserve">Regression 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</si>
  <si>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</si>
  <si>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</si>
  <si>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</si>
  <si>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</si>
  <si>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</si>
  <si>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</si>
  <si>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</si>
  <si>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</si>
  <si>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</si>
  <si>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</si>
  <si>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</si>
  <si>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</si>
  <si>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</si>
  <si>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</si>
  <si>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</si>
  <si>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</si>
  <si>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</si>
  <si>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r>
      <t>β</t>
    </r>
    <r>
      <rPr>
        <vertAlign val="subscript"/>
        <sz val="11"/>
        <color rgb="FF000000"/>
        <rFont val="Arial"/>
        <family val="2"/>
      </rPr>
      <t>1</t>
    </r>
  </si>
  <si>
    <t>AGE1</t>
  </si>
  <si>
    <r>
      <t>β</t>
    </r>
    <r>
      <rPr>
        <vertAlign val="subscript"/>
        <sz val="11"/>
        <color rgb="FF000000"/>
        <rFont val="Arial"/>
        <family val="2"/>
      </rPr>
      <t>2</t>
    </r>
  </si>
  <si>
    <t>Metro</t>
  </si>
  <si>
    <r>
      <t>β</t>
    </r>
    <r>
      <rPr>
        <vertAlign val="subscript"/>
        <sz val="11"/>
        <color rgb="FF000000"/>
        <rFont val="Arial"/>
        <family val="2"/>
      </rPr>
      <t>3</t>
    </r>
  </si>
  <si>
    <t>Northeast</t>
  </si>
  <si>
    <r>
      <t>β</t>
    </r>
    <r>
      <rPr>
        <vertAlign val="subscript"/>
        <sz val="11"/>
        <color rgb="FF000000"/>
        <rFont val="Arial"/>
        <family val="2"/>
      </rPr>
      <t>4</t>
    </r>
  </si>
  <si>
    <t>Midwest</t>
  </si>
  <si>
    <r>
      <t>β</t>
    </r>
    <r>
      <rPr>
        <vertAlign val="subscript"/>
        <sz val="11"/>
        <color rgb="FF000000"/>
        <rFont val="Arial"/>
        <family val="2"/>
      </rPr>
      <t>5</t>
    </r>
    <r>
      <rPr>
        <sz val="11"/>
        <color rgb="FF000000"/>
        <rFont val="Arial"/>
        <family val="2"/>
      </rPr>
      <t xml:space="preserve"> </t>
    </r>
  </si>
  <si>
    <t>South</t>
  </si>
  <si>
    <r>
      <t>β</t>
    </r>
    <r>
      <rPr>
        <vertAlign val="subscript"/>
        <sz val="11"/>
        <color rgb="FF000000"/>
        <rFont val="Arial"/>
        <family val="2"/>
      </rPr>
      <t>6</t>
    </r>
  </si>
  <si>
    <t>Ln(LMED)</t>
  </si>
  <si>
    <r>
      <t>β</t>
    </r>
    <r>
      <rPr>
        <vertAlign val="subscript"/>
        <sz val="11"/>
        <color rgb="FF000000"/>
        <rFont val="Arial"/>
        <family val="2"/>
      </rPr>
      <t>7</t>
    </r>
  </si>
  <si>
    <t>Ln(FMR)</t>
  </si>
  <si>
    <r>
      <t>β</t>
    </r>
    <r>
      <rPr>
        <vertAlign val="subscript"/>
        <sz val="11"/>
        <color rgb="FF000000"/>
        <rFont val="Arial"/>
        <family val="2"/>
      </rPr>
      <t>8</t>
    </r>
  </si>
  <si>
    <t>BEDRMS</t>
  </si>
  <si>
    <r>
      <t>β</t>
    </r>
    <r>
      <rPr>
        <vertAlign val="subscript"/>
        <sz val="11"/>
        <color rgb="FF000000"/>
        <rFont val="Arial"/>
        <family val="2"/>
      </rPr>
      <t>9</t>
    </r>
  </si>
  <si>
    <t>BUILT</t>
  </si>
  <si>
    <r>
      <t>β</t>
    </r>
    <r>
      <rPr>
        <vertAlign val="subscript"/>
        <sz val="11"/>
        <color rgb="FF000000"/>
        <rFont val="Arial"/>
        <family val="2"/>
      </rPr>
      <t>10</t>
    </r>
  </si>
  <si>
    <t>ROOMS</t>
  </si>
  <si>
    <r>
      <t>β</t>
    </r>
    <r>
      <rPr>
        <vertAlign val="subscript"/>
        <sz val="11"/>
        <color rgb="FF000000"/>
        <rFont val="Arial"/>
        <family val="2"/>
      </rPr>
      <t>11</t>
    </r>
  </si>
  <si>
    <t>PER</t>
  </si>
  <si>
    <r>
      <t>β</t>
    </r>
    <r>
      <rPr>
        <vertAlign val="subscript"/>
        <sz val="11"/>
        <color rgb="FF000000"/>
        <rFont val="Arial"/>
        <family val="2"/>
      </rPr>
      <t>12</t>
    </r>
  </si>
  <si>
    <t>Ln(ZINC2)</t>
  </si>
  <si>
    <r>
      <t>β</t>
    </r>
    <r>
      <rPr>
        <vertAlign val="subscript"/>
        <sz val="11"/>
        <color rgb="FF000000"/>
        <rFont val="Arial"/>
        <family val="2"/>
      </rPr>
      <t>13</t>
    </r>
  </si>
  <si>
    <t>Adequate</t>
  </si>
  <si>
    <r>
      <t>β</t>
    </r>
    <r>
      <rPr>
        <vertAlign val="subscript"/>
        <sz val="11"/>
        <color rgb="FF000000"/>
        <rFont val="Arial"/>
        <family val="2"/>
      </rPr>
      <t>14</t>
    </r>
  </si>
  <si>
    <t>Ln(UTILITY)</t>
  </si>
  <si>
    <r>
      <t>β</t>
    </r>
    <r>
      <rPr>
        <vertAlign val="subscript"/>
        <sz val="11"/>
        <color rgb="FF000000"/>
        <rFont val="Arial"/>
        <family val="2"/>
      </rPr>
      <t>15</t>
    </r>
  </si>
  <si>
    <t>Ln(OTHERCOST)</t>
  </si>
  <si>
    <t>Regression 1a and 1b</t>
  </si>
  <si>
    <t>VALUE</t>
  </si>
  <si>
    <t>Ln(Value)</t>
  </si>
  <si>
    <t>LMED</t>
  </si>
  <si>
    <t>FMR</t>
  </si>
  <si>
    <t>ZINC2</t>
  </si>
  <si>
    <t>UTILITY</t>
  </si>
  <si>
    <t>OTHERCOST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</si>
  <si>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</si>
  <si>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</si>
  <si>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</si>
  <si>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</si>
  <si>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</si>
  <si>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</si>
  <si>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</si>
  <si>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</si>
  <si>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</si>
  <si>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</si>
  <si>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</si>
  <si>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</si>
  <si>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</si>
  <si>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Frequency</t>
  </si>
  <si>
    <t>More</t>
  </si>
  <si>
    <t>Distribution of Market Value ('VALUE') of Housing Units (Year 2013)</t>
  </si>
  <si>
    <t>Regression 1a</t>
  </si>
  <si>
    <r>
      <t>VALUE = β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AGE1 + β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Metro + β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Northeast</t>
    </r>
    <r>
      <rPr>
        <b/>
        <sz val="11"/>
        <color theme="1"/>
        <rFont val="Calibri"/>
        <family val="2"/>
        <scheme val="minor"/>
      </rPr>
      <t xml:space="preserve">  + β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Midwest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South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LMED + β</t>
    </r>
    <r>
      <rPr>
        <b/>
        <vertAlign val="subscript"/>
        <sz val="11"/>
        <color theme="1"/>
        <rFont val="Calibri"/>
        <family val="2"/>
        <scheme val="minor"/>
      </rPr>
      <t>7</t>
    </r>
    <r>
      <rPr>
        <b/>
        <sz val="11"/>
        <color theme="1"/>
        <rFont val="Calibri"/>
        <family val="2"/>
        <scheme val="minor"/>
      </rPr>
      <t>FMR + β</t>
    </r>
    <r>
      <rPr>
        <b/>
        <vertAlign val="subscript"/>
        <sz val="11"/>
        <color theme="1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BEDRMS + β</t>
    </r>
    <r>
      <rPr>
        <b/>
        <vertAlign val="subscript"/>
        <sz val="11"/>
        <color theme="1"/>
        <rFont val="Calibri"/>
        <family val="2"/>
        <scheme val="minor"/>
      </rPr>
      <t>9</t>
    </r>
    <r>
      <rPr>
        <b/>
        <sz val="11"/>
        <color theme="1"/>
        <rFont val="Calibri"/>
        <family val="2"/>
        <scheme val="minor"/>
      </rPr>
      <t>BUILT + β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ROOMS + β</t>
    </r>
    <r>
      <rPr>
        <b/>
        <vertAlign val="subscript"/>
        <sz val="11"/>
        <color theme="1"/>
        <rFont val="Calibri"/>
        <family val="2"/>
        <scheme val="minor"/>
      </rPr>
      <t>11</t>
    </r>
    <r>
      <rPr>
        <b/>
        <sz val="11"/>
        <color theme="1"/>
        <rFont val="Calibri"/>
        <family val="2"/>
        <scheme val="minor"/>
      </rPr>
      <t>PER + β</t>
    </r>
    <r>
      <rPr>
        <b/>
        <vertAlign val="subscript"/>
        <sz val="11"/>
        <color theme="1"/>
        <rFont val="Calibri"/>
        <family val="2"/>
        <scheme val="minor"/>
      </rPr>
      <t>12</t>
    </r>
    <r>
      <rPr>
        <b/>
        <sz val="11"/>
        <color theme="1"/>
        <rFont val="Calibri"/>
        <family val="2"/>
        <scheme val="minor"/>
      </rPr>
      <t>ZINC2 + β</t>
    </r>
    <r>
      <rPr>
        <b/>
        <vertAlign val="sub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Adequate + β</t>
    </r>
    <r>
      <rPr>
        <b/>
        <vertAlign val="sub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UTILITY + β</t>
    </r>
    <r>
      <rPr>
        <b/>
        <vertAlign val="sub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OTHERCOST</t>
    </r>
  </si>
  <si>
    <t>Regression 1b</t>
  </si>
  <si>
    <r>
      <t>Ln(VALUE) = β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AGE1 + β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Metro + β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Northeast</t>
    </r>
    <r>
      <rPr>
        <b/>
        <sz val="11"/>
        <color theme="1"/>
        <rFont val="Calibri"/>
        <family val="2"/>
        <scheme val="minor"/>
      </rPr>
      <t xml:space="preserve">  + β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Midwest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South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LMED + β</t>
    </r>
    <r>
      <rPr>
        <b/>
        <vertAlign val="subscript"/>
        <sz val="11"/>
        <color theme="1"/>
        <rFont val="Calibri"/>
        <family val="2"/>
        <scheme val="minor"/>
      </rPr>
      <t>7</t>
    </r>
    <r>
      <rPr>
        <b/>
        <sz val="11"/>
        <color theme="1"/>
        <rFont val="Calibri"/>
        <family val="2"/>
        <scheme val="minor"/>
      </rPr>
      <t>FMR + β</t>
    </r>
    <r>
      <rPr>
        <b/>
        <vertAlign val="subscript"/>
        <sz val="11"/>
        <color theme="1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BEDRMS + β</t>
    </r>
    <r>
      <rPr>
        <b/>
        <vertAlign val="subscript"/>
        <sz val="11"/>
        <color theme="1"/>
        <rFont val="Calibri"/>
        <family val="2"/>
        <scheme val="minor"/>
      </rPr>
      <t>9</t>
    </r>
    <r>
      <rPr>
        <b/>
        <sz val="11"/>
        <color theme="1"/>
        <rFont val="Calibri"/>
        <family val="2"/>
        <scheme val="minor"/>
      </rPr>
      <t>BUILT + β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ROOMS + β</t>
    </r>
    <r>
      <rPr>
        <b/>
        <vertAlign val="subscript"/>
        <sz val="11"/>
        <color theme="1"/>
        <rFont val="Calibri"/>
        <family val="2"/>
        <scheme val="minor"/>
      </rPr>
      <t>11</t>
    </r>
    <r>
      <rPr>
        <b/>
        <sz val="11"/>
        <color theme="1"/>
        <rFont val="Calibri"/>
        <family val="2"/>
        <scheme val="minor"/>
      </rPr>
      <t>PER + β</t>
    </r>
    <r>
      <rPr>
        <b/>
        <vertAlign val="subscript"/>
        <sz val="11"/>
        <color theme="1"/>
        <rFont val="Calibri"/>
        <family val="2"/>
        <scheme val="minor"/>
      </rPr>
      <t>12</t>
    </r>
    <r>
      <rPr>
        <b/>
        <sz val="11"/>
        <color theme="1"/>
        <rFont val="Calibri"/>
        <family val="2"/>
        <scheme val="minor"/>
      </rPr>
      <t>ZINC2 + β</t>
    </r>
    <r>
      <rPr>
        <b/>
        <vertAlign val="sub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Adequate + β</t>
    </r>
    <r>
      <rPr>
        <b/>
        <vertAlign val="subscript"/>
        <sz val="11"/>
        <color theme="1"/>
        <rFont val="Calibri"/>
        <family val="2"/>
        <scheme val="minor"/>
      </rPr>
      <t>14</t>
    </r>
    <r>
      <rPr>
        <b/>
        <sz val="11"/>
        <color theme="1"/>
        <rFont val="Calibri"/>
        <family val="2"/>
        <scheme val="minor"/>
      </rPr>
      <t>UTILITY + β</t>
    </r>
    <r>
      <rPr>
        <b/>
        <vertAlign val="sub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OTHERCOST</t>
    </r>
  </si>
  <si>
    <r>
      <t>Ln(VALUE) = β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AGE1 + β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Metro + β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rgb="FF000000"/>
        <rFont val="Calibri"/>
        <family val="2"/>
        <scheme val="minor"/>
      </rPr>
      <t>Northeast</t>
    </r>
    <r>
      <rPr>
        <b/>
        <sz val="11"/>
        <color theme="1"/>
        <rFont val="Calibri"/>
        <family val="2"/>
        <scheme val="minor"/>
      </rPr>
      <t xml:space="preserve">  + β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rgb="FF000000"/>
        <rFont val="Calibri"/>
        <family val="2"/>
        <scheme val="minor"/>
      </rPr>
      <t>Midwest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rgb="FF000000"/>
        <rFont val="Calibri"/>
        <family val="2"/>
        <scheme val="minor"/>
      </rPr>
      <t>South</t>
    </r>
    <r>
      <rPr>
        <b/>
        <sz val="11"/>
        <color theme="1"/>
        <rFont val="Calibri"/>
        <family val="2"/>
        <scheme val="minor"/>
      </rPr>
      <t xml:space="preserve"> + β</t>
    </r>
    <r>
      <rPr>
        <b/>
        <vertAlign val="sub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Ln(LMED) + β</t>
    </r>
    <r>
      <rPr>
        <b/>
        <vertAlign val="subscript"/>
        <sz val="11"/>
        <color theme="1"/>
        <rFont val="Calibri"/>
        <family val="2"/>
        <scheme val="minor"/>
      </rPr>
      <t>7Ln(F</t>
    </r>
    <r>
      <rPr>
        <b/>
        <sz val="11"/>
        <color theme="1"/>
        <rFont val="Calibri"/>
        <family val="2"/>
        <scheme val="minor"/>
      </rPr>
      <t>MR) + β</t>
    </r>
    <r>
      <rPr>
        <b/>
        <vertAlign val="subscript"/>
        <sz val="11"/>
        <color theme="1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BEDRMS + β</t>
    </r>
    <r>
      <rPr>
        <b/>
        <vertAlign val="subscript"/>
        <sz val="11"/>
        <color theme="1"/>
        <rFont val="Calibri"/>
        <family val="2"/>
        <scheme val="minor"/>
      </rPr>
      <t>9</t>
    </r>
    <r>
      <rPr>
        <b/>
        <sz val="11"/>
        <color theme="1"/>
        <rFont val="Calibri"/>
        <family val="2"/>
        <scheme val="minor"/>
      </rPr>
      <t>BUILT + β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ROOMS + β</t>
    </r>
    <r>
      <rPr>
        <b/>
        <vertAlign val="subscript"/>
        <sz val="11"/>
        <color theme="1"/>
        <rFont val="Calibri"/>
        <family val="2"/>
        <scheme val="minor"/>
      </rPr>
      <t>11</t>
    </r>
    <r>
      <rPr>
        <b/>
        <sz val="11"/>
        <color theme="1"/>
        <rFont val="Calibri"/>
        <family val="2"/>
        <scheme val="minor"/>
      </rPr>
      <t>PER + β</t>
    </r>
    <r>
      <rPr>
        <b/>
        <vertAlign val="subscript"/>
        <sz val="11"/>
        <color theme="1"/>
        <rFont val="Calibri"/>
        <family val="2"/>
        <scheme val="minor"/>
      </rPr>
      <t>12Ln(Z</t>
    </r>
    <r>
      <rPr>
        <b/>
        <sz val="11"/>
        <color theme="1"/>
        <rFont val="Calibri"/>
        <family val="2"/>
        <scheme val="minor"/>
      </rPr>
      <t>INC2) + β</t>
    </r>
    <r>
      <rPr>
        <b/>
        <vertAlign val="sub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Adequate + β</t>
    </r>
    <r>
      <rPr>
        <b/>
        <vertAlign val="subscript"/>
        <sz val="11"/>
        <color theme="1"/>
        <rFont val="Calibri"/>
        <family val="2"/>
        <scheme val="minor"/>
      </rPr>
      <t>14Ln(U</t>
    </r>
    <r>
      <rPr>
        <b/>
        <sz val="11"/>
        <color theme="1"/>
        <rFont val="Calibri"/>
        <family val="2"/>
        <scheme val="minor"/>
      </rPr>
      <t>TILITY) + β</t>
    </r>
    <r>
      <rPr>
        <b/>
        <vertAlign val="subscript"/>
        <sz val="11"/>
        <color theme="1"/>
        <rFont val="Calibri"/>
        <family val="2"/>
        <scheme val="minor"/>
      </rPr>
      <t>15Ln(O</t>
    </r>
    <r>
      <rPr>
        <b/>
        <sz val="11"/>
        <color theme="1"/>
        <rFont val="Calibri"/>
        <family val="2"/>
        <scheme val="minor"/>
      </rPr>
      <t>THERCOST)</t>
    </r>
  </si>
  <si>
    <t>VALUE, 2013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</si>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</sst>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vertAlign val="subscript"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4" fillId="0" borderId="0" xfId="0" applyFont="1"/>
    <xf numFmtId="0" fontId="5" fillId="0" borderId="1" xfId="0" applyFont="1" applyBorder="1" applyAlignment="1">
      <alignment horizontal="centerContinuous"/>
    </xf>
    <xf numFmtId="0" fontId="0" fillId="0" borderId="2" xfId="0" applyBorder="1"/>
    <xf numFmtId="0" fontId="5" fillId="0" borderId="1" xfId="0" applyFont="1" applyBorder="1" applyAlignment="1">
      <alignment horizontal="center"/>
    </xf>
    <xf numFmtId="0" fontId="7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'[1]Graphs and Charts'!$U$2:$U$33</c:f>
              <c:strCache>
                <c:ptCount val="32"/>
                <c:pt idx="0">
                  <c:v>0</c:v>
                </c:pt>
                <c:pt idx="1">
                  <c:v>50000</c:v>
                </c:pt>
                <c:pt idx="2">
                  <c:v>100000</c:v>
                </c:pt>
                <c:pt idx="3">
                  <c:v>150000</c:v>
                </c:pt>
                <c:pt idx="4">
                  <c:v>200000</c:v>
                </c:pt>
                <c:pt idx="5">
                  <c:v>250000</c:v>
                </c:pt>
                <c:pt idx="6">
                  <c:v>300000</c:v>
                </c:pt>
                <c:pt idx="7">
                  <c:v>350000</c:v>
                </c:pt>
                <c:pt idx="8">
                  <c:v>400000</c:v>
                </c:pt>
                <c:pt idx="9">
                  <c:v>450000</c:v>
                </c:pt>
                <c:pt idx="10">
                  <c:v>500000</c:v>
                </c:pt>
                <c:pt idx="11">
                  <c:v>550000</c:v>
                </c:pt>
                <c:pt idx="12">
                  <c:v>600000</c:v>
                </c:pt>
                <c:pt idx="13">
                  <c:v>650000</c:v>
                </c:pt>
                <c:pt idx="14">
                  <c:v>700000</c:v>
                </c:pt>
                <c:pt idx="15">
                  <c:v>750000</c:v>
                </c:pt>
                <c:pt idx="16">
                  <c:v>800000</c:v>
                </c:pt>
                <c:pt idx="17">
                  <c:v>850000</c:v>
                </c:pt>
                <c:pt idx="18">
                  <c:v>900000</c:v>
                </c:pt>
                <c:pt idx="19">
                  <c:v>950000</c:v>
                </c:pt>
                <c:pt idx="20">
                  <c:v>1000000</c:v>
                </c:pt>
                <c:pt idx="21">
                  <c:v>1050000</c:v>
                </c:pt>
                <c:pt idx="22">
                  <c:v>1100000</c:v>
                </c:pt>
                <c:pt idx="23">
                  <c:v>1150000</c:v>
                </c:pt>
                <c:pt idx="24">
                  <c:v>1200000</c:v>
                </c:pt>
                <c:pt idx="25">
                  <c:v>1250000</c:v>
                </c:pt>
                <c:pt idx="26">
                  <c:v>1300000</c:v>
                </c:pt>
                <c:pt idx="27">
                  <c:v>1350000</c:v>
                </c:pt>
                <c:pt idx="28">
                  <c:v>1400000</c:v>
                </c:pt>
                <c:pt idx="29">
                  <c:v>1450000</c:v>
                </c:pt>
                <c:pt idx="30">
                  <c:v>1500000</c:v>
                </c:pt>
                <c:pt idx="31">
                  <c:v>More</c:v>
                </c:pt>
              </c:strCache>
            </c:strRef>
          </c:cat>
          <c:val>
            <c:numRef>
              <c:f>'[1]Graphs and Charts'!$V$2:$V$33</c:f>
              <c:numCache>
                <c:formatCode>General</c:formatCode>
                <c:ptCount val="32"/>
                <c:pt idx="0">
                  <c:v>0</c:v>
                </c:pt>
                <c:pt idx="1">
                  <c:v>1571</c:v>
                </c:pt>
                <c:pt idx="2">
                  <c:v>5247</c:v>
                </c:pt>
                <c:pt idx="3">
                  <c:v>5231</c:v>
                </c:pt>
                <c:pt idx="4">
                  <c:v>4720</c:v>
                </c:pt>
                <c:pt idx="5">
                  <c:v>3091</c:v>
                </c:pt>
                <c:pt idx="6">
                  <c:v>2584</c:v>
                </c:pt>
                <c:pt idx="7">
                  <c:v>1731</c:v>
                </c:pt>
                <c:pt idx="8">
                  <c:v>1466</c:v>
                </c:pt>
                <c:pt idx="9">
                  <c:v>858</c:v>
                </c:pt>
                <c:pt idx="10">
                  <c:v>826</c:v>
                </c:pt>
                <c:pt idx="11">
                  <c:v>364</c:v>
                </c:pt>
                <c:pt idx="12">
                  <c:v>489</c:v>
                </c:pt>
                <c:pt idx="13">
                  <c:v>279</c:v>
                </c:pt>
                <c:pt idx="14">
                  <c:v>257</c:v>
                </c:pt>
                <c:pt idx="15">
                  <c:v>197</c:v>
                </c:pt>
                <c:pt idx="16">
                  <c:v>217</c:v>
                </c:pt>
                <c:pt idx="17">
                  <c:v>119</c:v>
                </c:pt>
                <c:pt idx="18">
                  <c:v>138</c:v>
                </c:pt>
                <c:pt idx="19">
                  <c:v>37</c:v>
                </c:pt>
                <c:pt idx="20">
                  <c:v>178</c:v>
                </c:pt>
                <c:pt idx="21">
                  <c:v>12</c:v>
                </c:pt>
                <c:pt idx="22">
                  <c:v>35</c:v>
                </c:pt>
                <c:pt idx="23">
                  <c:v>1</c:v>
                </c:pt>
                <c:pt idx="24">
                  <c:v>64</c:v>
                </c:pt>
                <c:pt idx="25">
                  <c:v>10</c:v>
                </c:pt>
                <c:pt idx="26">
                  <c:v>19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B-4141-9DBD-80132474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04960"/>
        <c:axId val="227661312"/>
      </c:barChart>
      <c:catAx>
        <c:axId val="22730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VALUE, $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7661312"/>
        <c:crosses val="autoZero"/>
        <c:auto val="1"/>
        <c:lblAlgn val="ctr"/>
        <c:lblOffset val="100"/>
        <c:noMultiLvlLbl val="0"/>
      </c:catAx>
      <c:valAx>
        <c:axId val="22766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it-IT"/>
          </a:p>
        </c:txPr>
        <c:crossAx val="227304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77533636846326"/>
          <c:y val="0.11576692584788403"/>
          <c:w val="0.86426913995865295"/>
          <c:h val="0.73931462792503044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'[1]Graphs and Charts'!$AE$2:$AE$33</c:f>
              <c:strCache>
                <c:ptCount val="32"/>
                <c:pt idx="0">
                  <c:v>9</c:v>
                </c:pt>
                <c:pt idx="1">
                  <c:v>9,2</c:v>
                </c:pt>
                <c:pt idx="2">
                  <c:v>9,4</c:v>
                </c:pt>
                <c:pt idx="3">
                  <c:v>9,6</c:v>
                </c:pt>
                <c:pt idx="4">
                  <c:v>9,8</c:v>
                </c:pt>
                <c:pt idx="5">
                  <c:v>10</c:v>
                </c:pt>
                <c:pt idx="6">
                  <c:v>10,2</c:v>
                </c:pt>
                <c:pt idx="7">
                  <c:v>10,4</c:v>
                </c:pt>
                <c:pt idx="8">
                  <c:v>10,6</c:v>
                </c:pt>
                <c:pt idx="9">
                  <c:v>10,8</c:v>
                </c:pt>
                <c:pt idx="10">
                  <c:v>11</c:v>
                </c:pt>
                <c:pt idx="11">
                  <c:v>11,2</c:v>
                </c:pt>
                <c:pt idx="12">
                  <c:v>11,4</c:v>
                </c:pt>
                <c:pt idx="13">
                  <c:v>11,6</c:v>
                </c:pt>
                <c:pt idx="14">
                  <c:v>11,8</c:v>
                </c:pt>
                <c:pt idx="15">
                  <c:v>12</c:v>
                </c:pt>
                <c:pt idx="16">
                  <c:v>12,2</c:v>
                </c:pt>
                <c:pt idx="17">
                  <c:v>12,4</c:v>
                </c:pt>
                <c:pt idx="18">
                  <c:v>12,6</c:v>
                </c:pt>
                <c:pt idx="19">
                  <c:v>12,8</c:v>
                </c:pt>
                <c:pt idx="20">
                  <c:v>13</c:v>
                </c:pt>
                <c:pt idx="21">
                  <c:v>13,2</c:v>
                </c:pt>
                <c:pt idx="22">
                  <c:v>13,4</c:v>
                </c:pt>
                <c:pt idx="23">
                  <c:v>13,6</c:v>
                </c:pt>
                <c:pt idx="24">
                  <c:v>13,8</c:v>
                </c:pt>
                <c:pt idx="25">
                  <c:v>14</c:v>
                </c:pt>
                <c:pt idx="26">
                  <c:v>14,2</c:v>
                </c:pt>
                <c:pt idx="27">
                  <c:v>14,4</c:v>
                </c:pt>
                <c:pt idx="28">
                  <c:v>14,6</c:v>
                </c:pt>
                <c:pt idx="29">
                  <c:v>14,8</c:v>
                </c:pt>
                <c:pt idx="30">
                  <c:v>15</c:v>
                </c:pt>
                <c:pt idx="31">
                  <c:v>More</c:v>
                </c:pt>
              </c:strCache>
            </c:strRef>
          </c:cat>
          <c:val>
            <c:numRef>
              <c:f>'[1]Graphs and Charts'!$AF$2:$AF$33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114</c:v>
                </c:pt>
                <c:pt idx="3">
                  <c:v>0</c:v>
                </c:pt>
                <c:pt idx="4">
                  <c:v>0</c:v>
                </c:pt>
                <c:pt idx="5">
                  <c:v>167</c:v>
                </c:pt>
                <c:pt idx="6">
                  <c:v>0</c:v>
                </c:pt>
                <c:pt idx="7">
                  <c:v>282</c:v>
                </c:pt>
                <c:pt idx="8">
                  <c:v>394</c:v>
                </c:pt>
                <c:pt idx="9">
                  <c:v>0</c:v>
                </c:pt>
                <c:pt idx="10">
                  <c:v>614</c:v>
                </c:pt>
                <c:pt idx="11">
                  <c:v>1492</c:v>
                </c:pt>
                <c:pt idx="12">
                  <c:v>1192</c:v>
                </c:pt>
                <c:pt idx="13">
                  <c:v>2563</c:v>
                </c:pt>
                <c:pt idx="14">
                  <c:v>2733</c:v>
                </c:pt>
                <c:pt idx="15">
                  <c:v>3194</c:v>
                </c:pt>
                <c:pt idx="16">
                  <c:v>2445</c:v>
                </c:pt>
                <c:pt idx="17">
                  <c:v>3412</c:v>
                </c:pt>
                <c:pt idx="18">
                  <c:v>2582</c:v>
                </c:pt>
                <c:pt idx="19">
                  <c:v>3109</c:v>
                </c:pt>
                <c:pt idx="20">
                  <c:v>1715</c:v>
                </c:pt>
                <c:pt idx="21">
                  <c:v>1446</c:v>
                </c:pt>
                <c:pt idx="22">
                  <c:v>1009</c:v>
                </c:pt>
                <c:pt idx="23">
                  <c:v>665</c:v>
                </c:pt>
                <c:pt idx="24">
                  <c:v>302</c:v>
                </c:pt>
                <c:pt idx="25">
                  <c:v>282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254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6-4212-A362-8BFFA665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178240"/>
        <c:axId val="295180160"/>
      </c:barChart>
      <c:catAx>
        <c:axId val="29517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Ln(VALUE)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95180160"/>
        <c:crosses val="autoZero"/>
        <c:auto val="1"/>
        <c:lblAlgn val="ctr"/>
        <c:lblOffset val="100"/>
        <c:noMultiLvlLbl val="0"/>
      </c:catAx>
      <c:valAx>
        <c:axId val="295180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it-IT"/>
          </a:p>
        </c:txPr>
        <c:crossAx val="295178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57150</xdr:rowOff>
    </xdr:from>
    <xdr:to>
      <xdr:col>11</xdr:col>
      <xdr:colOff>381000</xdr:colOff>
      <xdr:row>43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6225" y="247650"/>
          <a:ext cx="6810375" cy="796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Summary Report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(Regression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Model for the Market Value of House Units-Year 2013 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)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It is used the model that gives us 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the adjusted R square in the regression. </a:t>
          </a:r>
        </a:p>
        <a:p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The p-value below 0.5 means that all coefficients have a statistically significant meaning.</a:t>
          </a:r>
        </a:p>
        <a:p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Interpretation of coefficients</a:t>
          </a:r>
        </a:p>
        <a:p>
          <a:endParaRPr lang="en-US" sz="12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n-US" sz="1200" b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is the intercept of the model . It represents the expected value when all 'X' variables are zero.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>
            <a:effectLst/>
          </a:endParaRPr>
        </a:p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Continuous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Variables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( AGE 1,BEDRMS,ROOMS,PER,BUILT)</a:t>
          </a:r>
        </a:p>
        <a:p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The coefficients show how much the dependent variable changes for a single unit increase in the independent variable,</a:t>
          </a:r>
        </a:p>
        <a:p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Ex: for each additional bedroom BEDRMS the dependent variable incrases by approximately 0.1006 units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Logarithmic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Variables (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 sz="11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it-I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 sz="11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l-GR"/>
            <a:t> </a:t>
          </a:r>
          <a:r>
            <a:rPr lang="it-IT"/>
            <a:t>,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 sz="11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l-GR"/>
            <a:t> </a:t>
          </a:r>
          <a:r>
            <a:rPr lang="it-IT"/>
            <a:t>,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 sz="11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l-GR"/>
            <a:t> </a:t>
          </a:r>
          <a:r>
            <a:rPr lang="it-IT"/>
            <a:t>,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β</a:t>
          </a:r>
          <a:r>
            <a:rPr lang="el-GR" sz="11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l-GR"/>
            <a:t> </a:t>
          </a:r>
          <a:r>
            <a:rPr lang="it-IT"/>
            <a:t>)</a:t>
          </a:r>
          <a:endParaRPr lang="en-US" sz="11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When the independent variable is transformed using the natural logarithm,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we could  interpretate it in term of elasticity or poercentage change.</a:t>
          </a:r>
        </a:p>
        <a:p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Example</a:t>
          </a:r>
        </a:p>
        <a:p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a 1% increase in ZINC has led an increse in the dependent variable of approximately 0.0017 units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Dummy Variables (Metro,Northeast,Midwest,South,Adequate)</a:t>
          </a: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These variables take teh avlue of 1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if the condition is true and 0 in the contrary. 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Considerations</a:t>
          </a:r>
        </a:p>
        <a:p>
          <a:r>
            <a:rPr lang="en-US" sz="1100" b="0">
              <a:latin typeface="Arial" panose="020B0604020202020204" pitchFamily="34" charset="0"/>
              <a:cs typeface="Arial" panose="020B0604020202020204" pitchFamily="34" charset="0"/>
            </a:rPr>
            <a:t>Because</a:t>
          </a: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the values in the table are close to zero,all these coefficients are considered statistically significant.</a:t>
          </a:r>
        </a:p>
        <a:p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The sign of the coefficients show the direction of the relationship between variables: apositive sign means the variables move in the same direction, while a negative sign means they move in opposite directions.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it-IT">
            <a:effectLst/>
          </a:endParaRPr>
        </a:p>
        <a:p>
          <a:pPr eaLnBrk="1" fontAlgn="auto" latinLnBrk="0" hangingPunct="1"/>
          <a:r>
            <a:rPr lang="en-US" sz="11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 of R-square</a:t>
          </a:r>
          <a:endParaRPr lang="it-IT">
            <a:effectLst/>
          </a:endParaRPr>
        </a:p>
        <a:p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R-square and adjusted R-square are about 0.52, indicating that the model explains about 52 percentage of variation in the market value of housing units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it-IT">
            <a:effectLst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180975</xdr:rowOff>
    </xdr:from>
    <xdr:to>
      <xdr:col>11</xdr:col>
      <xdr:colOff>285750</xdr:colOff>
      <xdr:row>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80975" y="180975"/>
          <a:ext cx="681037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Data Descriptors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(Please report any descriptive statistics on the data that you calculate)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104775</xdr:rowOff>
    </xdr:from>
    <xdr:to>
      <xdr:col>11</xdr:col>
      <xdr:colOff>219075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4300" y="104775"/>
          <a:ext cx="681037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Graphs and Charts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(Please put down any graphs or charts that you may wish to include in this worksheet)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259080</xdr:colOff>
      <xdr:row>8</xdr:row>
      <xdr:rowOff>76200</xdr:rowOff>
    </xdr:from>
    <xdr:to>
      <xdr:col>11</xdr:col>
      <xdr:colOff>192405</xdr:colOff>
      <xdr:row>34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10F63D-D20A-4803-90C2-923AD05CB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327660</xdr:colOff>
      <xdr:row>43</xdr:row>
      <xdr:rowOff>76200</xdr:rowOff>
    </xdr:from>
    <xdr:to>
      <xdr:col>11</xdr:col>
      <xdr:colOff>260985</xdr:colOff>
      <xdr:row>70</xdr:row>
      <xdr:rowOff>7620</xdr:rowOff>
    </xdr:to>
    <xdr:graphicFrame macro="">
      <xdr:nvGraphicFramePr>
        <xdr:cNvPr id="3" name="Chart 11">
          <a:extLst>
            <a:ext uri="{FF2B5EF4-FFF2-40B4-BE49-F238E27FC236}">
              <a16:creationId xmlns:a16="http://schemas.microsoft.com/office/drawing/2014/main" id="{1DD8599F-5ECD-4C8D-88CE-072A2C517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114300</xdr:rowOff>
    </xdr:from>
    <xdr:to>
      <xdr:col>11</xdr:col>
      <xdr:colOff>247650</xdr:colOff>
      <xdr:row>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42875" y="114300"/>
          <a:ext cx="681037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Statistical Tests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(This worksheet should contain any statistical tests that you may have conducted using the data.)</a:t>
          </a: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eon\Documents\Capstone%201.xlsx" TargetMode="External"/><Relationship Id="rId1" Type="http://schemas.openxmlformats.org/officeDocument/2006/relationships/externalLinkPath" Target="/Users/Eleon/Documents/Capston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Report"/>
      <sheetName val="Data Descriptors"/>
      <sheetName val="Graphs and Charts"/>
      <sheetName val="Statistical Tests"/>
    </sheetNames>
    <sheetDataSet>
      <sheetData sheetId="0"/>
      <sheetData sheetId="1"/>
      <sheetData sheetId="2">
        <row r="2">
          <cell r="U2">
            <v>0</v>
          </cell>
          <cell r="V2">
            <v>0</v>
          </cell>
          <cell r="AE2">
            <v>9</v>
          </cell>
          <cell r="AF2">
            <v>0</v>
          </cell>
        </row>
        <row r="3">
          <cell r="U3">
            <v>50000</v>
          </cell>
          <cell r="V3">
            <v>1571</v>
          </cell>
          <cell r="AE3">
            <v>9.1999999999999993</v>
          </cell>
          <cell r="AF3">
            <v>0</v>
          </cell>
        </row>
        <row r="4">
          <cell r="U4">
            <v>100000</v>
          </cell>
          <cell r="V4">
            <v>5247</v>
          </cell>
          <cell r="AE4">
            <v>9.4</v>
          </cell>
          <cell r="AF4">
            <v>114</v>
          </cell>
        </row>
        <row r="5">
          <cell r="U5">
            <v>150000</v>
          </cell>
          <cell r="V5">
            <v>5231</v>
          </cell>
          <cell r="AE5">
            <v>9.6</v>
          </cell>
          <cell r="AF5">
            <v>0</v>
          </cell>
        </row>
        <row r="6">
          <cell r="U6">
            <v>200000</v>
          </cell>
          <cell r="V6">
            <v>4720</v>
          </cell>
          <cell r="AE6">
            <v>9.8000000000000007</v>
          </cell>
          <cell r="AF6">
            <v>0</v>
          </cell>
        </row>
        <row r="7">
          <cell r="U7">
            <v>250000</v>
          </cell>
          <cell r="V7">
            <v>3091</v>
          </cell>
          <cell r="AE7">
            <v>10</v>
          </cell>
          <cell r="AF7">
            <v>167</v>
          </cell>
        </row>
        <row r="8">
          <cell r="U8">
            <v>300000</v>
          </cell>
          <cell r="V8">
            <v>2584</v>
          </cell>
          <cell r="AE8">
            <v>10.199999999999999</v>
          </cell>
          <cell r="AF8">
            <v>0</v>
          </cell>
        </row>
        <row r="9">
          <cell r="U9">
            <v>350000</v>
          </cell>
          <cell r="V9">
            <v>1731</v>
          </cell>
          <cell r="AE9">
            <v>10.4</v>
          </cell>
          <cell r="AF9">
            <v>282</v>
          </cell>
        </row>
        <row r="10">
          <cell r="U10">
            <v>400000</v>
          </cell>
          <cell r="V10">
            <v>1466</v>
          </cell>
          <cell r="AE10">
            <v>10.6</v>
          </cell>
          <cell r="AF10">
            <v>394</v>
          </cell>
        </row>
        <row r="11">
          <cell r="U11">
            <v>450000</v>
          </cell>
          <cell r="V11">
            <v>858</v>
          </cell>
          <cell r="AE11">
            <v>10.8</v>
          </cell>
          <cell r="AF11">
            <v>0</v>
          </cell>
        </row>
        <row r="12">
          <cell r="U12">
            <v>500000</v>
          </cell>
          <cell r="V12">
            <v>826</v>
          </cell>
          <cell r="AE12">
            <v>11</v>
          </cell>
          <cell r="AF12">
            <v>614</v>
          </cell>
        </row>
        <row r="13">
          <cell r="U13">
            <v>550000</v>
          </cell>
          <cell r="V13">
            <v>364</v>
          </cell>
          <cell r="AE13">
            <v>11.2</v>
          </cell>
          <cell r="AF13">
            <v>1492</v>
          </cell>
        </row>
        <row r="14">
          <cell r="U14">
            <v>600000</v>
          </cell>
          <cell r="V14">
            <v>489</v>
          </cell>
          <cell r="AE14">
            <v>11.4</v>
          </cell>
          <cell r="AF14">
            <v>1192</v>
          </cell>
        </row>
        <row r="15">
          <cell r="U15">
            <v>650000</v>
          </cell>
          <cell r="V15">
            <v>279</v>
          </cell>
          <cell r="AE15">
            <v>11.6</v>
          </cell>
          <cell r="AF15">
            <v>2563</v>
          </cell>
        </row>
        <row r="16">
          <cell r="U16">
            <v>700000</v>
          </cell>
          <cell r="V16">
            <v>257</v>
          </cell>
          <cell r="AE16">
            <v>11.8</v>
          </cell>
          <cell r="AF16">
            <v>2733</v>
          </cell>
        </row>
        <row r="17">
          <cell r="U17">
            <v>750000</v>
          </cell>
          <cell r="V17">
            <v>197</v>
          </cell>
          <cell r="AE17">
            <v>12</v>
          </cell>
          <cell r="AF17">
            <v>3194</v>
          </cell>
        </row>
        <row r="18">
          <cell r="U18">
            <v>800000</v>
          </cell>
          <cell r="V18">
            <v>217</v>
          </cell>
          <cell r="AE18">
            <v>12.2</v>
          </cell>
          <cell r="AF18">
            <v>2445</v>
          </cell>
        </row>
        <row r="19">
          <cell r="U19">
            <v>850000</v>
          </cell>
          <cell r="V19">
            <v>119</v>
          </cell>
          <cell r="AE19">
            <v>12.4</v>
          </cell>
          <cell r="AF19">
            <v>3412</v>
          </cell>
        </row>
        <row r="20">
          <cell r="U20">
            <v>900000</v>
          </cell>
          <cell r="V20">
            <v>138</v>
          </cell>
          <cell r="AE20">
            <v>12.6</v>
          </cell>
          <cell r="AF20">
            <v>2582</v>
          </cell>
        </row>
        <row r="21">
          <cell r="U21">
            <v>950000</v>
          </cell>
          <cell r="V21">
            <v>37</v>
          </cell>
          <cell r="AE21">
            <v>12.8</v>
          </cell>
          <cell r="AF21">
            <v>3109</v>
          </cell>
        </row>
        <row r="22">
          <cell r="U22">
            <v>1000000</v>
          </cell>
          <cell r="V22">
            <v>178</v>
          </cell>
          <cell r="AE22">
            <v>13</v>
          </cell>
          <cell r="AF22">
            <v>1715</v>
          </cell>
        </row>
        <row r="23">
          <cell r="U23">
            <v>1050000</v>
          </cell>
          <cell r="V23">
            <v>12</v>
          </cell>
          <cell r="AE23">
            <v>13.2</v>
          </cell>
          <cell r="AF23">
            <v>1446</v>
          </cell>
        </row>
        <row r="24">
          <cell r="U24">
            <v>1100000</v>
          </cell>
          <cell r="V24">
            <v>35</v>
          </cell>
          <cell r="AE24">
            <v>13.4</v>
          </cell>
          <cell r="AF24">
            <v>1009</v>
          </cell>
        </row>
        <row r="25">
          <cell r="U25">
            <v>1150000</v>
          </cell>
          <cell r="V25">
            <v>1</v>
          </cell>
          <cell r="AE25">
            <v>13.6</v>
          </cell>
          <cell r="AF25">
            <v>665</v>
          </cell>
        </row>
        <row r="26">
          <cell r="U26">
            <v>1200000</v>
          </cell>
          <cell r="V26">
            <v>64</v>
          </cell>
          <cell r="AE26">
            <v>13.8</v>
          </cell>
          <cell r="AF26">
            <v>302</v>
          </cell>
        </row>
        <row r="27">
          <cell r="U27">
            <v>1250000</v>
          </cell>
          <cell r="V27">
            <v>10</v>
          </cell>
          <cell r="AE27">
            <v>14</v>
          </cell>
          <cell r="AF27">
            <v>282</v>
          </cell>
        </row>
        <row r="28">
          <cell r="U28">
            <v>1300000</v>
          </cell>
          <cell r="V28">
            <v>19</v>
          </cell>
          <cell r="AE28">
            <v>14.2</v>
          </cell>
          <cell r="AF28">
            <v>34</v>
          </cell>
        </row>
        <row r="29">
          <cell r="U29">
            <v>1350000</v>
          </cell>
          <cell r="V29">
            <v>4</v>
          </cell>
          <cell r="AE29">
            <v>14.4</v>
          </cell>
          <cell r="AF29">
            <v>0</v>
          </cell>
        </row>
        <row r="30">
          <cell r="U30">
            <v>1400000</v>
          </cell>
          <cell r="V30">
            <v>1</v>
          </cell>
          <cell r="AE30">
            <v>14.6</v>
          </cell>
          <cell r="AF30">
            <v>0</v>
          </cell>
        </row>
        <row r="31">
          <cell r="U31">
            <v>1450000</v>
          </cell>
          <cell r="V31">
            <v>0</v>
          </cell>
          <cell r="AE31">
            <v>14.8</v>
          </cell>
          <cell r="AF31">
            <v>254</v>
          </cell>
        </row>
        <row r="32">
          <cell r="U32">
            <v>1500000</v>
          </cell>
          <cell r="V32">
            <v>0</v>
          </cell>
          <cell r="AE32">
            <v>15</v>
          </cell>
          <cell r="AF32">
            <v>0</v>
          </cell>
        </row>
        <row r="33">
          <cell r="U33" t="str">
            <v>More</v>
          </cell>
          <cell r="V33">
            <v>254</v>
          </cell>
          <cell r="AE33" t="str">
            <v>More</v>
          </cell>
          <cell r="AF3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2:Y42"/>
  <sheetViews>
    <sheetView tabSelected="1" topLeftCell="A21" zoomScaleNormal="100" workbookViewId="0">
      <selection activeCell="M21" sqref="M21"/>
    </sheetView>
  </sheetViews>
  <sheetFormatPr defaultRowHeight="14.4" x14ac:dyDescent="0.3"/>
  <sheetData>
    <row r="2" spans="15:18" ht="15.6" x14ac:dyDescent="0.3">
      <c r="O2" s="1" t="s">
        <v>0</v>
      </c>
    </row>
    <row r="3" spans="15:18" x14ac:dyDescent="0.3">
      <c r="P3" t="s">
        <v>5</v>
      </c>
    </row>
    <row r="4" spans="15:18" x14ac:dyDescent="0.3">
      <c r="P4" s="2" t="s">
        <v>6</v>
      </c>
    </row>
    <row r="5" spans="15:18" x14ac:dyDescent="0.3">
      <c r="P5" t="s">
        <v>3</v>
      </c>
    </row>
    <row r="7" spans="15:18" ht="18" x14ac:dyDescent="0.35">
      <c r="P7" s="3" t="s">
        <v>15</v>
      </c>
      <c r="R7" s="1"/>
    </row>
    <row r="8" spans="15:18" x14ac:dyDescent="0.3">
      <c r="P8" t="s">
        <v>8</v>
      </c>
    </row>
    <row r="9" spans="15:18" ht="15" thickBot="1" x14ac:dyDescent="0.35"/>
    <row r="10" spans="15:18" x14ac:dyDescent="0.3">
      <c r="P10" s="4" t="s">
        <v>9</v>
      </c>
      <c r="Q10" s="4"/>
    </row>
    <row r="11" spans="15:18" x14ac:dyDescent="0.3">
      <c r="P11" t="s">
        <v>10</v>
      </c>
      <c r="Q11">
        <v>0.72658907802751738</v>
      </c>
    </row>
    <row r="12" spans="15:18" x14ac:dyDescent="0.3">
      <c r="P12" t="s">
        <v>11</v>
      </c>
      <c r="Q12">
        <v>0.52793168830887771</v>
      </c>
    </row>
    <row r="13" spans="15:18" x14ac:dyDescent="0.3">
      <c r="P13" t="s">
        <v>12</v>
      </c>
      <c r="Q13">
        <v>0.52769552820097465</v>
      </c>
    </row>
    <row r="14" spans="15:18" x14ac:dyDescent="0.3">
      <c r="P14" t="s">
        <v>13</v>
      </c>
      <c r="Q14">
        <v>0.54368508705393093</v>
      </c>
    </row>
    <row r="15" spans="15:18" ht="15" thickBot="1" x14ac:dyDescent="0.35">
      <c r="P15" s="5" t="s">
        <v>14</v>
      </c>
      <c r="Q15" s="5">
        <v>30000</v>
      </c>
    </row>
    <row r="18" spans="16:25" ht="15" thickBot="1" x14ac:dyDescent="0.35">
      <c r="P18" t="s">
        <v>16</v>
      </c>
    </row>
    <row r="19" spans="16:25" x14ac:dyDescent="0.3">
      <c r="P19" s="6"/>
      <c r="Q19" s="6" t="s">
        <v>17</v>
      </c>
      <c r="R19" s="6" t="s">
        <v>18</v>
      </c>
      <c r="S19" s="6" t="s">
        <v>19</v>
      </c>
      <c r="T19" s="6" t="s">
        <v>20</v>
      </c>
      <c r="U19" s="6" t="s">
        <v>21</v>
      </c>
    </row>
    <row r="20" spans="16:25" x14ac:dyDescent="0.3">
      <c r="P20" t="s">
        <v>22</v>
      </c>
      <c r="Q20">
        <v>15</v>
      </c>
      <c r="R20">
        <v>9911.908690256103</v>
      </c>
      <c r="S20">
        <v>660.79391268374025</v>
      </c>
      <c r="T20">
        <v>2235.4820761069213</v>
      </c>
      <c r="U20">
        <v>0</v>
      </c>
    </row>
    <row r="21" spans="16:25" x14ac:dyDescent="0.3">
      <c r="P21" t="s">
        <v>23</v>
      </c>
      <c r="Q21">
        <v>29984</v>
      </c>
      <c r="R21">
        <v>8863.0747209630572</v>
      </c>
      <c r="S21">
        <v>0.29559347388484047</v>
      </c>
    </row>
    <row r="22" spans="16:25" ht="15" thickBot="1" x14ac:dyDescent="0.35">
      <c r="P22" s="5" t="s">
        <v>24</v>
      </c>
      <c r="Q22" s="5">
        <v>29999</v>
      </c>
      <c r="R22" s="5">
        <v>18774.98341121916</v>
      </c>
      <c r="S22" s="5"/>
      <c r="T22" s="5"/>
      <c r="U22" s="5"/>
    </row>
    <row r="25" spans="16:25" ht="15" thickBot="1" x14ac:dyDescent="0.35"/>
    <row r="26" spans="16:25" x14ac:dyDescent="0.3">
      <c r="Q26" s="6"/>
      <c r="R26" s="6" t="s">
        <v>25</v>
      </c>
      <c r="S26" s="6" t="s">
        <v>13</v>
      </c>
      <c r="T26" s="6" t="s">
        <v>26</v>
      </c>
      <c r="U26" s="6" t="s">
        <v>27</v>
      </c>
      <c r="V26" s="6" t="s">
        <v>28</v>
      </c>
      <c r="W26" s="6" t="s">
        <v>29</v>
      </c>
      <c r="X26" s="6" t="s">
        <v>30</v>
      </c>
      <c r="Y26" s="6" t="s">
        <v>31</v>
      </c>
    </row>
    <row r="27" spans="16:25" x14ac:dyDescent="0.3">
      <c r="Q27" t="s">
        <v>32</v>
      </c>
      <c r="R27">
        <v>-5.7262818580773001</v>
      </c>
      <c r="S27">
        <v>0.38401854224098814</v>
      </c>
      <c r="T27">
        <v>-14.911472307198677</v>
      </c>
      <c r="U27">
        <v>4.1986544018791394E-50</v>
      </c>
      <c r="V27">
        <v>-6.4789747542127731</v>
      </c>
      <c r="W27">
        <v>-4.973588961941827</v>
      </c>
      <c r="X27">
        <v>-6.4789747542127731</v>
      </c>
      <c r="Y27">
        <v>-4.973588961941827</v>
      </c>
    </row>
    <row r="28" spans="16:25" ht="16.2" x14ac:dyDescent="0.35">
      <c r="P28" s="7" t="s">
        <v>33</v>
      </c>
      <c r="Q28" t="s">
        <v>34</v>
      </c>
      <c r="R28">
        <v>2.8055366827224476E-3</v>
      </c>
      <c r="S28">
        <v>2.3254395200745007E-4</v>
      </c>
      <c r="T28">
        <v>12.064543749701844</v>
      </c>
      <c r="U28">
        <v>1.9432612019161147E-33</v>
      </c>
      <c r="V28">
        <v>2.3497405128452271E-3</v>
      </c>
      <c r="W28">
        <v>3.261332852599668E-3</v>
      </c>
      <c r="X28">
        <v>2.3497405128452271E-3</v>
      </c>
      <c r="Y28">
        <v>3.261332852599668E-3</v>
      </c>
    </row>
    <row r="29" spans="16:25" ht="16.2" x14ac:dyDescent="0.35">
      <c r="P29" s="7" t="s">
        <v>35</v>
      </c>
      <c r="Q29" t="s">
        <v>36</v>
      </c>
      <c r="R29">
        <v>-7.9489546619329485E-2</v>
      </c>
      <c r="S29">
        <v>7.8956807445629985E-3</v>
      </c>
      <c r="T29">
        <v>-10.067472228289668</v>
      </c>
      <c r="U29">
        <v>8.3934072900841059E-24</v>
      </c>
      <c r="V29">
        <v>-9.4965421226594432E-2</v>
      </c>
      <c r="W29">
        <v>-6.4013672012064537E-2</v>
      </c>
      <c r="X29">
        <v>-9.4965421226594432E-2</v>
      </c>
      <c r="Y29">
        <v>-6.4013672012064537E-2</v>
      </c>
    </row>
    <row r="30" spans="16:25" ht="16.2" x14ac:dyDescent="0.35">
      <c r="P30" s="7" t="s">
        <v>37</v>
      </c>
      <c r="Q30" t="s">
        <v>38</v>
      </c>
      <c r="R30">
        <v>-0.13499978401879353</v>
      </c>
      <c r="S30">
        <v>1.1746400758729425E-2</v>
      </c>
      <c r="T30">
        <v>-11.492863796466967</v>
      </c>
      <c r="U30">
        <v>1.660093897707358E-30</v>
      </c>
      <c r="V30">
        <v>-0.15802323584135575</v>
      </c>
      <c r="W30">
        <v>-0.11197633219623131</v>
      </c>
      <c r="X30">
        <v>-0.15802323584135575</v>
      </c>
      <c r="Y30">
        <v>-0.11197633219623131</v>
      </c>
    </row>
    <row r="31" spans="16:25" ht="16.2" x14ac:dyDescent="0.35">
      <c r="P31" s="7" t="s">
        <v>39</v>
      </c>
      <c r="Q31" t="s">
        <v>40</v>
      </c>
      <c r="R31">
        <v>-0.30509281149660555</v>
      </c>
      <c r="S31">
        <v>1.2358111524741819E-2</v>
      </c>
      <c r="T31">
        <v>-24.687656434058557</v>
      </c>
      <c r="U31">
        <v>3.1137103199532407E-133</v>
      </c>
      <c r="V31">
        <v>-0.32931524278870128</v>
      </c>
      <c r="W31">
        <v>-0.28087038020450983</v>
      </c>
      <c r="X31">
        <v>-0.32931524278870128</v>
      </c>
      <c r="Y31">
        <v>-0.28087038020450983</v>
      </c>
    </row>
    <row r="32" spans="16:25" ht="16.2" x14ac:dyDescent="0.35">
      <c r="P32" s="7" t="s">
        <v>41</v>
      </c>
      <c r="Q32" t="s">
        <v>42</v>
      </c>
      <c r="R32">
        <v>-0.28719219348160135</v>
      </c>
      <c r="S32">
        <v>1.0832317101841534E-2</v>
      </c>
      <c r="T32">
        <v>-26.512535663563394</v>
      </c>
      <c r="U32">
        <v>4.0605908566024145E-153</v>
      </c>
      <c r="V32">
        <v>-0.30842400193455438</v>
      </c>
      <c r="W32">
        <v>-0.26596038502864833</v>
      </c>
      <c r="X32">
        <v>-0.30842400193455438</v>
      </c>
      <c r="Y32">
        <v>-0.26596038502864833</v>
      </c>
    </row>
    <row r="33" spans="16:25" ht="16.2" x14ac:dyDescent="0.35">
      <c r="P33" s="7" t="s">
        <v>43</v>
      </c>
      <c r="Q33" t="s">
        <v>44</v>
      </c>
      <c r="R33">
        <v>0.3581636990289348</v>
      </c>
      <c r="S33">
        <v>3.2515047383045462E-2</v>
      </c>
      <c r="T33">
        <v>11.015321454388976</v>
      </c>
      <c r="U33">
        <v>3.6510280577386193E-28</v>
      </c>
      <c r="V33">
        <v>0.29443280457809284</v>
      </c>
      <c r="W33">
        <v>0.42189459347977676</v>
      </c>
      <c r="X33">
        <v>0.29443280457809284</v>
      </c>
      <c r="Y33">
        <v>0.42189459347977676</v>
      </c>
    </row>
    <row r="34" spans="16:25" ht="16.2" x14ac:dyDescent="0.35">
      <c r="P34" s="7" t="s">
        <v>45</v>
      </c>
      <c r="Q34" t="s">
        <v>46</v>
      </c>
      <c r="R34">
        <v>0.6507077380282047</v>
      </c>
      <c r="S34">
        <v>2.3584810229097142E-2</v>
      </c>
      <c r="T34">
        <v>27.59011972991884</v>
      </c>
      <c r="U34">
        <v>1.7129561191675661E-165</v>
      </c>
      <c r="V34">
        <v>0.60448049334218001</v>
      </c>
      <c r="W34">
        <v>0.69693498271422938</v>
      </c>
      <c r="X34">
        <v>0.60448049334218001</v>
      </c>
      <c r="Y34">
        <v>0.69693498271422938</v>
      </c>
    </row>
    <row r="35" spans="16:25" ht="16.2" x14ac:dyDescent="0.35">
      <c r="P35" s="7" t="s">
        <v>47</v>
      </c>
      <c r="Q35" t="s">
        <v>48</v>
      </c>
      <c r="R35">
        <v>-5.3379744180764625E-2</v>
      </c>
      <c r="S35">
        <v>6.9636621723508417E-3</v>
      </c>
      <c r="T35">
        <v>-7.6654701017387694</v>
      </c>
      <c r="U35">
        <v>1.8355257208275939E-14</v>
      </c>
      <c r="V35">
        <v>-6.7028822211289849E-2</v>
      </c>
      <c r="W35">
        <v>-3.9730666150239402E-2</v>
      </c>
      <c r="X35">
        <v>-6.7028822211289849E-2</v>
      </c>
      <c r="Y35">
        <v>-3.9730666150239402E-2</v>
      </c>
    </row>
    <row r="36" spans="16:25" ht="16.2" x14ac:dyDescent="0.35">
      <c r="P36" s="7" t="s">
        <v>49</v>
      </c>
      <c r="Q36" t="s">
        <v>50</v>
      </c>
      <c r="R36">
        <v>2.686293343571026E-3</v>
      </c>
      <c r="S36">
        <v>1.3047293995396446E-4</v>
      </c>
      <c r="T36">
        <v>20.588892566679704</v>
      </c>
      <c r="U36">
        <v>1.533508564206287E-93</v>
      </c>
      <c r="V36">
        <v>2.4305607571491169E-3</v>
      </c>
      <c r="W36">
        <v>2.9420259299929351E-3</v>
      </c>
      <c r="X36">
        <v>2.4305607571491169E-3</v>
      </c>
      <c r="Y36">
        <v>2.9420259299929351E-3</v>
      </c>
    </row>
    <row r="37" spans="16:25" ht="16.2" x14ac:dyDescent="0.35">
      <c r="P37" s="7" t="s">
        <v>51</v>
      </c>
      <c r="Q37" t="s">
        <v>52</v>
      </c>
      <c r="R37">
        <v>0.10055206185718808</v>
      </c>
      <c r="S37">
        <v>3.0291942077948987E-3</v>
      </c>
      <c r="T37">
        <v>33.19432659630791</v>
      </c>
      <c r="U37">
        <v>2.5896689792965302E-237</v>
      </c>
      <c r="V37">
        <v>9.4614710634727817E-2</v>
      </c>
      <c r="W37">
        <v>0.10648941307964835</v>
      </c>
      <c r="X37">
        <v>9.4614710634727817E-2</v>
      </c>
      <c r="Y37">
        <v>0.10648941307964835</v>
      </c>
    </row>
    <row r="38" spans="16:25" ht="16.2" x14ac:dyDescent="0.35">
      <c r="P38" s="7" t="s">
        <v>53</v>
      </c>
      <c r="Q38" t="s">
        <v>54</v>
      </c>
      <c r="R38">
        <v>-2.7209885061039104E-2</v>
      </c>
      <c r="S38">
        <v>2.6310900932995937E-3</v>
      </c>
      <c r="T38">
        <v>-10.341677440211015</v>
      </c>
      <c r="U38">
        <v>5.0293141956474691E-25</v>
      </c>
      <c r="V38">
        <v>-3.2366935058578634E-2</v>
      </c>
      <c r="W38">
        <v>-2.2052835063499573E-2</v>
      </c>
      <c r="X38">
        <v>-3.2366935058578634E-2</v>
      </c>
      <c r="Y38">
        <v>-2.2052835063499573E-2</v>
      </c>
    </row>
    <row r="39" spans="16:25" ht="16.2" x14ac:dyDescent="0.35">
      <c r="P39" s="7" t="s">
        <v>55</v>
      </c>
      <c r="Q39" t="s">
        <v>56</v>
      </c>
      <c r="R39">
        <v>0.17246668533224752</v>
      </c>
      <c r="S39">
        <v>3.9604422324215774E-3</v>
      </c>
      <c r="T39">
        <v>43.547330123988274</v>
      </c>
      <c r="U39">
        <v>0</v>
      </c>
      <c r="V39">
        <v>0.16470404783952997</v>
      </c>
      <c r="W39">
        <v>0.18022932282496507</v>
      </c>
      <c r="X39">
        <v>0.16470404783952997</v>
      </c>
      <c r="Y39">
        <v>0.18022932282496507</v>
      </c>
    </row>
    <row r="40" spans="16:25" ht="16.2" x14ac:dyDescent="0.35">
      <c r="P40" s="7" t="s">
        <v>57</v>
      </c>
      <c r="Q40" t="s">
        <v>58</v>
      </c>
      <c r="R40">
        <v>0.12232882089155125</v>
      </c>
      <c r="S40">
        <v>2.113457745417963E-2</v>
      </c>
      <c r="T40">
        <v>5.788089265411795</v>
      </c>
      <c r="U40">
        <v>7.1900079881527448E-9</v>
      </c>
      <c r="V40">
        <v>8.0904138063077113E-2</v>
      </c>
      <c r="W40">
        <v>0.1637535037200254</v>
      </c>
      <c r="X40">
        <v>8.0904138063077113E-2</v>
      </c>
      <c r="Y40">
        <v>0.1637535037200254</v>
      </c>
    </row>
    <row r="41" spans="16:25" ht="16.2" x14ac:dyDescent="0.35">
      <c r="P41" s="7" t="s">
        <v>59</v>
      </c>
      <c r="Q41" t="s">
        <v>60</v>
      </c>
      <c r="R41">
        <v>8.0733618595672629E-2</v>
      </c>
      <c r="S41">
        <v>7.9627121777161129E-3</v>
      </c>
      <c r="T41">
        <v>10.138959790811988</v>
      </c>
      <c r="U41">
        <v>4.0581340749264685E-24</v>
      </c>
      <c r="V41">
        <v>6.5126359489998578E-2</v>
      </c>
      <c r="W41">
        <v>9.634087770134668E-2</v>
      </c>
      <c r="X41">
        <v>6.5126359489998578E-2</v>
      </c>
      <c r="Y41">
        <v>9.634087770134668E-2</v>
      </c>
    </row>
    <row r="42" spans="16:25" ht="16.8" thickBot="1" x14ac:dyDescent="0.4">
      <c r="P42" s="7" t="s">
        <v>61</v>
      </c>
      <c r="Q42" s="5" t="s">
        <v>62</v>
      </c>
      <c r="R42" s="5">
        <v>0.27046868671081636</v>
      </c>
      <c r="S42" s="5">
        <v>3.9762239400554424E-3</v>
      </c>
      <c r="T42" s="5">
        <v>68.02149244819573</v>
      </c>
      <c r="U42" s="5">
        <v>0</v>
      </c>
      <c r="V42" s="5">
        <v>0.26267511639085672</v>
      </c>
      <c r="W42" s="5">
        <v>0.27826225703077601</v>
      </c>
      <c r="X42" s="5">
        <v>0.26267511639085672</v>
      </c>
      <c r="Y42" s="5">
        <v>0.27826225703077601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S41"/>
  <sheetViews>
    <sheetView topLeftCell="A33" workbookViewId="0">
      <selection activeCell="U24" sqref="U24"/>
    </sheetView>
  </sheetViews>
  <sheetFormatPr defaultRowHeight="14.4" x14ac:dyDescent="0.3"/>
  <sheetData>
    <row r="7" spans="2:19" ht="18.600000000000001" thickBot="1" x14ac:dyDescent="0.4">
      <c r="B7" s="3" t="s">
        <v>63</v>
      </c>
    </row>
    <row r="8" spans="2:19" x14ac:dyDescent="0.3">
      <c r="B8" s="6"/>
      <c r="C8" s="6" t="s">
        <v>64</v>
      </c>
      <c r="D8" s="6" t="s">
        <v>65</v>
      </c>
      <c r="E8" s="6" t="s">
        <v>34</v>
      </c>
      <c r="F8" s="6" t="s">
        <v>36</v>
      </c>
      <c r="G8" s="6" t="s">
        <v>38</v>
      </c>
      <c r="H8" s="6" t="s">
        <v>40</v>
      </c>
      <c r="I8" s="6" t="s">
        <v>42</v>
      </c>
      <c r="J8" s="6" t="s">
        <v>66</v>
      </c>
      <c r="K8" s="6" t="s">
        <v>67</v>
      </c>
      <c r="L8" s="6" t="s">
        <v>48</v>
      </c>
      <c r="M8" s="6" t="s">
        <v>50</v>
      </c>
      <c r="N8" s="6" t="s">
        <v>52</v>
      </c>
      <c r="O8" s="6" t="s">
        <v>54</v>
      </c>
      <c r="P8" s="6" t="s">
        <v>68</v>
      </c>
      <c r="Q8" s="6" t="s">
        <v>58</v>
      </c>
      <c r="R8" s="6" t="s">
        <v>69</v>
      </c>
      <c r="S8" s="6" t="s">
        <v>70</v>
      </c>
    </row>
    <row r="10" spans="2:19" x14ac:dyDescent="0.3">
      <c r="B10" t="s">
        <v>71</v>
      </c>
      <c r="C10">
        <v>263094</v>
      </c>
      <c r="D10">
        <v>12.156661100358406</v>
      </c>
      <c r="E10">
        <v>55.580599999999997</v>
      </c>
      <c r="F10">
        <v>0.21286666666666668</v>
      </c>
      <c r="G10">
        <v>0.24506666666666665</v>
      </c>
      <c r="H10">
        <v>0.29903333333333332</v>
      </c>
      <c r="I10">
        <v>0.29483333333333334</v>
      </c>
      <c r="J10">
        <v>68410.893733333331</v>
      </c>
      <c r="K10">
        <v>1285.2240666666667</v>
      </c>
      <c r="L10">
        <v>3.2713333333333332</v>
      </c>
      <c r="M10">
        <v>1968.1507666666666</v>
      </c>
      <c r="N10">
        <v>6.7903666666666664</v>
      </c>
      <c r="O10">
        <v>2.6569666666666665</v>
      </c>
      <c r="P10">
        <v>91241.313566666664</v>
      </c>
      <c r="Q10">
        <v>0.97709999999999997</v>
      </c>
      <c r="R10">
        <v>252.98096944446166</v>
      </c>
      <c r="S10">
        <v>99.583408333391674</v>
      </c>
    </row>
    <row r="11" spans="2:19" x14ac:dyDescent="0.3">
      <c r="B11" t="s">
        <v>13</v>
      </c>
      <c r="C11">
        <v>1627.8855116913596</v>
      </c>
      <c r="D11">
        <v>4.5674706427155211E-3</v>
      </c>
      <c r="E11">
        <v>8.9266393849919995E-2</v>
      </c>
      <c r="F11">
        <v>2.3633312239531934E-3</v>
      </c>
      <c r="G11">
        <v>2.4833791677715163E-3</v>
      </c>
      <c r="H11">
        <v>2.6433525821184119E-3</v>
      </c>
      <c r="I11">
        <v>2.6325752242572944E-3</v>
      </c>
      <c r="J11">
        <v>72.215217456358161</v>
      </c>
      <c r="K11">
        <v>2.2925724291173566</v>
      </c>
      <c r="L11">
        <v>4.8398862936192043E-3</v>
      </c>
      <c r="M11">
        <v>0.15341378018650587</v>
      </c>
      <c r="N11">
        <v>9.4871442924899119E-3</v>
      </c>
      <c r="O11">
        <v>8.2392610597304163E-3</v>
      </c>
      <c r="P11">
        <v>497.27182851199899</v>
      </c>
      <c r="Q11">
        <v>8.6364220751154828E-4</v>
      </c>
      <c r="R11">
        <v>0.6950246949206923</v>
      </c>
      <c r="S11">
        <v>0.60503813890198532</v>
      </c>
    </row>
    <row r="12" spans="2:19" x14ac:dyDescent="0.3">
      <c r="B12" t="s">
        <v>72</v>
      </c>
      <c r="C12">
        <v>190000</v>
      </c>
      <c r="D12">
        <v>12.154779351142624</v>
      </c>
      <c r="E12">
        <v>55</v>
      </c>
      <c r="F12">
        <v>0</v>
      </c>
      <c r="G12">
        <v>0</v>
      </c>
      <c r="H12">
        <v>0</v>
      </c>
      <c r="I12">
        <v>0</v>
      </c>
      <c r="J12">
        <v>64810</v>
      </c>
      <c r="K12">
        <v>1204</v>
      </c>
      <c r="L12">
        <v>3</v>
      </c>
      <c r="M12">
        <v>1970</v>
      </c>
      <c r="N12">
        <v>7</v>
      </c>
      <c r="O12">
        <v>2</v>
      </c>
      <c r="P12">
        <v>69974</v>
      </c>
      <c r="Q12">
        <v>1</v>
      </c>
      <c r="R12">
        <v>228</v>
      </c>
      <c r="S12">
        <v>75</v>
      </c>
    </row>
    <row r="13" spans="2:19" x14ac:dyDescent="0.3">
      <c r="B13" t="s">
        <v>73</v>
      </c>
      <c r="C13">
        <v>150000</v>
      </c>
      <c r="D13">
        <v>11.918390573078392</v>
      </c>
      <c r="E13">
        <v>55</v>
      </c>
      <c r="F13">
        <v>0</v>
      </c>
      <c r="G13">
        <v>0</v>
      </c>
      <c r="H13">
        <v>0</v>
      </c>
      <c r="I13">
        <v>0</v>
      </c>
      <c r="J13">
        <v>79200</v>
      </c>
      <c r="K13">
        <v>1394</v>
      </c>
      <c r="L13">
        <v>3</v>
      </c>
      <c r="M13">
        <v>1950</v>
      </c>
      <c r="N13">
        <v>6</v>
      </c>
      <c r="O13">
        <v>2</v>
      </c>
      <c r="P13">
        <v>99974</v>
      </c>
      <c r="Q13">
        <v>1</v>
      </c>
      <c r="R13">
        <v>192</v>
      </c>
      <c r="S13">
        <v>100</v>
      </c>
    </row>
    <row r="14" spans="2:19" x14ac:dyDescent="0.3">
      <c r="B14" t="s">
        <v>74</v>
      </c>
      <c r="C14">
        <v>281958.04151546943</v>
      </c>
      <c r="D14">
        <v>0.79110912152625579</v>
      </c>
      <c r="E14">
        <v>15.461392955651538</v>
      </c>
      <c r="F14">
        <v>0.40934097550008719</v>
      </c>
      <c r="G14">
        <v>0.43013388930383811</v>
      </c>
      <c r="H14">
        <v>0.45784209745474724</v>
      </c>
      <c r="I14">
        <v>0.45597540431606648</v>
      </c>
      <c r="J14">
        <v>12508.042571404723</v>
      </c>
      <c r="K14">
        <v>397.08519272628598</v>
      </c>
      <c r="L14">
        <v>0.83829289634046833</v>
      </c>
      <c r="M14">
        <v>26.572046186423172</v>
      </c>
      <c r="N14">
        <v>1.6432215933329617</v>
      </c>
      <c r="O14">
        <v>1.427081877227687</v>
      </c>
      <c r="P14">
        <v>86130.007215546008</v>
      </c>
      <c r="Q14">
        <v>0.14958721829709451</v>
      </c>
      <c r="R14">
        <v>120.38180841176977</v>
      </c>
      <c r="S14">
        <v>104.79567970951541</v>
      </c>
    </row>
    <row r="15" spans="2:19" x14ac:dyDescent="0.3">
      <c r="B15" t="s">
        <v>75</v>
      </c>
      <c r="C15">
        <v>79500337175.239182</v>
      </c>
      <c r="D15">
        <v>0.62585364216204409</v>
      </c>
      <c r="E15">
        <v>239.05467212907101</v>
      </c>
      <c r="F15">
        <v>0.16756003422336299</v>
      </c>
      <c r="G15">
        <v>0.18501516272764648</v>
      </c>
      <c r="H15">
        <v>0.20961938620176229</v>
      </c>
      <c r="I15">
        <v>0.20791356934120028</v>
      </c>
      <c r="J15">
        <v>156451128.96807289</v>
      </c>
      <c r="K15">
        <v>157676.65028247167</v>
      </c>
      <c r="L15">
        <v>0.7027349800548911</v>
      </c>
      <c r="M15">
        <v>706.07363853340621</v>
      </c>
      <c r="N15">
        <v>2.7001772047957173</v>
      </c>
      <c r="O15">
        <v>2.0365626843116993</v>
      </c>
      <c r="P15">
        <v>7418378142.9500065</v>
      </c>
      <c r="Q15">
        <v>2.2376335877862606E-2</v>
      </c>
      <c r="R15">
        <v>14491.779796488043</v>
      </c>
      <c r="S15">
        <v>10982.134485779339</v>
      </c>
    </row>
    <row r="16" spans="2:19" x14ac:dyDescent="0.3">
      <c r="B16" t="s">
        <v>76</v>
      </c>
      <c r="C16">
        <v>33.202565648028234</v>
      </c>
      <c r="D16">
        <v>0.89613416943686408</v>
      </c>
      <c r="E16">
        <v>-0.57129975618304796</v>
      </c>
      <c r="F16">
        <v>-3.1596092486083638E-2</v>
      </c>
      <c r="G16">
        <v>-0.59475654575640524</v>
      </c>
      <c r="H16">
        <v>-1.2292947245253607</v>
      </c>
      <c r="I16">
        <v>-1.1901471386625062</v>
      </c>
      <c r="J16">
        <v>0.92228412233456369</v>
      </c>
      <c r="K16">
        <v>1.2032153329152657</v>
      </c>
      <c r="L16">
        <v>1.0054145889571742</v>
      </c>
      <c r="M16">
        <v>-0.92871468998823703</v>
      </c>
      <c r="N16">
        <v>1.053002105534238</v>
      </c>
      <c r="O16">
        <v>2.5366636433228424</v>
      </c>
      <c r="P16">
        <v>11.506155239805132</v>
      </c>
      <c r="Q16">
        <v>38.698208364908979</v>
      </c>
      <c r="R16">
        <v>4.2942241286958378</v>
      </c>
      <c r="S16">
        <v>64.225995136273923</v>
      </c>
    </row>
    <row r="17" spans="2:19" x14ac:dyDescent="0.3">
      <c r="B17" t="s">
        <v>77</v>
      </c>
      <c r="C17">
        <v>4.8340711353439048</v>
      </c>
      <c r="D17">
        <v>-3.7799424154500112E-2</v>
      </c>
      <c r="E17">
        <v>0.15941104063596781</v>
      </c>
      <c r="F17">
        <v>1.4029989374066918</v>
      </c>
      <c r="G17">
        <v>1.185446375473951</v>
      </c>
      <c r="H17">
        <v>0.87794489172094492</v>
      </c>
      <c r="I17">
        <v>0.89996233750363874</v>
      </c>
      <c r="J17">
        <v>0.97172521349443242</v>
      </c>
      <c r="K17">
        <v>1.0813529323869702</v>
      </c>
      <c r="L17">
        <v>0.4823961828406978</v>
      </c>
      <c r="M17">
        <v>-0.28204867696524888</v>
      </c>
      <c r="N17">
        <v>0.76367161158582275</v>
      </c>
      <c r="O17">
        <v>1.15892279766258</v>
      </c>
      <c r="P17">
        <v>2.7505194902904559</v>
      </c>
      <c r="Q17">
        <v>-6.3793125404453876</v>
      </c>
      <c r="R17">
        <v>1.5890527982173697</v>
      </c>
      <c r="S17">
        <v>5.7678677867707009</v>
      </c>
    </row>
    <row r="18" spans="2:19" x14ac:dyDescent="0.3">
      <c r="B18" t="s">
        <v>78</v>
      </c>
      <c r="C18">
        <v>2510000</v>
      </c>
      <c r="D18">
        <v>5.5294290875114225</v>
      </c>
      <c r="E18">
        <v>79</v>
      </c>
      <c r="F18">
        <v>1</v>
      </c>
      <c r="G18">
        <v>1</v>
      </c>
      <c r="H18">
        <v>1</v>
      </c>
      <c r="I18">
        <v>1</v>
      </c>
      <c r="J18">
        <v>76800</v>
      </c>
      <c r="K18">
        <v>3030</v>
      </c>
      <c r="L18">
        <v>7</v>
      </c>
      <c r="M18">
        <v>94</v>
      </c>
      <c r="N18">
        <v>13</v>
      </c>
      <c r="O18">
        <v>19</v>
      </c>
      <c r="P18">
        <v>1060921</v>
      </c>
      <c r="Q18">
        <v>1</v>
      </c>
      <c r="R18">
        <v>1243</v>
      </c>
      <c r="S18">
        <v>2020.8333333666999</v>
      </c>
    </row>
    <row r="19" spans="2:19" x14ac:dyDescent="0.3">
      <c r="B19" t="s">
        <v>79</v>
      </c>
      <c r="C19">
        <v>10000</v>
      </c>
      <c r="D19">
        <v>9.2103403719761836</v>
      </c>
      <c r="E19">
        <v>14</v>
      </c>
      <c r="F19">
        <v>0</v>
      </c>
      <c r="G19">
        <v>0</v>
      </c>
      <c r="H19">
        <v>0</v>
      </c>
      <c r="I19">
        <v>0</v>
      </c>
      <c r="J19">
        <v>38500</v>
      </c>
      <c r="K19">
        <v>481</v>
      </c>
      <c r="L19">
        <v>0</v>
      </c>
      <c r="M19">
        <v>1919</v>
      </c>
      <c r="N19">
        <v>2</v>
      </c>
      <c r="O19">
        <v>1</v>
      </c>
      <c r="P19">
        <v>1000</v>
      </c>
      <c r="Q19">
        <v>0</v>
      </c>
      <c r="R19">
        <v>6</v>
      </c>
      <c r="S19">
        <v>8.3333333300000006E-2</v>
      </c>
    </row>
    <row r="20" spans="2:19" x14ac:dyDescent="0.3">
      <c r="B20" t="s">
        <v>80</v>
      </c>
      <c r="C20">
        <v>2520000</v>
      </c>
      <c r="D20">
        <v>14.739769459487606</v>
      </c>
      <c r="E20">
        <v>93</v>
      </c>
      <c r="F20">
        <v>1</v>
      </c>
      <c r="G20">
        <v>1</v>
      </c>
      <c r="H20">
        <v>1</v>
      </c>
      <c r="I20">
        <v>1</v>
      </c>
      <c r="J20">
        <v>115300</v>
      </c>
      <c r="K20">
        <v>3511</v>
      </c>
      <c r="L20">
        <v>7</v>
      </c>
      <c r="M20">
        <v>2013</v>
      </c>
      <c r="N20">
        <v>15</v>
      </c>
      <c r="O20">
        <v>20</v>
      </c>
      <c r="P20">
        <v>1061921</v>
      </c>
      <c r="Q20">
        <v>1</v>
      </c>
      <c r="R20">
        <v>1249</v>
      </c>
      <c r="S20">
        <v>2020.9166667</v>
      </c>
    </row>
    <row r="21" spans="2:19" x14ac:dyDescent="0.3">
      <c r="B21" t="s">
        <v>81</v>
      </c>
      <c r="C21">
        <v>7892820000</v>
      </c>
      <c r="D21">
        <v>364699.83301075216</v>
      </c>
      <c r="E21">
        <v>1667418</v>
      </c>
      <c r="F21">
        <v>6386</v>
      </c>
      <c r="G21">
        <v>7352</v>
      </c>
      <c r="H21">
        <v>8971</v>
      </c>
      <c r="I21">
        <v>8845</v>
      </c>
      <c r="J21">
        <v>2052326812</v>
      </c>
      <c r="K21">
        <v>38556722</v>
      </c>
      <c r="L21">
        <v>98140</v>
      </c>
      <c r="M21">
        <v>59044523</v>
      </c>
      <c r="N21">
        <v>203711</v>
      </c>
      <c r="O21">
        <v>79709</v>
      </c>
      <c r="P21">
        <v>2737239407</v>
      </c>
      <c r="Q21">
        <v>29313</v>
      </c>
      <c r="R21">
        <v>7589429.0833338499</v>
      </c>
      <c r="S21">
        <v>2987502.2500017504</v>
      </c>
    </row>
    <row r="22" spans="2:19" ht="15" thickBot="1" x14ac:dyDescent="0.35">
      <c r="B22" s="5" t="s">
        <v>82</v>
      </c>
      <c r="C22" s="5">
        <v>30000</v>
      </c>
      <c r="D22" s="5">
        <v>30000</v>
      </c>
      <c r="E22" s="5">
        <v>30000</v>
      </c>
      <c r="F22" s="5">
        <v>30000</v>
      </c>
      <c r="G22" s="5">
        <v>30000</v>
      </c>
      <c r="H22" s="5">
        <v>30000</v>
      </c>
      <c r="I22" s="5">
        <v>30000</v>
      </c>
      <c r="J22" s="5">
        <v>30000</v>
      </c>
      <c r="K22" s="5">
        <v>30000</v>
      </c>
      <c r="L22" s="5">
        <v>30000</v>
      </c>
      <c r="M22" s="5">
        <v>30000</v>
      </c>
      <c r="N22" s="5">
        <v>30000</v>
      </c>
      <c r="O22" s="5">
        <v>30000</v>
      </c>
      <c r="P22" s="5">
        <v>30000</v>
      </c>
      <c r="Q22" s="5">
        <v>30000</v>
      </c>
      <c r="R22" s="5">
        <v>30000</v>
      </c>
      <c r="S22" s="5">
        <v>30000</v>
      </c>
    </row>
    <row r="26" spans="2:19" ht="18.600000000000001" thickBot="1" x14ac:dyDescent="0.4">
      <c r="B26" s="3" t="s">
        <v>7</v>
      </c>
    </row>
    <row r="27" spans="2:19" x14ac:dyDescent="0.3">
      <c r="B27" s="6"/>
      <c r="C27" s="6" t="s">
        <v>64</v>
      </c>
      <c r="D27" s="6" t="s">
        <v>65</v>
      </c>
      <c r="E27" s="6" t="s">
        <v>34</v>
      </c>
      <c r="F27" s="6" t="s">
        <v>36</v>
      </c>
      <c r="G27" s="6" t="s">
        <v>38</v>
      </c>
      <c r="H27" s="6" t="s">
        <v>40</v>
      </c>
      <c r="I27" s="6" t="s">
        <v>42</v>
      </c>
      <c r="J27" s="6" t="s">
        <v>44</v>
      </c>
      <c r="K27" s="6" t="s">
        <v>46</v>
      </c>
      <c r="L27" s="6" t="s">
        <v>48</v>
      </c>
      <c r="M27" s="6" t="s">
        <v>50</v>
      </c>
      <c r="N27" s="6" t="s">
        <v>52</v>
      </c>
      <c r="O27" s="6" t="s">
        <v>54</v>
      </c>
      <c r="P27" s="6" t="s">
        <v>56</v>
      </c>
      <c r="Q27" s="6" t="s">
        <v>58</v>
      </c>
      <c r="R27" s="6" t="s">
        <v>60</v>
      </c>
      <c r="S27" s="6" t="s">
        <v>62</v>
      </c>
    </row>
    <row r="29" spans="2:19" x14ac:dyDescent="0.3">
      <c r="B29" t="s">
        <v>71</v>
      </c>
      <c r="C29">
        <v>263094</v>
      </c>
      <c r="D29">
        <v>12.156661100358406</v>
      </c>
      <c r="E29">
        <v>55.580599999999997</v>
      </c>
      <c r="F29">
        <v>0.21286666666666668</v>
      </c>
      <c r="G29">
        <v>0.24506666666666665</v>
      </c>
      <c r="H29">
        <v>0.29903333333333332</v>
      </c>
      <c r="I29">
        <v>0.29483333333333334</v>
      </c>
      <c r="J29">
        <v>11.117672277210595</v>
      </c>
      <c r="K29">
        <v>7.1149213503012181</v>
      </c>
      <c r="L29">
        <v>3.2713333333333332</v>
      </c>
      <c r="M29">
        <v>1968.1507666666666</v>
      </c>
      <c r="N29">
        <v>6.7903666666666664</v>
      </c>
      <c r="O29">
        <v>2.6569666666666665</v>
      </c>
      <c r="P29">
        <v>11.048311078809796</v>
      </c>
      <c r="Q29">
        <v>0.97709999999999997</v>
      </c>
      <c r="R29">
        <v>5.4312457966074277</v>
      </c>
      <c r="S29">
        <v>4.2698685099244482</v>
      </c>
    </row>
    <row r="30" spans="2:19" x14ac:dyDescent="0.3">
      <c r="B30" t="s">
        <v>13</v>
      </c>
      <c r="C30">
        <v>1627.8855116913596</v>
      </c>
      <c r="D30">
        <v>4.5674706427155211E-3</v>
      </c>
      <c r="E30">
        <v>8.9266393849919995E-2</v>
      </c>
      <c r="F30">
        <v>2.3633312239531934E-3</v>
      </c>
      <c r="G30">
        <v>2.4833791677715163E-3</v>
      </c>
      <c r="H30">
        <v>2.6433525821184119E-3</v>
      </c>
      <c r="I30">
        <v>2.6325752242572944E-3</v>
      </c>
      <c r="J30">
        <v>1.006725503889578E-3</v>
      </c>
      <c r="K30">
        <v>1.6873696221737595E-3</v>
      </c>
      <c r="L30">
        <v>4.8398862936192043E-3</v>
      </c>
      <c r="M30">
        <v>0.15341378018650587</v>
      </c>
      <c r="N30">
        <v>9.4871442924899119E-3</v>
      </c>
      <c r="O30">
        <v>8.2392610597304163E-3</v>
      </c>
      <c r="P30">
        <v>5.368539716167792E-3</v>
      </c>
      <c r="Q30">
        <v>8.6364220751154828E-4</v>
      </c>
      <c r="R30">
        <v>2.6317487907733918E-3</v>
      </c>
      <c r="S30">
        <v>4.9427167747530063E-3</v>
      </c>
    </row>
    <row r="31" spans="2:19" x14ac:dyDescent="0.3">
      <c r="B31" t="s">
        <v>72</v>
      </c>
      <c r="C31">
        <v>190000</v>
      </c>
      <c r="D31">
        <v>12.154779351142624</v>
      </c>
      <c r="E31">
        <v>55</v>
      </c>
      <c r="F31">
        <v>0</v>
      </c>
      <c r="G31">
        <v>0</v>
      </c>
      <c r="H31">
        <v>0</v>
      </c>
      <c r="I31">
        <v>0</v>
      </c>
      <c r="J31">
        <v>11.079215191421762</v>
      </c>
      <c r="K31">
        <v>7.0934046258687662</v>
      </c>
      <c r="L31">
        <v>3</v>
      </c>
      <c r="M31">
        <v>1970</v>
      </c>
      <c r="N31">
        <v>7</v>
      </c>
      <c r="O31">
        <v>2</v>
      </c>
      <c r="P31">
        <v>11.15587902346339</v>
      </c>
      <c r="Q31">
        <v>1</v>
      </c>
      <c r="R31">
        <v>5.4293456289544411</v>
      </c>
      <c r="S31">
        <v>4.3174881135363101</v>
      </c>
    </row>
    <row r="32" spans="2:19" x14ac:dyDescent="0.3">
      <c r="B32" t="s">
        <v>73</v>
      </c>
      <c r="C32">
        <v>150000</v>
      </c>
      <c r="D32">
        <v>11.918390573078392</v>
      </c>
      <c r="E32">
        <v>55</v>
      </c>
      <c r="F32">
        <v>0</v>
      </c>
      <c r="G32">
        <v>0</v>
      </c>
      <c r="H32">
        <v>0</v>
      </c>
      <c r="I32">
        <v>0</v>
      </c>
      <c r="J32">
        <v>11.279731577802517</v>
      </c>
      <c r="K32">
        <v>7.2399325913204695</v>
      </c>
      <c r="L32">
        <v>3</v>
      </c>
      <c r="M32">
        <v>1950</v>
      </c>
      <c r="N32">
        <v>6</v>
      </c>
      <c r="O32">
        <v>2</v>
      </c>
      <c r="P32">
        <v>11.512665431164368</v>
      </c>
      <c r="Q32">
        <v>1</v>
      </c>
      <c r="R32">
        <v>5.2574953720277815</v>
      </c>
      <c r="S32">
        <v>4.6051701859880918</v>
      </c>
    </row>
    <row r="33" spans="2:19" x14ac:dyDescent="0.3">
      <c r="B33" t="s">
        <v>74</v>
      </c>
      <c r="C33">
        <v>281958.04151546943</v>
      </c>
      <c r="D33">
        <v>0.79110912152625579</v>
      </c>
      <c r="E33">
        <v>15.461392955651538</v>
      </c>
      <c r="F33">
        <v>0.40934097550008719</v>
      </c>
      <c r="G33">
        <v>0.43013388930383811</v>
      </c>
      <c r="H33">
        <v>0.45784209745474724</v>
      </c>
      <c r="I33">
        <v>0.45597540431606648</v>
      </c>
      <c r="J33">
        <v>0.17436997220121284</v>
      </c>
      <c r="K33">
        <v>0.29226099167532515</v>
      </c>
      <c r="L33">
        <v>0.83829289634046833</v>
      </c>
      <c r="M33">
        <v>26.572046186423172</v>
      </c>
      <c r="N33">
        <v>1.6432215933329617</v>
      </c>
      <c r="O33">
        <v>1.427081877227687</v>
      </c>
      <c r="P33">
        <v>0.92985835508540149</v>
      </c>
      <c r="Q33">
        <v>0.14958721829709451</v>
      </c>
      <c r="R33">
        <v>0.45583226183774694</v>
      </c>
      <c r="S33">
        <v>0.85610365812951805</v>
      </c>
    </row>
    <row r="34" spans="2:19" x14ac:dyDescent="0.3">
      <c r="B34" t="s">
        <v>75</v>
      </c>
      <c r="C34">
        <v>79500337175.239182</v>
      </c>
      <c r="D34">
        <v>0.62585364216204409</v>
      </c>
      <c r="E34">
        <v>239.05467212907101</v>
      </c>
      <c r="F34">
        <v>0.16756003422336299</v>
      </c>
      <c r="G34">
        <v>0.18501516272764648</v>
      </c>
      <c r="H34">
        <v>0.20961938620176229</v>
      </c>
      <c r="I34">
        <v>0.20791356934120028</v>
      </c>
      <c r="J34">
        <v>3.0404887205451734E-2</v>
      </c>
      <c r="K34">
        <v>8.5416487255044471E-2</v>
      </c>
      <c r="L34">
        <v>0.7027349800548911</v>
      </c>
      <c r="M34">
        <v>706.07363853340621</v>
      </c>
      <c r="N34">
        <v>2.7001772047957173</v>
      </c>
      <c r="O34">
        <v>2.0365626843116993</v>
      </c>
      <c r="P34">
        <v>0.86463656052212867</v>
      </c>
      <c r="Q34">
        <v>2.2376335877862606E-2</v>
      </c>
      <c r="R34">
        <v>0.20778305093211627</v>
      </c>
      <c r="S34">
        <v>0.73291347346274272</v>
      </c>
    </row>
    <row r="35" spans="2:19" x14ac:dyDescent="0.3">
      <c r="B35" t="s">
        <v>76</v>
      </c>
      <c r="C35">
        <v>33.202565648028234</v>
      </c>
      <c r="D35">
        <v>0.89613416943686408</v>
      </c>
      <c r="E35">
        <v>-0.57129975618304796</v>
      </c>
      <c r="F35">
        <v>-3.1596092486083638E-2</v>
      </c>
      <c r="G35">
        <v>-0.59475654575640524</v>
      </c>
      <c r="H35">
        <v>-1.2292947245253607</v>
      </c>
      <c r="I35">
        <v>-1.1901471386625062</v>
      </c>
      <c r="J35">
        <v>0.19835258942528222</v>
      </c>
      <c r="K35">
        <v>-1.4464656200101622E-2</v>
      </c>
      <c r="L35">
        <v>1.0054145889571742</v>
      </c>
      <c r="M35">
        <v>-0.92871468998823703</v>
      </c>
      <c r="N35">
        <v>1.053002105534238</v>
      </c>
      <c r="O35">
        <v>2.5366636433228424</v>
      </c>
      <c r="P35">
        <v>1.6438171619767989</v>
      </c>
      <c r="Q35">
        <v>38.698208364908979</v>
      </c>
      <c r="R35">
        <v>1.5164643531047397</v>
      </c>
      <c r="S35">
        <v>8.614443381537578</v>
      </c>
    </row>
    <row r="36" spans="2:19" x14ac:dyDescent="0.3">
      <c r="B36" t="s">
        <v>77</v>
      </c>
      <c r="C36">
        <v>4.8340711353439048</v>
      </c>
      <c r="D36">
        <v>-3.7799424154500112E-2</v>
      </c>
      <c r="E36">
        <v>0.15941104063596781</v>
      </c>
      <c r="F36">
        <v>1.4029989374066918</v>
      </c>
      <c r="G36">
        <v>1.185446375473951</v>
      </c>
      <c r="H36">
        <v>0.87794489172094492</v>
      </c>
      <c r="I36">
        <v>0.89996233750363874</v>
      </c>
      <c r="J36">
        <v>0.46164579366429037</v>
      </c>
      <c r="K36">
        <v>0.26129854481585624</v>
      </c>
      <c r="L36">
        <v>0.4823961828406978</v>
      </c>
      <c r="M36">
        <v>-0.28204867696524888</v>
      </c>
      <c r="N36">
        <v>0.76367161158582275</v>
      </c>
      <c r="O36">
        <v>1.15892279766258</v>
      </c>
      <c r="P36">
        <v>-0.7089355791119063</v>
      </c>
      <c r="Q36">
        <v>-6.3793125404453876</v>
      </c>
      <c r="R36">
        <v>-0.23321583184061115</v>
      </c>
      <c r="S36">
        <v>-1.1905966277514788</v>
      </c>
    </row>
    <row r="37" spans="2:19" x14ac:dyDescent="0.3">
      <c r="B37" t="s">
        <v>78</v>
      </c>
      <c r="C37">
        <v>2510000</v>
      </c>
      <c r="D37">
        <v>5.5294290875114225</v>
      </c>
      <c r="E37">
        <v>79</v>
      </c>
      <c r="F37">
        <v>1</v>
      </c>
      <c r="G37">
        <v>1</v>
      </c>
      <c r="H37">
        <v>1</v>
      </c>
      <c r="I37">
        <v>1</v>
      </c>
      <c r="J37">
        <v>1.0968791859812743</v>
      </c>
      <c r="K37">
        <v>1.9877889060626712</v>
      </c>
      <c r="L37">
        <v>7</v>
      </c>
      <c r="M37">
        <v>94</v>
      </c>
      <c r="N37">
        <v>13</v>
      </c>
      <c r="O37">
        <v>19</v>
      </c>
      <c r="P37">
        <v>6.9678348110876946</v>
      </c>
      <c r="Q37">
        <v>1</v>
      </c>
      <c r="R37">
        <v>5.3383390408975231</v>
      </c>
      <c r="S37">
        <v>10.0962131330453</v>
      </c>
    </row>
    <row r="38" spans="2:19" x14ac:dyDescent="0.3">
      <c r="B38" t="s">
        <v>79</v>
      </c>
      <c r="C38">
        <v>10000</v>
      </c>
      <c r="D38">
        <v>9.2103403719761836</v>
      </c>
      <c r="E38">
        <v>14</v>
      </c>
      <c r="F38">
        <v>0</v>
      </c>
      <c r="G38">
        <v>0</v>
      </c>
      <c r="H38">
        <v>0</v>
      </c>
      <c r="I38">
        <v>0</v>
      </c>
      <c r="J38">
        <v>10.558413520275876</v>
      </c>
      <c r="K38">
        <v>6.1758672701057611</v>
      </c>
      <c r="L38">
        <v>0</v>
      </c>
      <c r="M38">
        <v>1919</v>
      </c>
      <c r="N38">
        <v>2</v>
      </c>
      <c r="O38">
        <v>1</v>
      </c>
      <c r="P38">
        <v>6.9077552789821368</v>
      </c>
      <c r="Q38">
        <v>0</v>
      </c>
      <c r="R38">
        <v>1.791759469228055</v>
      </c>
      <c r="S38">
        <v>-2.4849066501880004</v>
      </c>
    </row>
    <row r="39" spans="2:19" x14ac:dyDescent="0.3">
      <c r="B39" t="s">
        <v>80</v>
      </c>
      <c r="C39">
        <v>2520000</v>
      </c>
      <c r="D39">
        <v>14.739769459487606</v>
      </c>
      <c r="E39">
        <v>93</v>
      </c>
      <c r="F39">
        <v>1</v>
      </c>
      <c r="G39">
        <v>1</v>
      </c>
      <c r="H39">
        <v>1</v>
      </c>
      <c r="I39">
        <v>1</v>
      </c>
      <c r="J39">
        <v>11.65529270625715</v>
      </c>
      <c r="K39">
        <v>8.1636561761684323</v>
      </c>
      <c r="L39">
        <v>7</v>
      </c>
      <c r="M39">
        <v>2013</v>
      </c>
      <c r="N39">
        <v>15</v>
      </c>
      <c r="O39">
        <v>20</v>
      </c>
      <c r="P39">
        <v>13.875590090069831</v>
      </c>
      <c r="Q39">
        <v>1</v>
      </c>
      <c r="R39">
        <v>7.1300985101255776</v>
      </c>
      <c r="S39">
        <v>7.6113064828572989</v>
      </c>
    </row>
    <row r="40" spans="2:19" x14ac:dyDescent="0.3">
      <c r="B40" t="s">
        <v>81</v>
      </c>
      <c r="C40">
        <v>7892820000</v>
      </c>
      <c r="D40">
        <v>364699.83301075216</v>
      </c>
      <c r="E40">
        <v>1667418</v>
      </c>
      <c r="F40">
        <v>6386</v>
      </c>
      <c r="G40">
        <v>7352</v>
      </c>
      <c r="H40">
        <v>8971</v>
      </c>
      <c r="I40">
        <v>8845</v>
      </c>
      <c r="J40">
        <v>333530.16831631784</v>
      </c>
      <c r="K40">
        <v>213447.64050903654</v>
      </c>
      <c r="L40">
        <v>98140</v>
      </c>
      <c r="M40">
        <v>59044523</v>
      </c>
      <c r="N40">
        <v>203711</v>
      </c>
      <c r="O40">
        <v>79709</v>
      </c>
      <c r="P40">
        <v>331449.33236429386</v>
      </c>
      <c r="Q40">
        <v>29313</v>
      </c>
      <c r="R40">
        <v>162937.37389822284</v>
      </c>
      <c r="S40">
        <v>128096.05529773344</v>
      </c>
    </row>
    <row r="41" spans="2:19" ht="15" thickBot="1" x14ac:dyDescent="0.35">
      <c r="B41" s="5" t="s">
        <v>82</v>
      </c>
      <c r="C41" s="5">
        <v>30000</v>
      </c>
      <c r="D41" s="5">
        <v>30000</v>
      </c>
      <c r="E41" s="5">
        <v>30000</v>
      </c>
      <c r="F41" s="5">
        <v>30000</v>
      </c>
      <c r="G41" s="5">
        <v>30000</v>
      </c>
      <c r="H41" s="5">
        <v>30000</v>
      </c>
      <c r="I41" s="5">
        <v>30000</v>
      </c>
      <c r="J41" s="5">
        <v>30000</v>
      </c>
      <c r="K41" s="5">
        <v>30000</v>
      </c>
      <c r="L41" s="5">
        <v>30000</v>
      </c>
      <c r="M41" s="5">
        <v>30000</v>
      </c>
      <c r="N41" s="5">
        <v>30000</v>
      </c>
      <c r="O41" s="5">
        <v>30000</v>
      </c>
      <c r="P41" s="5">
        <v>30000</v>
      </c>
      <c r="Q41" s="5">
        <v>30000</v>
      </c>
      <c r="R41" s="5">
        <v>30000</v>
      </c>
      <c r="S41" s="5">
        <v>30000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:V74"/>
  <sheetViews>
    <sheetView topLeftCell="A42" workbookViewId="0">
      <selection activeCell="Q45" sqref="Q45"/>
    </sheetView>
  </sheetViews>
  <sheetFormatPr defaultRowHeight="14.4" x14ac:dyDescent="0.3"/>
  <sheetData>
    <row r="7" spans="2:14" ht="15" thickBot="1" x14ac:dyDescent="0.35"/>
    <row r="8" spans="2:14" ht="18" x14ac:dyDescent="0.35">
      <c r="B8" s="3" t="s">
        <v>86</v>
      </c>
      <c r="M8" s="6" t="s">
        <v>83</v>
      </c>
      <c r="N8" s="6" t="s">
        <v>84</v>
      </c>
    </row>
    <row r="9" spans="2:14" x14ac:dyDescent="0.3">
      <c r="M9">
        <v>0</v>
      </c>
      <c r="N9">
        <v>0</v>
      </c>
    </row>
    <row r="10" spans="2:14" x14ac:dyDescent="0.3">
      <c r="M10">
        <v>50000</v>
      </c>
      <c r="N10">
        <v>1571</v>
      </c>
    </row>
    <row r="11" spans="2:14" x14ac:dyDescent="0.3">
      <c r="M11">
        <v>100000</v>
      </c>
      <c r="N11">
        <v>5247</v>
      </c>
    </row>
    <row r="12" spans="2:14" x14ac:dyDescent="0.3">
      <c r="M12">
        <v>150000</v>
      </c>
      <c r="N12">
        <v>5231</v>
      </c>
    </row>
    <row r="13" spans="2:14" x14ac:dyDescent="0.3">
      <c r="M13">
        <v>200000</v>
      </c>
      <c r="N13">
        <v>4720</v>
      </c>
    </row>
    <row r="14" spans="2:14" x14ac:dyDescent="0.3">
      <c r="M14">
        <v>250000</v>
      </c>
      <c r="N14">
        <v>3091</v>
      </c>
    </row>
    <row r="15" spans="2:14" x14ac:dyDescent="0.3">
      <c r="M15">
        <v>300000</v>
      </c>
      <c r="N15">
        <v>2584</v>
      </c>
    </row>
    <row r="16" spans="2:14" x14ac:dyDescent="0.3">
      <c r="M16">
        <v>350000</v>
      </c>
      <c r="N16">
        <v>1731</v>
      </c>
    </row>
    <row r="17" spans="13:14" x14ac:dyDescent="0.3">
      <c r="M17">
        <v>400000</v>
      </c>
      <c r="N17">
        <v>1466</v>
      </c>
    </row>
    <row r="18" spans="13:14" x14ac:dyDescent="0.3">
      <c r="M18">
        <v>450000</v>
      </c>
      <c r="N18">
        <v>858</v>
      </c>
    </row>
    <row r="19" spans="13:14" x14ac:dyDescent="0.3">
      <c r="M19">
        <v>500000</v>
      </c>
      <c r="N19">
        <v>826</v>
      </c>
    </row>
    <row r="20" spans="13:14" x14ac:dyDescent="0.3">
      <c r="M20">
        <v>550000</v>
      </c>
      <c r="N20">
        <v>364</v>
      </c>
    </row>
    <row r="21" spans="13:14" x14ac:dyDescent="0.3">
      <c r="M21">
        <v>600000</v>
      </c>
      <c r="N21">
        <v>489</v>
      </c>
    </row>
    <row r="22" spans="13:14" x14ac:dyDescent="0.3">
      <c r="M22">
        <v>650000</v>
      </c>
      <c r="N22">
        <v>279</v>
      </c>
    </row>
    <row r="23" spans="13:14" x14ac:dyDescent="0.3">
      <c r="M23">
        <v>700000</v>
      </c>
      <c r="N23">
        <v>257</v>
      </c>
    </row>
    <row r="24" spans="13:14" x14ac:dyDescent="0.3">
      <c r="M24">
        <v>750000</v>
      </c>
      <c r="N24">
        <v>197</v>
      </c>
    </row>
    <row r="25" spans="13:14" x14ac:dyDescent="0.3">
      <c r="M25">
        <v>800000</v>
      </c>
      <c r="N25">
        <v>217</v>
      </c>
    </row>
    <row r="26" spans="13:14" x14ac:dyDescent="0.3">
      <c r="M26">
        <v>850000</v>
      </c>
      <c r="N26">
        <v>119</v>
      </c>
    </row>
    <row r="27" spans="13:14" x14ac:dyDescent="0.3">
      <c r="M27">
        <v>900000</v>
      </c>
      <c r="N27">
        <v>138</v>
      </c>
    </row>
    <row r="28" spans="13:14" x14ac:dyDescent="0.3">
      <c r="M28">
        <v>950000</v>
      </c>
      <c r="N28">
        <v>37</v>
      </c>
    </row>
    <row r="29" spans="13:14" x14ac:dyDescent="0.3">
      <c r="M29">
        <v>1000000</v>
      </c>
      <c r="N29">
        <v>178</v>
      </c>
    </row>
    <row r="30" spans="13:14" x14ac:dyDescent="0.3">
      <c r="M30">
        <v>1050000</v>
      </c>
      <c r="N30">
        <v>12</v>
      </c>
    </row>
    <row r="31" spans="13:14" x14ac:dyDescent="0.3">
      <c r="M31">
        <v>1100000</v>
      </c>
      <c r="N31">
        <v>35</v>
      </c>
    </row>
    <row r="32" spans="13:14" x14ac:dyDescent="0.3">
      <c r="M32">
        <v>1150000</v>
      </c>
      <c r="N32">
        <v>1</v>
      </c>
    </row>
    <row r="33" spans="13:22" x14ac:dyDescent="0.3">
      <c r="M33">
        <v>1200000</v>
      </c>
      <c r="N33">
        <v>64</v>
      </c>
    </row>
    <row r="34" spans="13:22" x14ac:dyDescent="0.3">
      <c r="M34">
        <v>1250000</v>
      </c>
      <c r="N34">
        <v>10</v>
      </c>
    </row>
    <row r="35" spans="13:22" x14ac:dyDescent="0.3">
      <c r="M35">
        <v>1300000</v>
      </c>
      <c r="N35">
        <v>19</v>
      </c>
    </row>
    <row r="36" spans="13:22" x14ac:dyDescent="0.3">
      <c r="M36">
        <v>1350000</v>
      </c>
      <c r="N36">
        <v>4</v>
      </c>
    </row>
    <row r="37" spans="13:22" x14ac:dyDescent="0.3">
      <c r="M37">
        <v>1400000</v>
      </c>
      <c r="N37">
        <v>1</v>
      </c>
    </row>
    <row r="38" spans="13:22" x14ac:dyDescent="0.3">
      <c r="M38">
        <v>1450000</v>
      </c>
      <c r="N38">
        <v>0</v>
      </c>
    </row>
    <row r="39" spans="13:22" x14ac:dyDescent="0.3">
      <c r="M39">
        <v>1500000</v>
      </c>
      <c r="N39">
        <v>0</v>
      </c>
    </row>
    <row r="40" spans="13:22" ht="15" thickBot="1" x14ac:dyDescent="0.35">
      <c r="M40" s="5" t="s">
        <v>85</v>
      </c>
      <c r="N40" s="5">
        <v>254</v>
      </c>
    </row>
    <row r="42" spans="13:22" x14ac:dyDescent="0.3">
      <c r="T42" t="s">
        <v>92</v>
      </c>
    </row>
    <row r="43" spans="13:22" x14ac:dyDescent="0.3">
      <c r="T43">
        <v>40000</v>
      </c>
      <c r="V43" s="9" t="s">
        <v>93</v>
      </c>
    </row>
    <row r="44" spans="13:22" x14ac:dyDescent="0.3">
      <c r="T44">
        <v>130000</v>
      </c>
      <c r="V44">
        <v>0</v>
      </c>
    </row>
    <row r="45" spans="13:22" x14ac:dyDescent="0.3">
      <c r="T45">
        <v>150000</v>
      </c>
      <c r="V45">
        <v>50000</v>
      </c>
    </row>
    <row r="46" spans="13:22" x14ac:dyDescent="0.3">
      <c r="T46">
        <v>200000</v>
      </c>
      <c r="V46">
        <v>100000</v>
      </c>
    </row>
    <row r="47" spans="13:22" x14ac:dyDescent="0.3">
      <c r="T47">
        <v>260000</v>
      </c>
      <c r="V47">
        <v>150000</v>
      </c>
    </row>
    <row r="48" spans="13:22" x14ac:dyDescent="0.3">
      <c r="T48">
        <v>170000</v>
      </c>
      <c r="V48">
        <v>200000</v>
      </c>
    </row>
    <row r="49" spans="20:22" x14ac:dyDescent="0.3">
      <c r="T49">
        <v>230000</v>
      </c>
      <c r="V49">
        <v>250000</v>
      </c>
    </row>
    <row r="50" spans="20:22" x14ac:dyDescent="0.3">
      <c r="T50">
        <v>200000</v>
      </c>
      <c r="V50">
        <v>300000</v>
      </c>
    </row>
    <row r="51" spans="20:22" x14ac:dyDescent="0.3">
      <c r="T51">
        <v>300000</v>
      </c>
      <c r="V51">
        <v>350000</v>
      </c>
    </row>
    <row r="52" spans="20:22" x14ac:dyDescent="0.3">
      <c r="T52">
        <v>380000</v>
      </c>
      <c r="V52">
        <v>400000</v>
      </c>
    </row>
    <row r="53" spans="20:22" x14ac:dyDescent="0.3">
      <c r="T53">
        <v>300000</v>
      </c>
      <c r="V53">
        <v>450000</v>
      </c>
    </row>
    <row r="54" spans="20:22" x14ac:dyDescent="0.3">
      <c r="T54">
        <v>230000</v>
      </c>
      <c r="V54">
        <v>500000</v>
      </c>
    </row>
    <row r="55" spans="20:22" x14ac:dyDescent="0.3">
      <c r="T55">
        <v>150000</v>
      </c>
      <c r="V55">
        <v>550000</v>
      </c>
    </row>
    <row r="56" spans="20:22" x14ac:dyDescent="0.3">
      <c r="T56">
        <v>300000</v>
      </c>
      <c r="V56">
        <v>600000</v>
      </c>
    </row>
    <row r="57" spans="20:22" x14ac:dyDescent="0.3">
      <c r="T57">
        <v>60000</v>
      </c>
      <c r="V57">
        <v>650000</v>
      </c>
    </row>
    <row r="58" spans="20:22" x14ac:dyDescent="0.3">
      <c r="T58">
        <v>40000</v>
      </c>
      <c r="V58">
        <v>700000</v>
      </c>
    </row>
    <row r="59" spans="20:22" x14ac:dyDescent="0.3">
      <c r="T59">
        <v>290000</v>
      </c>
      <c r="V59">
        <v>750000</v>
      </c>
    </row>
    <row r="60" spans="20:22" x14ac:dyDescent="0.3">
      <c r="T60">
        <v>230000</v>
      </c>
      <c r="V60">
        <v>800000</v>
      </c>
    </row>
    <row r="61" spans="20:22" x14ac:dyDescent="0.3">
      <c r="T61">
        <v>260000</v>
      </c>
      <c r="V61">
        <v>850000</v>
      </c>
    </row>
    <row r="62" spans="20:22" x14ac:dyDescent="0.3">
      <c r="T62">
        <v>280000</v>
      </c>
      <c r="V62">
        <v>900000</v>
      </c>
    </row>
    <row r="63" spans="20:22" x14ac:dyDescent="0.3">
      <c r="T63">
        <v>110000</v>
      </c>
      <c r="V63">
        <v>950000</v>
      </c>
    </row>
    <row r="64" spans="20:22" x14ac:dyDescent="0.3">
      <c r="T64">
        <v>330000</v>
      </c>
      <c r="V64">
        <v>1000000</v>
      </c>
    </row>
    <row r="65" spans="20:22" x14ac:dyDescent="0.3">
      <c r="T65">
        <v>100000</v>
      </c>
      <c r="V65">
        <v>1050000</v>
      </c>
    </row>
    <row r="66" spans="20:22" x14ac:dyDescent="0.3">
      <c r="T66">
        <v>260000</v>
      </c>
      <c r="V66">
        <v>1100000</v>
      </c>
    </row>
    <row r="67" spans="20:22" x14ac:dyDescent="0.3">
      <c r="T67">
        <v>300000</v>
      </c>
      <c r="V67">
        <v>1150000</v>
      </c>
    </row>
    <row r="68" spans="20:22" x14ac:dyDescent="0.3">
      <c r="T68">
        <v>150000</v>
      </c>
      <c r="V68">
        <v>1200000</v>
      </c>
    </row>
    <row r="69" spans="20:22" x14ac:dyDescent="0.3">
      <c r="T69">
        <v>180000</v>
      </c>
      <c r="V69">
        <v>1250000</v>
      </c>
    </row>
    <row r="70" spans="20:22" x14ac:dyDescent="0.3">
      <c r="T70">
        <v>570000</v>
      </c>
      <c r="V70">
        <v>1300000</v>
      </c>
    </row>
    <row r="71" spans="20:22" x14ac:dyDescent="0.3">
      <c r="T71">
        <v>160000</v>
      </c>
      <c r="V71">
        <v>1350000</v>
      </c>
    </row>
    <row r="72" spans="20:22" x14ac:dyDescent="0.3">
      <c r="T72">
        <v>210000</v>
      </c>
      <c r="V72">
        <v>1400000</v>
      </c>
    </row>
    <row r="73" spans="20:22" x14ac:dyDescent="0.3">
      <c r="T73">
        <v>650000</v>
      </c>
      <c r="V73">
        <v>1450000</v>
      </c>
    </row>
    <row r="74" spans="20:22" x14ac:dyDescent="0.3">
      <c r="T74">
        <v>200000</v>
      </c>
      <c r="V74">
        <v>1500000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J112"/>
  <sheetViews>
    <sheetView workbookViewId="0">
      <selection activeCell="T88" sqref="T88"/>
    </sheetView>
  </sheetViews>
  <sheetFormatPr defaultRowHeight="14.4" x14ac:dyDescent="0.3"/>
  <sheetData>
    <row r="7" spans="2:5" ht="18" x14ac:dyDescent="0.35">
      <c r="B7" s="3" t="s">
        <v>87</v>
      </c>
      <c r="D7" s="1" t="s">
        <v>88</v>
      </c>
      <c r="E7" s="8"/>
    </row>
    <row r="8" spans="2:5" x14ac:dyDescent="0.3">
      <c r="B8" t="s">
        <v>8</v>
      </c>
      <c r="E8" t="s">
        <v>1</v>
      </c>
    </row>
    <row r="9" spans="2:5" ht="15" thickBot="1" x14ac:dyDescent="0.35">
      <c r="E9" t="s">
        <v>2</v>
      </c>
    </row>
    <row r="10" spans="2:5" x14ac:dyDescent="0.3">
      <c r="B10" s="4" t="s">
        <v>9</v>
      </c>
      <c r="C10" s="4"/>
      <c r="E10" t="s">
        <v>3</v>
      </c>
    </row>
    <row r="11" spans="2:5" x14ac:dyDescent="0.3">
      <c r="B11" t="s">
        <v>10</v>
      </c>
      <c r="C11">
        <v>0.64049756609636399</v>
      </c>
    </row>
    <row r="12" spans="2:5" x14ac:dyDescent="0.3">
      <c r="B12" t="s">
        <v>11</v>
      </c>
      <c r="C12">
        <v>0.41023713217536623</v>
      </c>
    </row>
    <row r="13" spans="2:5" x14ac:dyDescent="0.3">
      <c r="B13" t="s">
        <v>12</v>
      </c>
      <c r="C13">
        <v>0.4099420933874337</v>
      </c>
    </row>
    <row r="14" spans="2:5" x14ac:dyDescent="0.3">
      <c r="B14" t="s">
        <v>13</v>
      </c>
      <c r="C14">
        <v>216586.70903038999</v>
      </c>
    </row>
    <row r="15" spans="2:5" ht="15" thickBot="1" x14ac:dyDescent="0.35">
      <c r="B15" s="5" t="s">
        <v>14</v>
      </c>
      <c r="C15" s="5">
        <v>30000</v>
      </c>
    </row>
    <row r="17" spans="2:10" ht="15" thickBot="1" x14ac:dyDescent="0.35">
      <c r="B17" t="s">
        <v>16</v>
      </c>
    </row>
    <row r="18" spans="2:10" x14ac:dyDescent="0.3">
      <c r="B18" s="6"/>
      <c r="C18" s="6" t="s">
        <v>17</v>
      </c>
      <c r="D18" s="6" t="s">
        <v>18</v>
      </c>
      <c r="E18" s="6" t="s">
        <v>19</v>
      </c>
      <c r="F18" s="6" t="s">
        <v>20</v>
      </c>
      <c r="G18" s="6" t="s">
        <v>21</v>
      </c>
    </row>
    <row r="19" spans="2:10" x14ac:dyDescent="0.3">
      <c r="B19" t="s">
        <v>22</v>
      </c>
      <c r="C19">
        <v>15</v>
      </c>
      <c r="D19">
        <v>978387095902013.5</v>
      </c>
      <c r="E19">
        <v>65225806393467.57</v>
      </c>
      <c r="F19">
        <v>1390.4515235100394</v>
      </c>
      <c r="G19">
        <v>0</v>
      </c>
    </row>
    <row r="20" spans="2:10" x14ac:dyDescent="0.3">
      <c r="B20" t="s">
        <v>23</v>
      </c>
      <c r="C20">
        <v>29984</v>
      </c>
      <c r="D20">
        <v>1406543519017986.5</v>
      </c>
      <c r="E20">
        <v>46909802528.614815</v>
      </c>
    </row>
    <row r="21" spans="2:10" ht="15" thickBot="1" x14ac:dyDescent="0.35">
      <c r="B21" s="5" t="s">
        <v>24</v>
      </c>
      <c r="C21" s="5">
        <v>29999</v>
      </c>
      <c r="D21" s="5">
        <v>2384930614920000</v>
      </c>
      <c r="E21" s="5"/>
      <c r="F21" s="5"/>
      <c r="G21" s="5"/>
    </row>
    <row r="22" spans="2:10" ht="15" thickBot="1" x14ac:dyDescent="0.35"/>
    <row r="23" spans="2:10" x14ac:dyDescent="0.3">
      <c r="B23" s="6"/>
      <c r="C23" s="6" t="s">
        <v>25</v>
      </c>
      <c r="D23" s="6" t="s">
        <v>13</v>
      </c>
      <c r="E23" s="6" t="s">
        <v>26</v>
      </c>
      <c r="F23" s="6" t="s">
        <v>27</v>
      </c>
      <c r="G23" s="6" t="s">
        <v>28</v>
      </c>
      <c r="H23" s="6" t="s">
        <v>29</v>
      </c>
      <c r="I23" s="6" t="s">
        <v>30</v>
      </c>
      <c r="J23" s="6" t="s">
        <v>31</v>
      </c>
    </row>
    <row r="24" spans="2:10" x14ac:dyDescent="0.3">
      <c r="B24" t="s">
        <v>32</v>
      </c>
      <c r="C24">
        <v>-170736.36626600358</v>
      </c>
      <c r="D24">
        <v>103083.0510860736</v>
      </c>
      <c r="E24">
        <v>-1.6562991148121911</v>
      </c>
      <c r="F24">
        <v>9.7671723249953851E-2</v>
      </c>
      <c r="G24">
        <v>-372783.58984971966</v>
      </c>
      <c r="H24">
        <v>31310.857317712478</v>
      </c>
      <c r="I24">
        <v>-372783.58984971966</v>
      </c>
      <c r="J24">
        <v>31310.857317712478</v>
      </c>
    </row>
    <row r="25" spans="2:10" x14ac:dyDescent="0.3">
      <c r="B25" t="s">
        <v>34</v>
      </c>
      <c r="C25">
        <v>764.16798566894897</v>
      </c>
      <c r="D25">
        <v>90.789210309272349</v>
      </c>
      <c r="E25">
        <v>8.4169471577715012</v>
      </c>
      <c r="F25">
        <v>4.0338192989562959E-17</v>
      </c>
      <c r="G25">
        <v>586.21721994093707</v>
      </c>
      <c r="H25">
        <v>942.11875139696087</v>
      </c>
      <c r="I25">
        <v>586.21721994093707</v>
      </c>
      <c r="J25">
        <v>942.11875139696087</v>
      </c>
    </row>
    <row r="26" spans="2:10" x14ac:dyDescent="0.3">
      <c r="B26" t="s">
        <v>36</v>
      </c>
      <c r="C26">
        <v>-14039.066617501656</v>
      </c>
      <c r="D26">
        <v>3137.6728756790349</v>
      </c>
      <c r="E26">
        <v>-4.4743563697548971</v>
      </c>
      <c r="F26">
        <v>7.692346810026791E-6</v>
      </c>
      <c r="G26">
        <v>-20189.040705051051</v>
      </c>
      <c r="H26">
        <v>-7889.0925299522596</v>
      </c>
      <c r="I26">
        <v>-20189.040705051051</v>
      </c>
      <c r="J26">
        <v>-7889.0925299522596</v>
      </c>
    </row>
    <row r="27" spans="2:10" x14ac:dyDescent="0.3">
      <c r="B27" t="s">
        <v>38</v>
      </c>
      <c r="C27">
        <v>-64698.68557998164</v>
      </c>
      <c r="D27">
        <v>4778.0820197949042</v>
      </c>
      <c r="E27">
        <v>-13.540723100177921</v>
      </c>
      <c r="F27">
        <v>1.1921072391316486E-41</v>
      </c>
      <c r="G27">
        <v>-74063.932300790621</v>
      </c>
      <c r="H27">
        <v>-55333.438859172667</v>
      </c>
      <c r="I27">
        <v>-74063.932300790621</v>
      </c>
      <c r="J27">
        <v>-55333.438859172667</v>
      </c>
    </row>
    <row r="28" spans="2:10" x14ac:dyDescent="0.3">
      <c r="B28" t="s">
        <v>40</v>
      </c>
      <c r="C28">
        <v>-66921.054124536502</v>
      </c>
      <c r="D28">
        <v>4891.9194097099062</v>
      </c>
      <c r="E28">
        <v>-13.679917537420135</v>
      </c>
      <c r="F28">
        <v>1.7957134294868904E-42</v>
      </c>
      <c r="G28">
        <v>-76509.427036605935</v>
      </c>
      <c r="H28">
        <v>-57332.681212467069</v>
      </c>
      <c r="I28">
        <v>-76509.427036605935</v>
      </c>
      <c r="J28">
        <v>-57332.681212467069</v>
      </c>
    </row>
    <row r="29" spans="2:10" x14ac:dyDescent="0.3">
      <c r="B29" t="s">
        <v>42</v>
      </c>
      <c r="C29">
        <v>-79396.990943078214</v>
      </c>
      <c r="D29">
        <v>4341.5329143275012</v>
      </c>
      <c r="E29">
        <v>-18.287778190293121</v>
      </c>
      <c r="F29">
        <v>2.62780025822131E-74</v>
      </c>
      <c r="G29">
        <v>-87906.582599467394</v>
      </c>
      <c r="H29">
        <v>-70887.399286689033</v>
      </c>
      <c r="I29">
        <v>-87906.582599467394</v>
      </c>
      <c r="J29">
        <v>-70887.399286689033</v>
      </c>
    </row>
    <row r="30" spans="2:10" x14ac:dyDescent="0.3">
      <c r="B30" t="s">
        <v>66</v>
      </c>
      <c r="C30">
        <v>0.24492745938027438</v>
      </c>
      <c r="D30">
        <v>0.18126932831610112</v>
      </c>
      <c r="E30">
        <v>1.3511798253765519</v>
      </c>
      <c r="F30">
        <v>0.17664803041022151</v>
      </c>
      <c r="G30">
        <v>-0.11036823783935618</v>
      </c>
      <c r="H30">
        <v>0.60022315659990499</v>
      </c>
      <c r="I30">
        <v>-0.11036823783935618</v>
      </c>
      <c r="J30">
        <v>0.60022315659990499</v>
      </c>
    </row>
    <row r="31" spans="2:10" x14ac:dyDescent="0.3">
      <c r="B31" t="s">
        <v>67</v>
      </c>
      <c r="C31">
        <v>192.62608401241857</v>
      </c>
      <c r="D31">
        <v>6.6980168652780732</v>
      </c>
      <c r="E31">
        <v>28.758674080230396</v>
      </c>
      <c r="F31">
        <v>1.9353059257895945E-179</v>
      </c>
      <c r="G31">
        <v>179.4976822345518</v>
      </c>
      <c r="H31">
        <v>205.75448579028534</v>
      </c>
      <c r="I31">
        <v>179.4976822345518</v>
      </c>
      <c r="J31">
        <v>205.75448579028534</v>
      </c>
    </row>
    <row r="32" spans="2:10" x14ac:dyDescent="0.3">
      <c r="B32" t="s">
        <v>48</v>
      </c>
      <c r="C32">
        <v>-18366.34562415495</v>
      </c>
      <c r="D32">
        <v>2682.2978612257439</v>
      </c>
      <c r="E32">
        <v>-6.8472431379272631</v>
      </c>
      <c r="F32">
        <v>7.6737190590335611E-12</v>
      </c>
      <c r="G32">
        <v>-23623.765054170428</v>
      </c>
      <c r="H32">
        <v>-13108.926194139474</v>
      </c>
      <c r="I32">
        <v>-23623.765054170428</v>
      </c>
      <c r="J32">
        <v>-13108.926194139474</v>
      </c>
    </row>
    <row r="33" spans="2:10" x14ac:dyDescent="0.3">
      <c r="B33" t="s">
        <v>50</v>
      </c>
      <c r="C33">
        <v>-54.400911507354465</v>
      </c>
      <c r="D33">
        <v>51.813856573900999</v>
      </c>
      <c r="E33">
        <v>-1.0499297891436359</v>
      </c>
      <c r="F33">
        <v>0.29375885651686789</v>
      </c>
      <c r="G33">
        <v>-155.95830385869417</v>
      </c>
      <c r="H33">
        <v>47.156480843985236</v>
      </c>
      <c r="I33">
        <v>-155.95830385869417</v>
      </c>
      <c r="J33">
        <v>47.156480843985236</v>
      </c>
    </row>
    <row r="34" spans="2:10" x14ac:dyDescent="0.3">
      <c r="B34" t="s">
        <v>52</v>
      </c>
      <c r="C34">
        <v>27196.130552257382</v>
      </c>
      <c r="D34">
        <v>1206.0509652505152</v>
      </c>
      <c r="E34">
        <v>22.549735737418303</v>
      </c>
      <c r="F34">
        <v>1.1483817621835414E-111</v>
      </c>
      <c r="G34">
        <v>24832.218672836418</v>
      </c>
      <c r="H34">
        <v>29560.042431678346</v>
      </c>
      <c r="I34">
        <v>24832.218672836418</v>
      </c>
      <c r="J34">
        <v>29560.042431678346</v>
      </c>
    </row>
    <row r="35" spans="2:10" x14ac:dyDescent="0.3">
      <c r="B35" t="s">
        <v>54</v>
      </c>
      <c r="C35">
        <v>-13528.030254181675</v>
      </c>
      <c r="D35">
        <v>1039.541067824003</v>
      </c>
      <c r="E35">
        <v>-13.013463991854534</v>
      </c>
      <c r="F35">
        <v>1.3054526964565093E-38</v>
      </c>
      <c r="G35">
        <v>-15565.575557140473</v>
      </c>
      <c r="H35">
        <v>-11490.484951222876</v>
      </c>
      <c r="I35">
        <v>-15565.575557140473</v>
      </c>
      <c r="J35">
        <v>-11490.484951222876</v>
      </c>
    </row>
    <row r="36" spans="2:10" x14ac:dyDescent="0.3">
      <c r="B36" t="s">
        <v>68</v>
      </c>
      <c r="C36">
        <v>0.73056806450259193</v>
      </c>
      <c r="D36">
        <v>1.6422630392754232E-2</v>
      </c>
      <c r="E36">
        <v>44.485447643327781</v>
      </c>
      <c r="F36">
        <v>0</v>
      </c>
      <c r="G36">
        <v>0.69837900102573658</v>
      </c>
      <c r="H36">
        <v>0.76275712797944728</v>
      </c>
      <c r="I36">
        <v>0.69837900102573658</v>
      </c>
      <c r="J36">
        <v>0.76275712797944728</v>
      </c>
    </row>
    <row r="37" spans="2:10" x14ac:dyDescent="0.3">
      <c r="B37" t="s">
        <v>58</v>
      </c>
      <c r="C37">
        <v>11033.414841771728</v>
      </c>
      <c r="D37">
        <v>8409.3532300219213</v>
      </c>
      <c r="E37">
        <v>1.3120408359565325</v>
      </c>
      <c r="F37">
        <v>0.18951640100834657</v>
      </c>
      <c r="G37">
        <v>-5449.2799791446505</v>
      </c>
      <c r="H37">
        <v>27516.109662688104</v>
      </c>
      <c r="I37">
        <v>-5449.2799791446505</v>
      </c>
      <c r="J37">
        <v>27516.109662688104</v>
      </c>
    </row>
    <row r="38" spans="2:10" x14ac:dyDescent="0.3">
      <c r="B38" t="s">
        <v>69</v>
      </c>
      <c r="C38">
        <v>231.38490642373978</v>
      </c>
      <c r="D38">
        <v>11.967656177187463</v>
      </c>
      <c r="E38">
        <v>19.334187329412224</v>
      </c>
      <c r="F38">
        <v>8.8508005091848348E-83</v>
      </c>
      <c r="G38">
        <v>207.92778444365601</v>
      </c>
      <c r="H38">
        <v>254.84202840382355</v>
      </c>
      <c r="I38">
        <v>207.92778444365601</v>
      </c>
      <c r="J38">
        <v>254.84202840382355</v>
      </c>
    </row>
    <row r="39" spans="2:10" ht="15" thickBot="1" x14ac:dyDescent="0.35">
      <c r="B39" s="5" t="s">
        <v>70</v>
      </c>
      <c r="C39" s="5">
        <v>720.47399043983773</v>
      </c>
      <c r="D39" s="5">
        <v>12.672148885596757</v>
      </c>
      <c r="E39" s="5">
        <v>56.85491836816508</v>
      </c>
      <c r="F39" s="5">
        <v>0</v>
      </c>
      <c r="G39" s="5">
        <v>695.63603238370285</v>
      </c>
      <c r="H39" s="5">
        <v>745.31194849597262</v>
      </c>
      <c r="I39" s="5">
        <v>695.63603238370285</v>
      </c>
      <c r="J39" s="5">
        <v>745.31194849597262</v>
      </c>
    </row>
    <row r="43" spans="2:10" ht="18" x14ac:dyDescent="0.35">
      <c r="B43" s="3" t="s">
        <v>89</v>
      </c>
      <c r="D43" s="1" t="s">
        <v>90</v>
      </c>
    </row>
    <row r="44" spans="2:10" x14ac:dyDescent="0.3">
      <c r="B44" t="s">
        <v>8</v>
      </c>
      <c r="E44" t="s">
        <v>1</v>
      </c>
    </row>
    <row r="45" spans="2:10" ht="15" thickBot="1" x14ac:dyDescent="0.35">
      <c r="E45" t="s">
        <v>2</v>
      </c>
    </row>
    <row r="46" spans="2:10" x14ac:dyDescent="0.3">
      <c r="B46" s="4" t="s">
        <v>9</v>
      </c>
      <c r="C46" s="4"/>
      <c r="E46" t="s">
        <v>3</v>
      </c>
    </row>
    <row r="47" spans="2:10" x14ac:dyDescent="0.3">
      <c r="B47" t="s">
        <v>10</v>
      </c>
      <c r="C47">
        <v>0.70493642574254334</v>
      </c>
    </row>
    <row r="48" spans="2:10" x14ac:dyDescent="0.3">
      <c r="B48" t="s">
        <v>11</v>
      </c>
      <c r="C48">
        <v>0.49693536433867225</v>
      </c>
    </row>
    <row r="49" spans="2:10" x14ac:dyDescent="0.3">
      <c r="B49" t="s">
        <v>12</v>
      </c>
      <c r="C49">
        <v>0.49668369779868687</v>
      </c>
    </row>
    <row r="50" spans="2:10" x14ac:dyDescent="0.3">
      <c r="B50" t="s">
        <v>13</v>
      </c>
      <c r="C50">
        <v>0.56125069344475986</v>
      </c>
    </row>
    <row r="51" spans="2:10" ht="15" thickBot="1" x14ac:dyDescent="0.35">
      <c r="B51" s="5" t="s">
        <v>14</v>
      </c>
      <c r="C51" s="5">
        <v>30000</v>
      </c>
    </row>
    <row r="53" spans="2:10" ht="15" thickBot="1" x14ac:dyDescent="0.35">
      <c r="B53" t="s">
        <v>16</v>
      </c>
    </row>
    <row r="54" spans="2:10" x14ac:dyDescent="0.3">
      <c r="B54" s="6"/>
      <c r="C54" s="6" t="s">
        <v>17</v>
      </c>
      <c r="D54" s="6" t="s">
        <v>18</v>
      </c>
      <c r="E54" s="6" t="s">
        <v>19</v>
      </c>
      <c r="F54" s="6" t="s">
        <v>20</v>
      </c>
      <c r="G54" s="6" t="s">
        <v>21</v>
      </c>
    </row>
    <row r="55" spans="2:10" x14ac:dyDescent="0.3">
      <c r="B55" t="s">
        <v>22</v>
      </c>
      <c r="C55">
        <v>15</v>
      </c>
      <c r="D55">
        <v>9329.9532219067205</v>
      </c>
      <c r="E55">
        <v>621.99688146044798</v>
      </c>
      <c r="F55">
        <v>1974.5786005865286</v>
      </c>
      <c r="G55">
        <v>0</v>
      </c>
    </row>
    <row r="56" spans="2:10" x14ac:dyDescent="0.3">
      <c r="B56" t="s">
        <v>23</v>
      </c>
      <c r="C56">
        <v>29984</v>
      </c>
      <c r="D56">
        <v>9445.0301893124397</v>
      </c>
      <c r="E56">
        <v>0.31500234089222384</v>
      </c>
    </row>
    <row r="57" spans="2:10" ht="15" thickBot="1" x14ac:dyDescent="0.35">
      <c r="B57" s="5" t="s">
        <v>24</v>
      </c>
      <c r="C57" s="5">
        <v>29999</v>
      </c>
      <c r="D57" s="5">
        <v>18774.98341121916</v>
      </c>
      <c r="E57" s="5"/>
      <c r="F57" s="5"/>
      <c r="G57" s="5"/>
    </row>
    <row r="58" spans="2:10" ht="15" thickBot="1" x14ac:dyDescent="0.35"/>
    <row r="59" spans="2:10" x14ac:dyDescent="0.3">
      <c r="B59" s="6"/>
      <c r="C59" s="6" t="s">
        <v>25</v>
      </c>
      <c r="D59" s="6" t="s">
        <v>13</v>
      </c>
      <c r="E59" s="6" t="s">
        <v>26</v>
      </c>
      <c r="F59" s="6" t="s">
        <v>27</v>
      </c>
      <c r="G59" s="6" t="s">
        <v>28</v>
      </c>
      <c r="H59" s="6" t="s">
        <v>29</v>
      </c>
      <c r="I59" s="6" t="s">
        <v>30</v>
      </c>
      <c r="J59" s="6" t="s">
        <v>31</v>
      </c>
    </row>
    <row r="60" spans="2:10" x14ac:dyDescent="0.3">
      <c r="B60" t="s">
        <v>32</v>
      </c>
      <c r="C60">
        <v>3.1217046293958193</v>
      </c>
      <c r="D60">
        <v>0.26712365760330437</v>
      </c>
      <c r="E60">
        <v>11.68636524898049</v>
      </c>
      <c r="F60">
        <v>1.751498844069107E-31</v>
      </c>
      <c r="G60">
        <v>2.5981307459723557</v>
      </c>
      <c r="H60">
        <v>3.6452785128192828</v>
      </c>
      <c r="I60">
        <v>2.5981307459723557</v>
      </c>
      <c r="J60">
        <v>3.6452785128192828</v>
      </c>
    </row>
    <row r="61" spans="2:10" x14ac:dyDescent="0.3">
      <c r="B61" t="s">
        <v>34</v>
      </c>
      <c r="C61">
        <v>1.8050797605494056E-3</v>
      </c>
      <c r="D61">
        <v>2.3526608567763741E-4</v>
      </c>
      <c r="E61">
        <v>7.6725030526615452</v>
      </c>
      <c r="F61">
        <v>1.7377904847173443E-14</v>
      </c>
      <c r="G61">
        <v>1.3439480913394592E-3</v>
      </c>
      <c r="H61">
        <v>2.266211429759352E-3</v>
      </c>
      <c r="I61">
        <v>1.3439480913394592E-3</v>
      </c>
      <c r="J61">
        <v>2.266211429759352E-3</v>
      </c>
    </row>
    <row r="62" spans="2:10" x14ac:dyDescent="0.3">
      <c r="B62" t="s">
        <v>36</v>
      </c>
      <c r="C62">
        <v>-7.6649434651224244E-2</v>
      </c>
      <c r="D62">
        <v>8.1307901355598781E-3</v>
      </c>
      <c r="E62">
        <v>-9.4270585482214315</v>
      </c>
      <c r="F62">
        <v>4.5106218976865532E-21</v>
      </c>
      <c r="G62">
        <v>-9.2586133799370432E-2</v>
      </c>
      <c r="H62">
        <v>-6.0712735503078055E-2</v>
      </c>
      <c r="I62">
        <v>-9.2586133799370432E-2</v>
      </c>
      <c r="J62">
        <v>-6.0712735503078055E-2</v>
      </c>
    </row>
    <row r="63" spans="2:10" x14ac:dyDescent="0.3">
      <c r="B63" t="s">
        <v>38</v>
      </c>
      <c r="C63">
        <v>-0.10255827205953412</v>
      </c>
      <c r="D63">
        <v>1.2381654714415326E-2</v>
      </c>
      <c r="E63">
        <v>-8.2830828693785801</v>
      </c>
      <c r="F63">
        <v>1.2496566335191989E-16</v>
      </c>
      <c r="G63">
        <v>-0.1268268490182328</v>
      </c>
      <c r="H63">
        <v>-7.828969510083543E-2</v>
      </c>
      <c r="I63">
        <v>-0.1268268490182328</v>
      </c>
      <c r="J63">
        <v>-7.828969510083543E-2</v>
      </c>
    </row>
    <row r="64" spans="2:10" x14ac:dyDescent="0.3">
      <c r="B64" t="s">
        <v>40</v>
      </c>
      <c r="C64">
        <v>-0.27117706726052382</v>
      </c>
      <c r="D64">
        <v>1.2676646564634408E-2</v>
      </c>
      <c r="E64">
        <v>-21.391861473606092</v>
      </c>
      <c r="F64">
        <v>9.0273025362363561E-101</v>
      </c>
      <c r="G64">
        <v>-0.29602384096144757</v>
      </c>
      <c r="H64">
        <v>-0.24633029355960007</v>
      </c>
      <c r="I64">
        <v>-0.29602384096144757</v>
      </c>
      <c r="J64">
        <v>-0.24633029355960007</v>
      </c>
    </row>
    <row r="65" spans="2:10" x14ac:dyDescent="0.3">
      <c r="B65" t="s">
        <v>42</v>
      </c>
      <c r="C65">
        <v>-0.26473633908217747</v>
      </c>
      <c r="D65">
        <v>1.1250405759836629E-2</v>
      </c>
      <c r="E65">
        <v>-23.531270314469243</v>
      </c>
      <c r="F65">
        <v>2.4621904099144625E-121</v>
      </c>
      <c r="G65">
        <v>-0.28678761932675623</v>
      </c>
      <c r="H65">
        <v>-0.24268505883759872</v>
      </c>
      <c r="I65">
        <v>-0.28678761932675623</v>
      </c>
      <c r="J65">
        <v>-0.24268505883759872</v>
      </c>
    </row>
    <row r="66" spans="2:10" x14ac:dyDescent="0.3">
      <c r="B66" t="s">
        <v>66</v>
      </c>
      <c r="C66">
        <v>4.4915385499624294E-6</v>
      </c>
      <c r="D66">
        <v>4.697312068369001E-7</v>
      </c>
      <c r="E66">
        <v>9.5619334729914591</v>
      </c>
      <c r="F66">
        <v>1.2409037872741415E-21</v>
      </c>
      <c r="G66">
        <v>3.5708451365245934E-6</v>
      </c>
      <c r="H66">
        <v>5.412231963400265E-6</v>
      </c>
      <c r="I66">
        <v>3.5708451365245934E-6</v>
      </c>
      <c r="J66">
        <v>5.412231963400265E-6</v>
      </c>
    </row>
    <row r="67" spans="2:10" x14ac:dyDescent="0.3">
      <c r="B67" t="s">
        <v>67</v>
      </c>
      <c r="C67">
        <v>5.5097158941598947E-4</v>
      </c>
      <c r="D67">
        <v>1.7356866573998965E-5</v>
      </c>
      <c r="E67">
        <v>31.743724425545746</v>
      </c>
      <c r="F67">
        <v>1.5558739791643746E-217</v>
      </c>
      <c r="G67">
        <v>5.1695138275309927E-4</v>
      </c>
      <c r="H67">
        <v>5.8499179607887967E-4</v>
      </c>
      <c r="I67">
        <v>5.1695138275309927E-4</v>
      </c>
      <c r="J67">
        <v>5.8499179607887967E-4</v>
      </c>
    </row>
    <row r="68" spans="2:10" x14ac:dyDescent="0.3">
      <c r="B68" t="s">
        <v>48</v>
      </c>
      <c r="C68">
        <v>-6.2545111840329279E-2</v>
      </c>
      <c r="D68">
        <v>6.950756772554828E-3</v>
      </c>
      <c r="E68">
        <v>-8.9983168577110391</v>
      </c>
      <c r="F68">
        <v>2.423833159431793E-19</v>
      </c>
      <c r="G68">
        <v>-7.616889473095953E-2</v>
      </c>
      <c r="H68">
        <v>-4.8921328949699028E-2</v>
      </c>
      <c r="I68">
        <v>-7.616889473095953E-2</v>
      </c>
      <c r="J68">
        <v>-4.8921328949699028E-2</v>
      </c>
    </row>
    <row r="69" spans="2:10" x14ac:dyDescent="0.3">
      <c r="B69" t="s">
        <v>50</v>
      </c>
      <c r="C69">
        <v>3.582939390785707E-3</v>
      </c>
      <c r="D69">
        <v>1.3426753221532575E-4</v>
      </c>
      <c r="E69">
        <v>26.6850766649954</v>
      </c>
      <c r="F69">
        <v>4.5566600888992457E-155</v>
      </c>
      <c r="G69">
        <v>3.3197692399634178E-3</v>
      </c>
      <c r="H69">
        <v>3.8461095416079962E-3</v>
      </c>
      <c r="I69">
        <v>3.3197692399634178E-3</v>
      </c>
      <c r="J69">
        <v>3.8461095416079962E-3</v>
      </c>
    </row>
    <row r="70" spans="2:10" x14ac:dyDescent="0.3">
      <c r="B70" t="s">
        <v>52</v>
      </c>
      <c r="C70">
        <v>0.10892856684899641</v>
      </c>
      <c r="D70">
        <v>3.1252930690294401E-3</v>
      </c>
      <c r="E70">
        <v>34.853872722670509</v>
      </c>
      <c r="F70">
        <v>6.0632212684976933E-261</v>
      </c>
      <c r="G70">
        <v>0.10280285771611899</v>
      </c>
      <c r="H70">
        <v>0.11505427598187382</v>
      </c>
      <c r="I70">
        <v>0.10280285771611899</v>
      </c>
      <c r="J70">
        <v>0.11505427598187382</v>
      </c>
    </row>
    <row r="71" spans="2:10" x14ac:dyDescent="0.3">
      <c r="B71" t="s">
        <v>54</v>
      </c>
      <c r="C71">
        <v>-2.2587577352558404E-2</v>
      </c>
      <c r="D71">
        <v>2.6938086265425598E-3</v>
      </c>
      <c r="E71">
        <v>-8.3849970372799003</v>
      </c>
      <c r="F71">
        <v>5.2919605230369789E-17</v>
      </c>
      <c r="G71">
        <v>-2.786755837877309E-2</v>
      </c>
      <c r="H71">
        <v>-1.7307596326343717E-2</v>
      </c>
      <c r="I71">
        <v>-2.786755837877309E-2</v>
      </c>
      <c r="J71">
        <v>-1.7307596326343717E-2</v>
      </c>
    </row>
    <row r="72" spans="2:10" x14ac:dyDescent="0.3">
      <c r="B72" t="s">
        <v>68</v>
      </c>
      <c r="C72">
        <v>1.9932862060353778E-6</v>
      </c>
      <c r="D72">
        <v>4.2556686591636633E-8</v>
      </c>
      <c r="E72">
        <v>46.838378776112336</v>
      </c>
      <c r="F72">
        <v>0</v>
      </c>
      <c r="G72">
        <v>1.9098732658849851E-6</v>
      </c>
      <c r="H72">
        <v>2.0766991461857705E-6</v>
      </c>
      <c r="I72">
        <v>1.9098732658849851E-6</v>
      </c>
      <c r="J72">
        <v>2.0766991461857705E-6</v>
      </c>
    </row>
    <row r="73" spans="2:10" x14ac:dyDescent="0.3">
      <c r="B73" t="s">
        <v>58</v>
      </c>
      <c r="C73">
        <v>0.16975467676644948</v>
      </c>
      <c r="D73">
        <v>2.1791527988494857E-2</v>
      </c>
      <c r="E73">
        <v>7.7899391385530121</v>
      </c>
      <c r="F73">
        <v>6.919835724544634E-15</v>
      </c>
      <c r="G73">
        <v>0.12704234257248173</v>
      </c>
      <c r="H73">
        <v>0.21246701096041723</v>
      </c>
      <c r="I73">
        <v>0.12704234257248173</v>
      </c>
      <c r="J73">
        <v>0.21246701096041723</v>
      </c>
    </row>
    <row r="74" spans="2:10" x14ac:dyDescent="0.3">
      <c r="B74" t="s">
        <v>69</v>
      </c>
      <c r="C74">
        <v>3.9948627235030518E-4</v>
      </c>
      <c r="D74">
        <v>3.10123153836391E-5</v>
      </c>
      <c r="E74">
        <v>12.881536493113916</v>
      </c>
      <c r="F74">
        <v>7.208052559152571E-38</v>
      </c>
      <c r="G74">
        <v>3.3870079739443856E-4</v>
      </c>
      <c r="H74">
        <v>4.602717473061718E-4</v>
      </c>
      <c r="I74">
        <v>3.3870079739443856E-4</v>
      </c>
      <c r="J74">
        <v>4.602717473061718E-4</v>
      </c>
    </row>
    <row r="75" spans="2:10" ht="15" thickBot="1" x14ac:dyDescent="0.35">
      <c r="B75" s="5" t="s">
        <v>70</v>
      </c>
      <c r="C75" s="5">
        <v>1.4482483313522742E-3</v>
      </c>
      <c r="D75" s="5">
        <v>3.2837898416372714E-5</v>
      </c>
      <c r="E75" s="5">
        <v>44.10295424478776</v>
      </c>
      <c r="F75" s="5">
        <v>0</v>
      </c>
      <c r="G75" s="5">
        <v>1.3838846349594289E-3</v>
      </c>
      <c r="H75" s="5">
        <v>1.5126120277451196E-3</v>
      </c>
      <c r="I75" s="5">
        <v>1.3838846349594289E-3</v>
      </c>
      <c r="J75" s="5">
        <v>1.5126120277451196E-3</v>
      </c>
    </row>
    <row r="80" spans="2:10" ht="18" x14ac:dyDescent="0.35">
      <c r="B80" s="3" t="s">
        <v>7</v>
      </c>
      <c r="D80" s="1" t="s">
        <v>91</v>
      </c>
    </row>
    <row r="81" spans="2:10" x14ac:dyDescent="0.3">
      <c r="B81" t="s">
        <v>8</v>
      </c>
      <c r="E81" t="s">
        <v>1</v>
      </c>
    </row>
    <row r="82" spans="2:10" ht="15" thickBot="1" x14ac:dyDescent="0.35">
      <c r="E82" t="s">
        <v>2</v>
      </c>
    </row>
    <row r="83" spans="2:10" x14ac:dyDescent="0.3">
      <c r="B83" s="4" t="s">
        <v>9</v>
      </c>
      <c r="C83" s="4"/>
      <c r="E83" t="s">
        <v>3</v>
      </c>
    </row>
    <row r="84" spans="2:10" x14ac:dyDescent="0.3">
      <c r="B84" t="s">
        <v>10</v>
      </c>
      <c r="C84">
        <v>0.72658907802751738</v>
      </c>
      <c r="E84" t="s">
        <v>4</v>
      </c>
    </row>
    <row r="85" spans="2:10" x14ac:dyDescent="0.3">
      <c r="B85" t="s">
        <v>11</v>
      </c>
      <c r="C85">
        <v>0.52793168830887771</v>
      </c>
    </row>
    <row r="86" spans="2:10" x14ac:dyDescent="0.3">
      <c r="B86" t="s">
        <v>12</v>
      </c>
      <c r="C86">
        <v>0.52769552820097465</v>
      </c>
    </row>
    <row r="87" spans="2:10" x14ac:dyDescent="0.3">
      <c r="B87" t="s">
        <v>13</v>
      </c>
      <c r="C87">
        <v>0.54368508705393093</v>
      </c>
    </row>
    <row r="88" spans="2:10" ht="15" thickBot="1" x14ac:dyDescent="0.35">
      <c r="B88" s="5" t="s">
        <v>14</v>
      </c>
      <c r="C88" s="5">
        <v>30000</v>
      </c>
    </row>
    <row r="90" spans="2:10" ht="15" thickBot="1" x14ac:dyDescent="0.35">
      <c r="B90" t="s">
        <v>16</v>
      </c>
    </row>
    <row r="91" spans="2:10" x14ac:dyDescent="0.3">
      <c r="B91" s="6"/>
      <c r="C91" s="6" t="s">
        <v>17</v>
      </c>
      <c r="D91" s="6" t="s">
        <v>18</v>
      </c>
      <c r="E91" s="6" t="s">
        <v>19</v>
      </c>
      <c r="F91" s="6" t="s">
        <v>20</v>
      </c>
      <c r="G91" s="6" t="s">
        <v>21</v>
      </c>
    </row>
    <row r="92" spans="2:10" x14ac:dyDescent="0.3">
      <c r="B92" t="s">
        <v>22</v>
      </c>
      <c r="C92">
        <v>15</v>
      </c>
      <c r="D92">
        <v>9911.908690256103</v>
      </c>
      <c r="E92">
        <v>660.79391268374025</v>
      </c>
      <c r="F92">
        <v>2235.4820761069213</v>
      </c>
      <c r="G92">
        <v>0</v>
      </c>
    </row>
    <row r="93" spans="2:10" x14ac:dyDescent="0.3">
      <c r="B93" t="s">
        <v>23</v>
      </c>
      <c r="C93">
        <v>29984</v>
      </c>
      <c r="D93">
        <v>8863.0747209630572</v>
      </c>
      <c r="E93">
        <v>0.29559347388484047</v>
      </c>
    </row>
    <row r="94" spans="2:10" ht="15" thickBot="1" x14ac:dyDescent="0.35">
      <c r="B94" s="5" t="s">
        <v>24</v>
      </c>
      <c r="C94" s="5">
        <v>29999</v>
      </c>
      <c r="D94" s="5">
        <v>18774.98341121916</v>
      </c>
      <c r="E94" s="5"/>
      <c r="F94" s="5"/>
      <c r="G94" s="5"/>
    </row>
    <row r="95" spans="2:10" ht="15" thickBot="1" x14ac:dyDescent="0.35"/>
    <row r="96" spans="2:10" x14ac:dyDescent="0.3">
      <c r="B96" s="6"/>
      <c r="C96" s="6" t="s">
        <v>25</v>
      </c>
      <c r="D96" s="6" t="s">
        <v>13</v>
      </c>
      <c r="E96" s="6" t="s">
        <v>26</v>
      </c>
      <c r="F96" s="6" t="s">
        <v>27</v>
      </c>
      <c r="G96" s="6" t="s">
        <v>28</v>
      </c>
      <c r="H96" s="6" t="s">
        <v>29</v>
      </c>
      <c r="I96" s="6" t="s">
        <v>30</v>
      </c>
      <c r="J96" s="6" t="s">
        <v>31</v>
      </c>
    </row>
    <row r="97" spans="2:10" x14ac:dyDescent="0.3">
      <c r="B97" t="s">
        <v>32</v>
      </c>
      <c r="C97">
        <v>-5.7262818580773001</v>
      </c>
      <c r="D97">
        <v>0.38401854224098814</v>
      </c>
      <c r="E97">
        <v>-14.911472307198677</v>
      </c>
      <c r="F97">
        <v>4.1986544018791394E-50</v>
      </c>
      <c r="G97">
        <v>-6.4789747542127731</v>
      </c>
      <c r="H97">
        <v>-4.973588961941827</v>
      </c>
      <c r="I97">
        <v>-6.4789747542127731</v>
      </c>
      <c r="J97">
        <v>-4.973588961941827</v>
      </c>
    </row>
    <row r="98" spans="2:10" x14ac:dyDescent="0.3">
      <c r="B98" t="s">
        <v>34</v>
      </c>
      <c r="C98">
        <v>2.8055366827224476E-3</v>
      </c>
      <c r="D98">
        <v>2.3254395200745007E-4</v>
      </c>
      <c r="E98">
        <v>12.064543749701844</v>
      </c>
      <c r="F98">
        <v>1.9432612019161147E-33</v>
      </c>
      <c r="G98">
        <v>2.3497405128452271E-3</v>
      </c>
      <c r="H98">
        <v>3.261332852599668E-3</v>
      </c>
      <c r="I98">
        <v>2.3497405128452271E-3</v>
      </c>
      <c r="J98">
        <v>3.261332852599668E-3</v>
      </c>
    </row>
    <row r="99" spans="2:10" x14ac:dyDescent="0.3">
      <c r="B99" t="s">
        <v>36</v>
      </c>
      <c r="C99">
        <v>-7.9489546619329485E-2</v>
      </c>
      <c r="D99">
        <v>7.8956807445629985E-3</v>
      </c>
      <c r="E99">
        <v>-10.067472228289668</v>
      </c>
      <c r="F99">
        <v>8.3934072900841059E-24</v>
      </c>
      <c r="G99">
        <v>-9.4965421226594432E-2</v>
      </c>
      <c r="H99">
        <v>-6.4013672012064537E-2</v>
      </c>
      <c r="I99">
        <v>-9.4965421226594432E-2</v>
      </c>
      <c r="J99">
        <v>-6.4013672012064537E-2</v>
      </c>
    </row>
    <row r="100" spans="2:10" x14ac:dyDescent="0.3">
      <c r="B100" t="s">
        <v>38</v>
      </c>
      <c r="C100">
        <v>-0.13499978401879353</v>
      </c>
      <c r="D100">
        <v>1.1746400758729425E-2</v>
      </c>
      <c r="E100">
        <v>-11.492863796466967</v>
      </c>
      <c r="F100">
        <v>1.660093897707358E-30</v>
      </c>
      <c r="G100">
        <v>-0.15802323584135575</v>
      </c>
      <c r="H100">
        <v>-0.11197633219623131</v>
      </c>
      <c r="I100">
        <v>-0.15802323584135575</v>
      </c>
      <c r="J100">
        <v>-0.11197633219623131</v>
      </c>
    </row>
    <row r="101" spans="2:10" x14ac:dyDescent="0.3">
      <c r="B101" t="s">
        <v>40</v>
      </c>
      <c r="C101">
        <v>-0.30509281149660555</v>
      </c>
      <c r="D101">
        <v>1.2358111524741819E-2</v>
      </c>
      <c r="E101">
        <v>-24.687656434058557</v>
      </c>
      <c r="F101">
        <v>3.1137103199532407E-133</v>
      </c>
      <c r="G101">
        <v>-0.32931524278870128</v>
      </c>
      <c r="H101">
        <v>-0.28087038020450983</v>
      </c>
      <c r="I101">
        <v>-0.32931524278870128</v>
      </c>
      <c r="J101">
        <v>-0.28087038020450983</v>
      </c>
    </row>
    <row r="102" spans="2:10" x14ac:dyDescent="0.3">
      <c r="B102" t="s">
        <v>42</v>
      </c>
      <c r="C102">
        <v>-0.28719219348160135</v>
      </c>
      <c r="D102">
        <v>1.0832317101841534E-2</v>
      </c>
      <c r="E102">
        <v>-26.512535663563394</v>
      </c>
      <c r="F102">
        <v>4.0605908566024145E-153</v>
      </c>
      <c r="G102">
        <v>-0.30842400193455438</v>
      </c>
      <c r="H102">
        <v>-0.26596038502864833</v>
      </c>
      <c r="I102">
        <v>-0.30842400193455438</v>
      </c>
      <c r="J102">
        <v>-0.26596038502864833</v>
      </c>
    </row>
    <row r="103" spans="2:10" x14ac:dyDescent="0.3">
      <c r="B103" t="s">
        <v>44</v>
      </c>
      <c r="C103">
        <v>0.3581636990289348</v>
      </c>
      <c r="D103">
        <v>3.2515047383045462E-2</v>
      </c>
      <c r="E103">
        <v>11.015321454388976</v>
      </c>
      <c r="F103">
        <v>3.6510280577386193E-28</v>
      </c>
      <c r="G103">
        <v>0.29443280457809284</v>
      </c>
      <c r="H103">
        <v>0.42189459347977676</v>
      </c>
      <c r="I103">
        <v>0.29443280457809284</v>
      </c>
      <c r="J103">
        <v>0.42189459347977676</v>
      </c>
    </row>
    <row r="104" spans="2:10" x14ac:dyDescent="0.3">
      <c r="B104" t="s">
        <v>46</v>
      </c>
      <c r="C104">
        <v>0.6507077380282047</v>
      </c>
      <c r="D104">
        <v>2.3584810229097142E-2</v>
      </c>
      <c r="E104">
        <v>27.59011972991884</v>
      </c>
      <c r="F104">
        <v>1.7129561191675661E-165</v>
      </c>
      <c r="G104">
        <v>0.60448049334218001</v>
      </c>
      <c r="H104">
        <v>0.69693498271422938</v>
      </c>
      <c r="I104">
        <v>0.60448049334218001</v>
      </c>
      <c r="J104">
        <v>0.69693498271422938</v>
      </c>
    </row>
    <row r="105" spans="2:10" x14ac:dyDescent="0.3">
      <c r="B105" t="s">
        <v>48</v>
      </c>
      <c r="C105">
        <v>-5.3379744180764625E-2</v>
      </c>
      <c r="D105">
        <v>6.9636621723508417E-3</v>
      </c>
      <c r="E105">
        <v>-7.6654701017387694</v>
      </c>
      <c r="F105">
        <v>1.8355257208275939E-14</v>
      </c>
      <c r="G105">
        <v>-6.7028822211289849E-2</v>
      </c>
      <c r="H105">
        <v>-3.9730666150239402E-2</v>
      </c>
      <c r="I105">
        <v>-6.7028822211289849E-2</v>
      </c>
      <c r="J105">
        <v>-3.9730666150239402E-2</v>
      </c>
    </row>
    <row r="106" spans="2:10" x14ac:dyDescent="0.3">
      <c r="B106" t="s">
        <v>50</v>
      </c>
      <c r="C106">
        <v>2.686293343571026E-3</v>
      </c>
      <c r="D106">
        <v>1.3047293995396446E-4</v>
      </c>
      <c r="E106">
        <v>20.588892566679704</v>
      </c>
      <c r="F106">
        <v>1.533508564206287E-93</v>
      </c>
      <c r="G106">
        <v>2.4305607571491169E-3</v>
      </c>
      <c r="H106">
        <v>2.9420259299929351E-3</v>
      </c>
      <c r="I106">
        <v>2.4305607571491169E-3</v>
      </c>
      <c r="J106">
        <v>2.9420259299929351E-3</v>
      </c>
    </row>
    <row r="107" spans="2:10" x14ac:dyDescent="0.3">
      <c r="B107" t="s">
        <v>52</v>
      </c>
      <c r="C107">
        <v>0.10055206185718808</v>
      </c>
      <c r="D107">
        <v>3.0291942077948987E-3</v>
      </c>
      <c r="E107">
        <v>33.19432659630791</v>
      </c>
      <c r="F107">
        <v>2.5896689792965302E-237</v>
      </c>
      <c r="G107">
        <v>9.4614710634727817E-2</v>
      </c>
      <c r="H107">
        <v>0.10648941307964835</v>
      </c>
      <c r="I107">
        <v>9.4614710634727817E-2</v>
      </c>
      <c r="J107">
        <v>0.10648941307964835</v>
      </c>
    </row>
    <row r="108" spans="2:10" x14ac:dyDescent="0.3">
      <c r="B108" t="s">
        <v>54</v>
      </c>
      <c r="C108">
        <v>-2.7209885061039104E-2</v>
      </c>
      <c r="D108">
        <v>2.6310900932995937E-3</v>
      </c>
      <c r="E108">
        <v>-10.341677440211015</v>
      </c>
      <c r="F108">
        <v>5.0293141956474691E-25</v>
      </c>
      <c r="G108">
        <v>-3.2366935058578634E-2</v>
      </c>
      <c r="H108">
        <v>-2.2052835063499573E-2</v>
      </c>
      <c r="I108">
        <v>-3.2366935058578634E-2</v>
      </c>
      <c r="J108">
        <v>-2.2052835063499573E-2</v>
      </c>
    </row>
    <row r="109" spans="2:10" x14ac:dyDescent="0.3">
      <c r="B109" t="s">
        <v>56</v>
      </c>
      <c r="C109">
        <v>0.17246668533224752</v>
      </c>
      <c r="D109">
        <v>3.9604422324215774E-3</v>
      </c>
      <c r="E109">
        <v>43.547330123988274</v>
      </c>
      <c r="F109">
        <v>0</v>
      </c>
      <c r="G109">
        <v>0.16470404783952997</v>
      </c>
      <c r="H109">
        <v>0.18022932282496507</v>
      </c>
      <c r="I109">
        <v>0.16470404783952997</v>
      </c>
      <c r="J109">
        <v>0.18022932282496507</v>
      </c>
    </row>
    <row r="110" spans="2:10" x14ac:dyDescent="0.3">
      <c r="B110" t="s">
        <v>58</v>
      </c>
      <c r="C110">
        <v>0.12232882089155125</v>
      </c>
      <c r="D110">
        <v>2.113457745417963E-2</v>
      </c>
      <c r="E110">
        <v>5.788089265411795</v>
      </c>
      <c r="F110">
        <v>7.1900079881527448E-9</v>
      </c>
      <c r="G110">
        <v>8.0904138063077113E-2</v>
      </c>
      <c r="H110">
        <v>0.1637535037200254</v>
      </c>
      <c r="I110">
        <v>8.0904138063077113E-2</v>
      </c>
      <c r="J110">
        <v>0.1637535037200254</v>
      </c>
    </row>
    <row r="111" spans="2:10" x14ac:dyDescent="0.3">
      <c r="B111" t="s">
        <v>60</v>
      </c>
      <c r="C111">
        <v>8.0733618595672629E-2</v>
      </c>
      <c r="D111">
        <v>7.9627121777161129E-3</v>
      </c>
      <c r="E111">
        <v>10.138959790811988</v>
      </c>
      <c r="F111">
        <v>4.0581340749264685E-24</v>
      </c>
      <c r="G111">
        <v>6.5126359489998578E-2</v>
      </c>
      <c r="H111">
        <v>9.634087770134668E-2</v>
      </c>
      <c r="I111">
        <v>6.5126359489998578E-2</v>
      </c>
      <c r="J111">
        <v>9.634087770134668E-2</v>
      </c>
    </row>
    <row r="112" spans="2:10" ht="15" thickBot="1" x14ac:dyDescent="0.35">
      <c r="B112" s="5" t="s">
        <v>62</v>
      </c>
      <c r="C112" s="5">
        <v>0.27046868671081636</v>
      </c>
      <c r="D112" s="5">
        <v>3.9762239400554424E-3</v>
      </c>
      <c r="E112" s="5">
        <v>68.02149244819573</v>
      </c>
      <c r="F112" s="5">
        <v>0</v>
      </c>
      <c r="G112" s="5">
        <v>0.26267511639085672</v>
      </c>
      <c r="H112" s="5">
        <v>0.27826225703077601</v>
      </c>
      <c r="I112" s="5">
        <v>0.26267511639085672</v>
      </c>
      <c r="J112" s="5">
        <v>0.27826225703077601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Summary Report</vt:lpstr>
      <vt:lpstr>Data Descriptors</vt:lpstr>
      <vt:lpstr>Graphs and Charts</vt:lpstr>
      <vt:lpstr>Statistical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2017-03-21T19:15:09Z</dcterms:created>
  <dcterms:modified xsi:type="dcterms:W3CDTF">2026-08-10T15:27:00Z</dcterms:modified>
</cp:coreProperties>
</file>
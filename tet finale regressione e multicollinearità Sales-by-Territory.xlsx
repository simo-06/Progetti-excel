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eon\Documents\"/>
    </mc:Choice>
  </mc:AlternateContent>
  <xr:revisionPtr revIDLastSave="0" documentId="13_ncr:1_{65FE080B-41D9-47C5-81FF-E6217C6754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GLIO 1" sheetId="8" r:id="rId1"/>
    <sheet name="Foglio 2" sheetId="11" r:id="rId2"/>
    <sheet name="Sales Revenue" sheetId="1" r:id="rId3"/>
  </sheets>
  <definedNames>
    <definedName name="_xlnm._FilterDatabase" localSheetId="2" hidden="1">'Sales Revenue'!$A$1:$E$39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8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53" i="1"/>
  <c r="D51" i="1"/>
  <c r="C51" i="1"/>
  <c r="C55" i="1" l="1"/>
</calcChain>
</file>

<file path=xl/sharedStrings.xml><?xml version="1.0" encoding="utf-8"?>
<sst xmlns="http://schemas.openxmlformats.org/spreadsheetml/2006/main" count="152" uniqueCount="53">
  <si>
    <t>Sales Revenue</t>
  </si>
  <si>
    <t>Territory</t>
  </si>
  <si>
    <t>Quantity of Orders</t>
  </si>
  <si>
    <t>Number of Sales Calls</t>
  </si>
  <si>
    <t>East</t>
  </si>
  <si>
    <t>South</t>
  </si>
  <si>
    <t>West</t>
  </si>
  <si>
    <t>North</t>
  </si>
  <si>
    <t>OUTPUT RIEPILOGO</t>
  </si>
  <si>
    <t>gdl</t>
  </si>
  <si>
    <t>SQ</t>
  </si>
  <si>
    <t>MQ</t>
  </si>
  <si>
    <t>F</t>
  </si>
  <si>
    <t>Significatività F</t>
  </si>
  <si>
    <t>Coefficienti</t>
  </si>
  <si>
    <t>Errore standard</t>
  </si>
  <si>
    <t>Stat t</t>
  </si>
  <si>
    <t>Valore di significatività</t>
  </si>
  <si>
    <t>Inferiore 95%</t>
  </si>
  <si>
    <t>Superiore 95%</t>
  </si>
  <si>
    <t>Inferiore 95,0%</t>
  </si>
  <si>
    <t>Superiore 95,0%</t>
  </si>
  <si>
    <t>Statistica della regressione</t>
  </si>
  <si>
    <t>R multiplo</t>
  </si>
  <si>
    <t>R al quadrato</t>
  </si>
  <si>
    <t>R al quadrato corretto</t>
  </si>
  <si>
    <t>Osservazioni</t>
  </si>
  <si>
    <t>ANALISI VARIANZA</t>
  </si>
  <si>
    <t>Regressione</t>
  </si>
  <si>
    <t>Residuo</t>
  </si>
  <si>
    <t>Totale</t>
  </si>
  <si>
    <t>Intercetta</t>
  </si>
  <si>
    <t xml:space="preserve">Il p value ci permette di sapere quale è la probabilità di osservare un effetto come quello calcolato nel caso in cui </t>
  </si>
  <si>
    <t>questa variabile non avesse alcun effetto reale sul modello(ipotesi significativa)</t>
  </si>
  <si>
    <t>Utilizzando un livello di significità pari a 0,05 come soglia standard,posso dire che se il p value è minore di 0,05 allora</t>
  </si>
  <si>
    <t>significa che la VARIABILE è significativa.</t>
  </si>
  <si>
    <t>Analizzando i dati noto che l'unica variabile statisticamente significativa tra quelle elencate è la quantità di ordini.</t>
  </si>
  <si>
    <t>VALORE DELLA VARIABILE Y (SALARY REVENUE) quando tutte le x sono zero</t>
  </si>
  <si>
    <t>Quando tutte le variabili indipendenti X sono zero il valore della varibile dipendente è uguale all'intercetta, il cui valore è -3258,16, come riportato in tabella qui di sopra.</t>
  </si>
  <si>
    <t xml:space="preserve">Essendo il p value legato al territorio 0,2199, che è maggiore di 0,05 , concludo dicendo che </t>
  </si>
  <si>
    <t>il coefficiente non è attentibile; non si puo quindi affermare che il territorio sud comporti un reale vantaggio rispetto all'ovest.</t>
  </si>
  <si>
    <t>Equazione della retta di regressione</t>
  </si>
  <si>
    <t>Valori forniti dal problema</t>
  </si>
  <si>
    <t>Territorio:Sud X=1</t>
  </si>
  <si>
    <t>Quantity of Orders:200</t>
  </si>
  <si>
    <t>Number of Sales Callas: 28</t>
  </si>
  <si>
    <t>Y=</t>
  </si>
  <si>
    <t>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</si>
  <si>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</si>
  <si>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</t>
  </si>
  <si>
    <t xml:space="preserve">                                                                                       </t>
  </si>
  <si>
    <t xml:space="preserve">                                                    </t>
  </si>
  <si>
    <t xml:space="preserve">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</si>
</sst>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1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94AF-886B-4063-AE3B-5210DB709F4C}">
  <dimension ref="A1:I25"/>
  <sheetViews>
    <sheetView workbookViewId="0">
      <selection activeCell="J27" sqref="J27"/>
    </sheetView>
  </sheetViews>
  <sheetFormatPr defaultRowHeight="14.4" x14ac:dyDescent="0.3"/>
  <sheetData>
    <row r="1" spans="1:9" x14ac:dyDescent="0.3">
      <c r="A1" t="s">
        <v>8</v>
      </c>
    </row>
    <row r="2" spans="1:9" ht="15" thickBot="1" x14ac:dyDescent="0.35"/>
    <row r="3" spans="1:9" x14ac:dyDescent="0.3">
      <c r="A3" s="4" t="s">
        <v>22</v>
      </c>
      <c r="B3" s="4"/>
    </row>
    <row r="4" spans="1:9" x14ac:dyDescent="0.3">
      <c r="A4" s="1" t="s">
        <v>23</v>
      </c>
      <c r="B4" s="1">
        <v>0.76503229969830988</v>
      </c>
    </row>
    <row r="5" spans="1:9" x14ac:dyDescent="0.3">
      <c r="A5" s="1" t="s">
        <v>24</v>
      </c>
      <c r="B5" s="1">
        <v>0.58527441958168458</v>
      </c>
    </row>
    <row r="6" spans="1:9" x14ac:dyDescent="0.3">
      <c r="A6" s="1" t="s">
        <v>25</v>
      </c>
      <c r="B6" s="1">
        <v>0.54380186153985299</v>
      </c>
    </row>
    <row r="7" spans="1:9" x14ac:dyDescent="0.3">
      <c r="A7" s="1" t="s">
        <v>15</v>
      </c>
      <c r="B7" s="1">
        <v>10395.752429233902</v>
      </c>
    </row>
    <row r="8" spans="1:9" ht="15" thickBot="1" x14ac:dyDescent="0.35">
      <c r="A8" s="2" t="s">
        <v>26</v>
      </c>
      <c r="B8" s="2">
        <v>34</v>
      </c>
    </row>
    <row r="10" spans="1:9" ht="15" thickBot="1" x14ac:dyDescent="0.35">
      <c r="A10" t="s">
        <v>27</v>
      </c>
    </row>
    <row r="11" spans="1:9" x14ac:dyDescent="0.3">
      <c r="A11" s="3"/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</row>
    <row r="12" spans="1:9" x14ac:dyDescent="0.3">
      <c r="A12" s="1" t="s">
        <v>28</v>
      </c>
      <c r="B12" s="1">
        <v>3</v>
      </c>
      <c r="C12" s="1">
        <v>4575429108.9317322</v>
      </c>
      <c r="D12" s="1">
        <v>1525143036.3105774</v>
      </c>
      <c r="E12" s="1">
        <v>14.112329868616833</v>
      </c>
      <c r="F12" s="1">
        <v>6.4645942747407448E-6</v>
      </c>
    </row>
    <row r="13" spans="1:9" x14ac:dyDescent="0.3">
      <c r="A13" s="1" t="s">
        <v>29</v>
      </c>
      <c r="B13" s="1">
        <v>30</v>
      </c>
      <c r="C13" s="1">
        <v>3242150057.0976772</v>
      </c>
      <c r="D13" s="1">
        <v>108071668.56992258</v>
      </c>
      <c r="E13" s="1"/>
      <c r="F13" s="1"/>
    </row>
    <row r="14" spans="1:9" ht="15" thickBot="1" x14ac:dyDescent="0.35">
      <c r="A14" s="2" t="s">
        <v>30</v>
      </c>
      <c r="B14" s="2">
        <v>33</v>
      </c>
      <c r="C14" s="2">
        <v>7817579166.0294094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14</v>
      </c>
      <c r="C16" s="3" t="s">
        <v>15</v>
      </c>
      <c r="D16" s="3" t="s">
        <v>16</v>
      </c>
      <c r="E16" s="3" t="s">
        <v>17</v>
      </c>
      <c r="F16" s="3" t="s">
        <v>18</v>
      </c>
      <c r="G16" s="3" t="s">
        <v>19</v>
      </c>
      <c r="H16" s="3" t="s">
        <v>20</v>
      </c>
      <c r="I16" s="3" t="s">
        <v>21</v>
      </c>
    </row>
    <row r="17" spans="1:9" x14ac:dyDescent="0.3">
      <c r="A17" s="1" t="s">
        <v>31</v>
      </c>
      <c r="B17" s="1">
        <v>-3037.7572189241346</v>
      </c>
      <c r="C17" s="1">
        <v>7578.4781502213009</v>
      </c>
      <c r="D17" s="1">
        <v>-0.40084000490724225</v>
      </c>
      <c r="E17" s="1">
        <v>0.69137855781736646</v>
      </c>
      <c r="F17" s="1">
        <v>-18515.074405801854</v>
      </c>
      <c r="G17" s="1">
        <v>12439.559967953583</v>
      </c>
      <c r="H17" s="1">
        <v>-18515.074405801854</v>
      </c>
      <c r="I17" s="1">
        <v>12439.559967953583</v>
      </c>
    </row>
    <row r="18" spans="1:9" x14ac:dyDescent="0.3">
      <c r="A18" s="1" t="s">
        <v>47</v>
      </c>
      <c r="B18" s="1">
        <v>7323.1689748209001</v>
      </c>
      <c r="C18" s="1">
        <v>4530.606522577843</v>
      </c>
      <c r="D18" s="1">
        <v>1.6163771756224228</v>
      </c>
      <c r="E18" s="1">
        <v>0.11648171688532166</v>
      </c>
      <c r="F18" s="1">
        <v>-1929.5639365785601</v>
      </c>
      <c r="G18" s="1">
        <v>16575.901886220359</v>
      </c>
      <c r="H18" s="1">
        <v>-1929.5639365785601</v>
      </c>
      <c r="I18" s="1">
        <v>16575.901886220359</v>
      </c>
    </row>
    <row r="19" spans="1:9" x14ac:dyDescent="0.3">
      <c r="A19" s="1" t="s">
        <v>2</v>
      </c>
      <c r="B19" s="1">
        <v>157.70832228033888</v>
      </c>
      <c r="C19" s="1">
        <v>59.218327604125022</v>
      </c>
      <c r="D19" s="1">
        <v>2.6631674459741626</v>
      </c>
      <c r="E19" s="1">
        <v>1.2327446311504979E-2</v>
      </c>
      <c r="F19" s="1">
        <v>36.768362906211081</v>
      </c>
      <c r="G19" s="1">
        <v>278.6482816544667</v>
      </c>
      <c r="H19" s="1">
        <v>36.768362906211081</v>
      </c>
      <c r="I19" s="1">
        <v>278.6482816544667</v>
      </c>
    </row>
    <row r="20" spans="1:9" ht="15" thickBot="1" x14ac:dyDescent="0.35">
      <c r="A20" s="2" t="s">
        <v>3</v>
      </c>
      <c r="B20" s="2">
        <v>558.49501575720365</v>
      </c>
      <c r="C20" s="2">
        <v>594.52620182185558</v>
      </c>
      <c r="D20" s="2">
        <v>0.93939512513622003</v>
      </c>
      <c r="E20" s="2">
        <v>0.3550304649521282</v>
      </c>
      <c r="F20" s="2">
        <v>-655.68947077296275</v>
      </c>
      <c r="G20" s="2">
        <v>1772.67950228737</v>
      </c>
      <c r="H20" s="2">
        <v>-655.68947077296275</v>
      </c>
      <c r="I20" s="2">
        <v>1772.67950228737</v>
      </c>
    </row>
    <row r="24" spans="1:9" x14ac:dyDescent="0.3">
      <c r="B24">
        <f>(B17+B18*1+B19*200+B20*28)</f>
        <v>51464.936653166238</v>
      </c>
    </row>
    <row r="25" spans="1:9" x14ac:dyDescent="0.3">
      <c r="B25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E129-D3EB-46C6-8818-4D92E2EEE857}">
  <dimension ref="A1:I20"/>
  <sheetViews>
    <sheetView tabSelected="1" workbookViewId="0">
      <selection activeCell="L20" sqref="L20"/>
    </sheetView>
  </sheetViews>
  <sheetFormatPr defaultRowHeight="14.4" x14ac:dyDescent="0.3"/>
  <sheetData>
    <row r="1" spans="1:9" x14ac:dyDescent="0.3">
      <c r="A1" t="s">
        <v>8</v>
      </c>
    </row>
    <row r="2" spans="1:9" ht="15" thickBot="1" x14ac:dyDescent="0.35"/>
    <row r="3" spans="1:9" x14ac:dyDescent="0.3">
      <c r="A3" s="4" t="s">
        <v>22</v>
      </c>
      <c r="B3" s="4"/>
    </row>
    <row r="4" spans="1:9" x14ac:dyDescent="0.3">
      <c r="A4" s="1" t="s">
        <v>23</v>
      </c>
      <c r="B4" s="1">
        <v>0.78784711178365296</v>
      </c>
    </row>
    <row r="5" spans="1:9" x14ac:dyDescent="0.3">
      <c r="A5" s="1" t="s">
        <v>24</v>
      </c>
      <c r="B5" s="1">
        <v>0.6207030715458437</v>
      </c>
    </row>
    <row r="6" spans="1:9" x14ac:dyDescent="0.3">
      <c r="A6" s="1" t="s">
        <v>25</v>
      </c>
      <c r="B6" s="1">
        <v>0.58277337870042811</v>
      </c>
    </row>
    <row r="7" spans="1:9" x14ac:dyDescent="0.3">
      <c r="A7" s="1" t="s">
        <v>15</v>
      </c>
      <c r="B7" s="1">
        <v>9941.8036016646402</v>
      </c>
    </row>
    <row r="8" spans="1:9" ht="15" thickBot="1" x14ac:dyDescent="0.35">
      <c r="A8" s="2" t="s">
        <v>26</v>
      </c>
      <c r="B8" s="2">
        <v>34</v>
      </c>
    </row>
    <row r="10" spans="1:9" ht="15" thickBot="1" x14ac:dyDescent="0.35">
      <c r="A10" t="s">
        <v>27</v>
      </c>
    </row>
    <row r="11" spans="1:9" x14ac:dyDescent="0.3">
      <c r="A11" s="3"/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</row>
    <row r="12" spans="1:9" x14ac:dyDescent="0.3">
      <c r="A12" s="1" t="s">
        <v>28</v>
      </c>
      <c r="B12" s="1">
        <v>3</v>
      </c>
      <c r="C12" s="1">
        <v>4852395400.4072495</v>
      </c>
      <c r="D12" s="1">
        <v>1617465133.4690831</v>
      </c>
      <c r="E12" s="1">
        <v>16.364568890013167</v>
      </c>
      <c r="F12" s="1">
        <v>1.7391229518366207E-6</v>
      </c>
    </row>
    <row r="13" spans="1:9" x14ac:dyDescent="0.3">
      <c r="A13" s="1" t="s">
        <v>29</v>
      </c>
      <c r="B13" s="1">
        <v>30</v>
      </c>
      <c r="C13" s="1">
        <v>2965183765.62216</v>
      </c>
      <c r="D13" s="1">
        <v>98839458.854072005</v>
      </c>
      <c r="E13" s="1"/>
      <c r="F13" s="1"/>
    </row>
    <row r="14" spans="1:9" ht="15" thickBot="1" x14ac:dyDescent="0.35">
      <c r="A14" s="2" t="s">
        <v>30</v>
      </c>
      <c r="B14" s="2">
        <v>33</v>
      </c>
      <c r="C14" s="2">
        <v>7817579166.0294094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14</v>
      </c>
      <c r="C16" s="3" t="s">
        <v>15</v>
      </c>
      <c r="D16" s="3" t="s">
        <v>16</v>
      </c>
      <c r="E16" s="3" t="s">
        <v>17</v>
      </c>
      <c r="F16" s="3" t="s">
        <v>18</v>
      </c>
      <c r="G16" s="3" t="s">
        <v>19</v>
      </c>
      <c r="H16" s="3" t="s">
        <v>20</v>
      </c>
      <c r="I16" s="3" t="s">
        <v>21</v>
      </c>
    </row>
    <row r="17" spans="1:9" x14ac:dyDescent="0.3">
      <c r="A17" s="1" t="s">
        <v>31</v>
      </c>
      <c r="B17" s="1">
        <v>-2805.372361584672</v>
      </c>
      <c r="C17" s="1">
        <v>7110.3028618386124</v>
      </c>
      <c r="D17" s="1">
        <v>-0.39455033295997283</v>
      </c>
      <c r="E17" s="1">
        <v>0.69596581496513299</v>
      </c>
      <c r="F17" s="1">
        <v>-17326.548052277536</v>
      </c>
      <c r="G17" s="1">
        <v>11715.803329108192</v>
      </c>
      <c r="H17" s="1">
        <v>-17326.548052277536</v>
      </c>
      <c r="I17" s="1">
        <v>11715.803329108192</v>
      </c>
    </row>
    <row r="18" spans="1:9" x14ac:dyDescent="0.3">
      <c r="A18" s="1" t="s">
        <v>1</v>
      </c>
      <c r="B18" s="1">
        <v>-9780.6142098337587</v>
      </c>
      <c r="C18" s="1">
        <v>4111.4989141705582</v>
      </c>
      <c r="D18" s="1">
        <v>-2.378843923836198</v>
      </c>
      <c r="E18" s="1">
        <v>2.3931167568568557E-2</v>
      </c>
      <c r="F18" s="1">
        <v>-18177.415196356735</v>
      </c>
      <c r="G18" s="1">
        <v>-1383.8132233107808</v>
      </c>
      <c r="H18" s="1">
        <v>-18177.415196356735</v>
      </c>
      <c r="I18" s="1">
        <v>-1383.8132233107808</v>
      </c>
    </row>
    <row r="19" spans="1:9" x14ac:dyDescent="0.3">
      <c r="A19" s="1" t="s">
        <v>2</v>
      </c>
      <c r="B19" s="1">
        <v>151.68904539513721</v>
      </c>
      <c r="C19" s="1">
        <v>56.697673843069651</v>
      </c>
      <c r="D19" s="1">
        <v>2.6754015661204886</v>
      </c>
      <c r="E19" s="1">
        <v>1.1971453498343615E-2</v>
      </c>
      <c r="F19" s="1">
        <v>35.896947769084917</v>
      </c>
      <c r="G19" s="1">
        <v>267.4811430211895</v>
      </c>
      <c r="H19" s="1">
        <v>35.896947769084917</v>
      </c>
      <c r="I19" s="1">
        <v>267.4811430211895</v>
      </c>
    </row>
    <row r="20" spans="1:9" ht="15" thickBot="1" x14ac:dyDescent="0.35">
      <c r="A20" s="2" t="s">
        <v>3</v>
      </c>
      <c r="B20" s="2">
        <v>818.37224153354373</v>
      </c>
      <c r="C20" s="2">
        <v>588.76713997122818</v>
      </c>
      <c r="D20" s="2">
        <v>1.3899760804815566</v>
      </c>
      <c r="E20" s="2">
        <v>0.17476474924426036</v>
      </c>
      <c r="F20" s="2">
        <v>-384.05067160495105</v>
      </c>
      <c r="G20" s="2">
        <v>2020.7951546720385</v>
      </c>
      <c r="H20" s="2">
        <v>-384.05067160495105</v>
      </c>
      <c r="I20" s="2">
        <v>2020.7951546720385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workbookViewId="0">
      <selection activeCell="C3" sqref="C3"/>
    </sheetView>
  </sheetViews>
  <sheetFormatPr defaultRowHeight="14.4" x14ac:dyDescent="0.3"/>
  <cols>
    <col min="1" max="1" width="14" bestFit="1" customWidth="1"/>
    <col min="4" max="4" width="17.6640625" bestFit="1" customWidth="1"/>
    <col min="5" max="5" width="23.109375" customWidth="1"/>
  </cols>
  <sheetData>
    <row r="1" spans="1:18" ht="15" thickBot="1" x14ac:dyDescent="0.35">
      <c r="A1" t="s">
        <v>0</v>
      </c>
      <c r="B1" t="s">
        <v>1</v>
      </c>
      <c r="C1" t="s">
        <v>1</v>
      </c>
      <c r="D1" t="s">
        <v>2</v>
      </c>
      <c r="E1" t="s">
        <v>3</v>
      </c>
    </row>
    <row r="2" spans="1:18" x14ac:dyDescent="0.3">
      <c r="A2">
        <v>21863</v>
      </c>
      <c r="B2" t="s">
        <v>4</v>
      </c>
      <c r="C2">
        <f>IF(B2="South",1,0)</f>
        <v>0</v>
      </c>
      <c r="D2">
        <v>162</v>
      </c>
      <c r="E2">
        <v>17</v>
      </c>
      <c r="P2" s="3"/>
      <c r="Q2" s="3" t="s">
        <v>2</v>
      </c>
      <c r="R2" s="3" t="s">
        <v>3</v>
      </c>
    </row>
    <row r="3" spans="1:18" x14ac:dyDescent="0.3">
      <c r="A3">
        <v>53633</v>
      </c>
      <c r="B3" t="s">
        <v>4</v>
      </c>
      <c r="C3">
        <f t="shared" ref="C3:C39" si="0">IF(B3="South",1,0)</f>
        <v>0</v>
      </c>
      <c r="D3">
        <v>224</v>
      </c>
      <c r="E3">
        <v>22</v>
      </c>
      <c r="P3" s="1" t="s">
        <v>2</v>
      </c>
      <c r="Q3" s="1">
        <v>1</v>
      </c>
      <c r="R3" s="1"/>
    </row>
    <row r="4" spans="1:18" ht="15" thickBot="1" x14ac:dyDescent="0.35">
      <c r="A4">
        <v>35530</v>
      </c>
      <c r="B4" t="s">
        <v>5</v>
      </c>
      <c r="C4">
        <f t="shared" si="0"/>
        <v>1</v>
      </c>
      <c r="D4">
        <v>271</v>
      </c>
      <c r="E4">
        <v>29</v>
      </c>
      <c r="P4" s="2" t="s">
        <v>3</v>
      </c>
      <c r="Q4" s="2">
        <v>0.76384582614770846</v>
      </c>
      <c r="R4" s="2">
        <v>1</v>
      </c>
    </row>
    <row r="5" spans="1:18" x14ac:dyDescent="0.3">
      <c r="A5">
        <v>23037</v>
      </c>
      <c r="B5" t="s">
        <v>6</v>
      </c>
      <c r="C5">
        <f t="shared" si="0"/>
        <v>0</v>
      </c>
      <c r="D5">
        <v>103</v>
      </c>
      <c r="E5">
        <v>13</v>
      </c>
      <c r="H5" t="s">
        <v>8</v>
      </c>
    </row>
    <row r="6" spans="1:18" ht="15" thickBot="1" x14ac:dyDescent="0.35">
      <c r="A6">
        <v>48444</v>
      </c>
      <c r="B6" t="s">
        <v>7</v>
      </c>
      <c r="C6">
        <f t="shared" si="0"/>
        <v>0</v>
      </c>
      <c r="D6">
        <v>196</v>
      </c>
      <c r="E6">
        <v>23</v>
      </c>
    </row>
    <row r="7" spans="1:18" x14ac:dyDescent="0.3">
      <c r="A7">
        <v>44516</v>
      </c>
      <c r="B7" t="s">
        <v>7</v>
      </c>
      <c r="C7">
        <f t="shared" si="0"/>
        <v>0</v>
      </c>
      <c r="D7">
        <v>151</v>
      </c>
      <c r="E7">
        <v>16</v>
      </c>
      <c r="H7" s="4" t="s">
        <v>22</v>
      </c>
      <c r="I7" s="4"/>
    </row>
    <row r="8" spans="1:18" x14ac:dyDescent="0.3">
      <c r="A8">
        <v>62107</v>
      </c>
      <c r="B8" t="s">
        <v>5</v>
      </c>
      <c r="C8">
        <f t="shared" si="0"/>
        <v>1</v>
      </c>
      <c r="D8">
        <v>293</v>
      </c>
      <c r="E8">
        <v>29</v>
      </c>
      <c r="H8" s="1" t="s">
        <v>23</v>
      </c>
      <c r="I8" s="1">
        <v>0.75863409463676545</v>
      </c>
    </row>
    <row r="9" spans="1:18" x14ac:dyDescent="0.3">
      <c r="A9">
        <v>32030</v>
      </c>
      <c r="B9" t="s">
        <v>6</v>
      </c>
      <c r="C9">
        <f t="shared" si="0"/>
        <v>0</v>
      </c>
      <c r="D9">
        <v>178</v>
      </c>
      <c r="E9">
        <v>15</v>
      </c>
      <c r="H9" s="1" t="s">
        <v>24</v>
      </c>
      <c r="I9" s="1">
        <v>0.57552568954534478</v>
      </c>
    </row>
    <row r="10" spans="1:18" x14ac:dyDescent="0.3">
      <c r="A10">
        <v>64554</v>
      </c>
      <c r="B10" t="s">
        <v>7</v>
      </c>
      <c r="C10">
        <f t="shared" si="0"/>
        <v>0</v>
      </c>
      <c r="D10">
        <v>293</v>
      </c>
      <c r="E10">
        <v>26</v>
      </c>
      <c r="H10" s="1" t="s">
        <v>25</v>
      </c>
      <c r="I10" s="1">
        <v>0.5357312229402208</v>
      </c>
    </row>
    <row r="11" spans="1:18" x14ac:dyDescent="0.3">
      <c r="A11">
        <v>30489</v>
      </c>
      <c r="B11" t="s">
        <v>4</v>
      </c>
      <c r="C11">
        <f t="shared" si="0"/>
        <v>0</v>
      </c>
      <c r="D11">
        <v>168</v>
      </c>
      <c r="E11">
        <v>11</v>
      </c>
      <c r="H11" s="1" t="s">
        <v>15</v>
      </c>
      <c r="I11" s="1">
        <v>10414.430789076954</v>
      </c>
    </row>
    <row r="12" spans="1:18" ht="15" thickBot="1" x14ac:dyDescent="0.35">
      <c r="A12">
        <v>41419</v>
      </c>
      <c r="B12" t="s">
        <v>6</v>
      </c>
      <c r="C12">
        <f t="shared" si="0"/>
        <v>0</v>
      </c>
      <c r="D12">
        <v>184</v>
      </c>
      <c r="E12">
        <v>13</v>
      </c>
      <c r="H12" s="2" t="s">
        <v>26</v>
      </c>
      <c r="I12" s="2">
        <v>36</v>
      </c>
    </row>
    <row r="13" spans="1:18" x14ac:dyDescent="0.3">
      <c r="A13">
        <v>24665</v>
      </c>
      <c r="B13" t="s">
        <v>5</v>
      </c>
      <c r="C13">
        <f t="shared" si="0"/>
        <v>1</v>
      </c>
      <c r="D13">
        <v>212</v>
      </c>
      <c r="E13">
        <v>19</v>
      </c>
    </row>
    <row r="14" spans="1:18" ht="15" thickBot="1" x14ac:dyDescent="0.35">
      <c r="A14">
        <v>24697</v>
      </c>
      <c r="B14" t="s">
        <v>7</v>
      </c>
      <c r="C14">
        <f t="shared" si="0"/>
        <v>0</v>
      </c>
      <c r="D14">
        <v>174</v>
      </c>
      <c r="E14">
        <v>14</v>
      </c>
      <c r="H14" t="s">
        <v>27</v>
      </c>
    </row>
    <row r="15" spans="1:18" x14ac:dyDescent="0.3">
      <c r="A15">
        <v>61904</v>
      </c>
      <c r="B15" t="s">
        <v>4</v>
      </c>
      <c r="C15">
        <f t="shared" si="0"/>
        <v>0</v>
      </c>
      <c r="D15">
        <v>218</v>
      </c>
      <c r="E15">
        <v>29</v>
      </c>
      <c r="H15" s="3"/>
      <c r="I15" s="3" t="s">
        <v>9</v>
      </c>
      <c r="J15" s="3" t="s">
        <v>10</v>
      </c>
      <c r="K15" s="3" t="s">
        <v>11</v>
      </c>
      <c r="L15" s="3" t="s">
        <v>12</v>
      </c>
      <c r="M15" s="3" t="s">
        <v>13</v>
      </c>
    </row>
    <row r="16" spans="1:18" x14ac:dyDescent="0.3">
      <c r="A16">
        <v>68702</v>
      </c>
      <c r="B16" t="s">
        <v>5</v>
      </c>
      <c r="C16">
        <f t="shared" si="0"/>
        <v>1</v>
      </c>
      <c r="D16">
        <v>282</v>
      </c>
      <c r="E16">
        <v>27</v>
      </c>
      <c r="H16" s="1" t="s">
        <v>28</v>
      </c>
      <c r="I16" s="1">
        <v>3</v>
      </c>
      <c r="J16" s="1">
        <v>4705809660.5037193</v>
      </c>
      <c r="K16" s="1">
        <v>1568603220.1679065</v>
      </c>
      <c r="L16" s="1">
        <v>14.462455176399832</v>
      </c>
      <c r="M16" s="1">
        <v>3.9745035810941367E-6</v>
      </c>
    </row>
    <row r="17" spans="1:17" x14ac:dyDescent="0.3">
      <c r="A17">
        <v>58713</v>
      </c>
      <c r="B17" t="s">
        <v>6</v>
      </c>
      <c r="C17">
        <f t="shared" si="0"/>
        <v>0</v>
      </c>
      <c r="D17">
        <v>249</v>
      </c>
      <c r="E17">
        <v>24</v>
      </c>
      <c r="H17" s="1" t="s">
        <v>29</v>
      </c>
      <c r="I17" s="1">
        <v>32</v>
      </c>
      <c r="J17" s="1">
        <v>3470731797.1351686</v>
      </c>
      <c r="K17" s="1">
        <v>108460368.66047402</v>
      </c>
      <c r="L17" s="1"/>
      <c r="M17" s="1"/>
    </row>
    <row r="18" spans="1:17" ht="15" thickBot="1" x14ac:dyDescent="0.35">
      <c r="A18">
        <v>58344</v>
      </c>
      <c r="B18" t="s">
        <v>7</v>
      </c>
      <c r="C18">
        <f t="shared" si="0"/>
        <v>0</v>
      </c>
      <c r="D18">
        <v>270</v>
      </c>
      <c r="E18">
        <v>22</v>
      </c>
      <c r="H18" s="2" t="s">
        <v>30</v>
      </c>
      <c r="I18" s="2">
        <v>35</v>
      </c>
      <c r="J18" s="2">
        <v>8176541457.6388874</v>
      </c>
      <c r="K18" s="2"/>
      <c r="L18" s="2"/>
      <c r="M18" s="2"/>
    </row>
    <row r="19" spans="1:17" ht="15" thickBot="1" x14ac:dyDescent="0.35">
      <c r="A19">
        <v>66771</v>
      </c>
      <c r="B19" t="s">
        <v>6</v>
      </c>
      <c r="C19">
        <f t="shared" si="0"/>
        <v>0</v>
      </c>
      <c r="D19">
        <v>282</v>
      </c>
      <c r="E19">
        <v>26</v>
      </c>
    </row>
    <row r="20" spans="1:17" x14ac:dyDescent="0.3">
      <c r="A20">
        <v>36504</v>
      </c>
      <c r="B20" t="s">
        <v>4</v>
      </c>
      <c r="C20">
        <f t="shared" si="0"/>
        <v>0</v>
      </c>
      <c r="D20">
        <v>150</v>
      </c>
      <c r="E20">
        <v>15</v>
      </c>
      <c r="H20" s="3"/>
      <c r="I20" s="3" t="s">
        <v>14</v>
      </c>
      <c r="J20" s="3" t="s">
        <v>15</v>
      </c>
      <c r="K20" s="3" t="s">
        <v>16</v>
      </c>
      <c r="L20" s="3" t="s">
        <v>17</v>
      </c>
      <c r="M20" s="3" t="s">
        <v>18</v>
      </c>
      <c r="N20" s="3" t="s">
        <v>19</v>
      </c>
      <c r="O20" s="3" t="s">
        <v>20</v>
      </c>
      <c r="P20" s="3" t="s">
        <v>21</v>
      </c>
      <c r="Q20" s="3" t="s">
        <v>21</v>
      </c>
    </row>
    <row r="21" spans="1:17" x14ac:dyDescent="0.3">
      <c r="A21">
        <v>36063</v>
      </c>
      <c r="B21" t="s">
        <v>5</v>
      </c>
      <c r="C21">
        <f t="shared" si="0"/>
        <v>1</v>
      </c>
      <c r="D21">
        <v>178</v>
      </c>
      <c r="E21">
        <v>20</v>
      </c>
      <c r="H21" s="1" t="s">
        <v>31</v>
      </c>
      <c r="I21" s="1">
        <v>-3258.1637435829489</v>
      </c>
      <c r="J21" s="1">
        <v>7430.5275363180826</v>
      </c>
      <c r="K21" s="1">
        <v>-0.43848350304309736</v>
      </c>
      <c r="L21" s="1">
        <v>0.66398197359768396</v>
      </c>
      <c r="M21" s="1">
        <v>-18393.653041807687</v>
      </c>
      <c r="N21" s="1">
        <v>11877.325554641791</v>
      </c>
      <c r="O21" s="1">
        <v>-18393.653041807687</v>
      </c>
      <c r="P21" s="1">
        <v>11877.325554641791</v>
      </c>
      <c r="Q21" s="1">
        <v>13812.944505399335</v>
      </c>
    </row>
    <row r="22" spans="1:17" x14ac:dyDescent="0.3">
      <c r="A22">
        <v>24289</v>
      </c>
      <c r="B22" t="s">
        <v>7</v>
      </c>
      <c r="C22">
        <f t="shared" si="0"/>
        <v>0</v>
      </c>
      <c r="D22">
        <v>129</v>
      </c>
      <c r="E22">
        <v>13</v>
      </c>
      <c r="H22" s="1" t="s">
        <v>1</v>
      </c>
      <c r="I22" s="1">
        <v>5304.5537565872437</v>
      </c>
      <c r="J22" s="1">
        <v>4239.4197159308051</v>
      </c>
      <c r="K22" s="1">
        <v>1.2512452439313568</v>
      </c>
      <c r="L22" s="1">
        <v>0.21991560274343289</v>
      </c>
      <c r="M22" s="1">
        <v>-3330.8616197143638</v>
      </c>
      <c r="N22" s="1">
        <v>13939.969132888851</v>
      </c>
      <c r="O22" s="1">
        <v>-3330.8616197143638</v>
      </c>
      <c r="P22" s="1">
        <v>13939.969132888851</v>
      </c>
      <c r="Q22" s="1">
        <v>297.44217093865564</v>
      </c>
    </row>
    <row r="23" spans="1:17" ht="15" thickBot="1" x14ac:dyDescent="0.35">
      <c r="A23">
        <v>25920</v>
      </c>
      <c r="B23" t="s">
        <v>4</v>
      </c>
      <c r="C23">
        <f t="shared" si="0"/>
        <v>0</v>
      </c>
      <c r="D23">
        <v>221</v>
      </c>
      <c r="E23">
        <v>21</v>
      </c>
      <c r="H23" s="1" t="s">
        <v>2</v>
      </c>
      <c r="I23" s="1">
        <v>173.08292183666487</v>
      </c>
      <c r="J23" s="1">
        <v>58.335539519736862</v>
      </c>
      <c r="K23" s="1">
        <v>2.9670235890782348</v>
      </c>
      <c r="L23" s="1">
        <v>5.6498611169435078E-3</v>
      </c>
      <c r="M23" s="1">
        <v>54.257316280178401</v>
      </c>
      <c r="N23" s="1">
        <v>291.9085273931513</v>
      </c>
      <c r="O23" s="1">
        <v>54.257316280178401</v>
      </c>
      <c r="P23" s="1">
        <v>291.9085273931513</v>
      </c>
      <c r="Q23" s="2">
        <v>1481.4691071760774</v>
      </c>
    </row>
    <row r="24" spans="1:17" ht="15" thickBot="1" x14ac:dyDescent="0.35">
      <c r="A24">
        <v>37400</v>
      </c>
      <c r="B24" t="s">
        <v>5</v>
      </c>
      <c r="C24">
        <f t="shared" si="0"/>
        <v>1</v>
      </c>
      <c r="D24">
        <v>147</v>
      </c>
      <c r="E24">
        <v>16</v>
      </c>
      <c r="H24" s="2" t="s">
        <v>3</v>
      </c>
      <c r="I24" s="2">
        <v>405.68869393161424</v>
      </c>
      <c r="J24" s="2">
        <v>581.27177582758986</v>
      </c>
      <c r="K24" s="2">
        <v>0.69793289611217069</v>
      </c>
      <c r="L24" s="2">
        <v>0.49025992800829676</v>
      </c>
      <c r="M24" s="2">
        <v>-778.32316786386866</v>
      </c>
      <c r="N24" s="2">
        <v>1589.7005557270973</v>
      </c>
      <c r="O24" s="2">
        <v>-778.32316786386866</v>
      </c>
      <c r="P24" s="2">
        <v>1589.7005557270973</v>
      </c>
    </row>
    <row r="25" spans="1:17" x14ac:dyDescent="0.3">
      <c r="A25">
        <v>25162</v>
      </c>
      <c r="B25" t="s">
        <v>5</v>
      </c>
      <c r="C25">
        <f t="shared" si="0"/>
        <v>1</v>
      </c>
      <c r="D25">
        <v>212</v>
      </c>
      <c r="E25">
        <v>23</v>
      </c>
    </row>
    <row r="26" spans="1:17" x14ac:dyDescent="0.3">
      <c r="A26">
        <v>53332</v>
      </c>
      <c r="B26" t="s">
        <v>7</v>
      </c>
      <c r="C26">
        <f t="shared" si="0"/>
        <v>0</v>
      </c>
      <c r="D26">
        <v>250</v>
      </c>
      <c r="E26">
        <v>22</v>
      </c>
    </row>
    <row r="27" spans="1:17" x14ac:dyDescent="0.3">
      <c r="A27">
        <v>58231</v>
      </c>
      <c r="B27" t="s">
        <v>4</v>
      </c>
      <c r="C27">
        <f t="shared" si="0"/>
        <v>0</v>
      </c>
      <c r="D27">
        <v>283</v>
      </c>
      <c r="E27">
        <v>19</v>
      </c>
      <c r="H27" t="s">
        <v>32</v>
      </c>
    </row>
    <row r="28" spans="1:17" x14ac:dyDescent="0.3">
      <c r="A28">
        <v>53215</v>
      </c>
      <c r="B28" t="s">
        <v>5</v>
      </c>
      <c r="C28">
        <f t="shared" si="0"/>
        <v>1</v>
      </c>
      <c r="D28">
        <v>255</v>
      </c>
      <c r="E28">
        <v>30</v>
      </c>
      <c r="H28" t="s">
        <v>33</v>
      </c>
    </row>
    <row r="29" spans="1:17" x14ac:dyDescent="0.3">
      <c r="A29">
        <v>61643</v>
      </c>
      <c r="B29" t="s">
        <v>6</v>
      </c>
      <c r="C29">
        <f t="shared" si="0"/>
        <v>0</v>
      </c>
      <c r="D29">
        <v>293</v>
      </c>
      <c r="E29">
        <v>28</v>
      </c>
    </row>
    <row r="30" spans="1:17" x14ac:dyDescent="0.3">
      <c r="A30">
        <v>61705</v>
      </c>
      <c r="B30" t="s">
        <v>7</v>
      </c>
      <c r="C30">
        <f t="shared" si="0"/>
        <v>0</v>
      </c>
      <c r="D30">
        <v>290</v>
      </c>
      <c r="E30">
        <v>27</v>
      </c>
      <c r="H30" t="s">
        <v>34</v>
      </c>
    </row>
    <row r="31" spans="1:17" x14ac:dyDescent="0.3">
      <c r="A31">
        <v>33798</v>
      </c>
      <c r="B31" t="s">
        <v>4</v>
      </c>
      <c r="C31">
        <f t="shared" si="0"/>
        <v>0</v>
      </c>
      <c r="D31">
        <v>159</v>
      </c>
      <c r="E31">
        <v>18</v>
      </c>
      <c r="H31" t="s">
        <v>35</v>
      </c>
    </row>
    <row r="32" spans="1:17" x14ac:dyDescent="0.3">
      <c r="A32">
        <v>48941</v>
      </c>
      <c r="B32" t="s">
        <v>6</v>
      </c>
      <c r="C32">
        <f t="shared" si="0"/>
        <v>0</v>
      </c>
      <c r="D32">
        <v>162</v>
      </c>
      <c r="E32">
        <v>13</v>
      </c>
    </row>
    <row r="33" spans="1:8" x14ac:dyDescent="0.3">
      <c r="A33">
        <v>66245</v>
      </c>
      <c r="B33" t="s">
        <v>5</v>
      </c>
      <c r="C33">
        <f t="shared" si="0"/>
        <v>1</v>
      </c>
      <c r="D33">
        <v>298</v>
      </c>
      <c r="E33">
        <v>28</v>
      </c>
      <c r="H33" t="s">
        <v>36</v>
      </c>
    </row>
    <row r="34" spans="1:8" x14ac:dyDescent="0.3">
      <c r="A34">
        <v>41581</v>
      </c>
      <c r="B34" t="s">
        <v>7</v>
      </c>
      <c r="C34">
        <f t="shared" si="0"/>
        <v>0</v>
      </c>
      <c r="D34">
        <v>215</v>
      </c>
      <c r="E34">
        <v>23</v>
      </c>
    </row>
    <row r="35" spans="1:8" x14ac:dyDescent="0.3">
      <c r="A35">
        <v>31578</v>
      </c>
      <c r="B35" t="s">
        <v>5</v>
      </c>
      <c r="C35">
        <f t="shared" si="0"/>
        <v>1</v>
      </c>
      <c r="D35">
        <v>265</v>
      </c>
      <c r="E35">
        <v>24</v>
      </c>
    </row>
    <row r="36" spans="1:8" x14ac:dyDescent="0.3">
      <c r="A36">
        <v>29864</v>
      </c>
      <c r="B36" t="s">
        <v>4</v>
      </c>
      <c r="C36">
        <f t="shared" si="0"/>
        <v>0</v>
      </c>
      <c r="D36">
        <v>173</v>
      </c>
      <c r="E36">
        <v>16</v>
      </c>
      <c r="H36" t="s">
        <v>37</v>
      </c>
    </row>
    <row r="37" spans="1:8" x14ac:dyDescent="0.3">
      <c r="A37">
        <v>31880</v>
      </c>
      <c r="B37" t="s">
        <v>6</v>
      </c>
      <c r="C37">
        <f t="shared" si="0"/>
        <v>0</v>
      </c>
      <c r="D37">
        <v>199</v>
      </c>
      <c r="E37">
        <v>22</v>
      </c>
      <c r="H37" t="s">
        <v>38</v>
      </c>
    </row>
    <row r="38" spans="1:8" x14ac:dyDescent="0.3">
      <c r="A38">
        <v>68828</v>
      </c>
      <c r="B38" t="s">
        <v>7</v>
      </c>
      <c r="C38">
        <f t="shared" si="0"/>
        <v>0</v>
      </c>
      <c r="D38">
        <v>270</v>
      </c>
      <c r="E38">
        <v>28</v>
      </c>
    </row>
    <row r="39" spans="1:8" x14ac:dyDescent="0.3">
      <c r="A39">
        <v>61214</v>
      </c>
      <c r="B39" t="s">
        <v>4</v>
      </c>
      <c r="C39">
        <f t="shared" si="0"/>
        <v>0</v>
      </c>
      <c r="D39">
        <v>160</v>
      </c>
      <c r="E39">
        <v>30</v>
      </c>
    </row>
    <row r="41" spans="1:8" x14ac:dyDescent="0.3">
      <c r="H41" t="s">
        <v>39</v>
      </c>
    </row>
    <row r="42" spans="1:8" x14ac:dyDescent="0.3">
      <c r="H42" t="s">
        <v>40</v>
      </c>
    </row>
    <row r="43" spans="1:8" x14ac:dyDescent="0.3">
      <c r="B43" s="5" t="s">
        <v>41</v>
      </c>
    </row>
    <row r="44" spans="1:8" x14ac:dyDescent="0.3">
      <c r="B44" s="6"/>
    </row>
    <row r="45" spans="1:8" x14ac:dyDescent="0.3">
      <c r="B45" t="s">
        <v>42</v>
      </c>
    </row>
    <row r="47" spans="1:8" x14ac:dyDescent="0.3">
      <c r="B47" t="s">
        <v>43</v>
      </c>
    </row>
    <row r="48" spans="1:8" x14ac:dyDescent="0.3">
      <c r="B48" t="s">
        <v>44</v>
      </c>
    </row>
    <row r="49" spans="2:12" x14ac:dyDescent="0.3">
      <c r="B49" t="s">
        <v>45</v>
      </c>
      <c r="E49" t="s">
        <v>52</v>
      </c>
    </row>
    <row r="51" spans="2:12" x14ac:dyDescent="0.3">
      <c r="B51" t="s">
        <v>46</v>
      </c>
      <c r="C51">
        <f>(I23*200)</f>
        <v>34616.584367332973</v>
      </c>
      <c r="D51">
        <f>(I24*28)</f>
        <v>11359.283430085199</v>
      </c>
    </row>
    <row r="52" spans="2:12" x14ac:dyDescent="0.3">
      <c r="G52" t="s">
        <v>50</v>
      </c>
    </row>
    <row r="53" spans="2:12" x14ac:dyDescent="0.3">
      <c r="C53">
        <f>(I21)</f>
        <v>-3258.1637435829489</v>
      </c>
      <c r="L53" t="s">
        <v>51</v>
      </c>
    </row>
    <row r="55" spans="2:12" x14ac:dyDescent="0.3">
      <c r="C55">
        <f>(C53+C52+D51+I22)</f>
        <v>13405.673443089494</v>
      </c>
    </row>
    <row r="56" spans="2:12" x14ac:dyDescent="0.3">
      <c r="C56" t="s">
        <v>49</v>
      </c>
    </row>
  </sheetData>
  <autoFilter ref="A1:E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 1</vt:lpstr>
      <vt:lpstr>Foglio 2</vt:lpstr>
      <vt:lpstr>Sales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Butler</dc:creator>
  <cp:lastModifiedBy>simonemarcelo006@gmail.com</cp:lastModifiedBy>
  <dcterms:created xsi:type="dcterms:W3CDTF">2017-02-01T17:39:41Z</dcterms:created>
  <dcterms:modified xsi:type="dcterms:W3CDTF">2026-08-10T15:13:20Z</dcterms:modified>
</cp:coreProperties>
</file>
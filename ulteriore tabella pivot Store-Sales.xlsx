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7" sheetId="1" state="visible" r:id="rId3"/>
    <sheet name="Compiled Information" sheetId="2" state="visible" r:id="rId4"/>
    <sheet name="Tabella pivot_Compiled Informat" sheetId="3" state="visible" r:id="rId5"/>
    <sheet name="Order Sales" sheetId="4" state="visible" r:id="rId6"/>
    <sheet name="Order Shipping" sheetId="5" state="visible" r:id="rId7"/>
  </sheet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<sst xmlns="http://schemas.openxmlformats.org/spreadsheetml/2006/main" count="14140" uniqueCount="72">
  <si>
    <t xml:space="preserve">Media di Sales</t>
  </si>
  <si>
    <t xml:space="preserve">Customer Segment</t>
  </si>
  <si>
    <t xml:space="preserve">Order Date</t>
  </si>
  <si>
    <t xml:space="preserve">Consumer</t>
  </si>
  <si>
    <t xml:space="preserve">Corporate</t>
  </si>
  <si>
    <t xml:space="preserve">Home Office</t>
  </si>
  <si>
    <t xml:space="preserve">Small Business</t>
  </si>
  <si>
    <t xml:space="preserve">Totale Risultato</t>
  </si>
  <si>
    <t xml:space="preserve">Unique ID</t>
  </si>
  <si>
    <t xml:space="preserve">Ship Date</t>
  </si>
  <si>
    <t xml:space="preserve">Shipping Cost</t>
  </si>
  <si>
    <t xml:space="preserve">Order Quantity</t>
  </si>
  <si>
    <t xml:space="preserve">Sales</t>
  </si>
  <si>
    <t xml:space="preserve">Somma - Sales</t>
  </si>
  <si>
    <t xml:space="preserve">Anno</t>
  </si>
  <si>
    <t xml:space="preserve">Mese</t>
  </si>
  <si>
    <t xml:space="preserve">Somma - Somma - Sales</t>
  </si>
  <si>
    <t xml:space="preserve">#VALORE!</t>
  </si>
  <si>
    <t xml:space="preserve">Order Priority</t>
  </si>
  <si>
    <t xml:space="preserve">Product Category</t>
  </si>
  <si>
    <t xml:space="preserve">Product Sub-Category</t>
  </si>
  <si>
    <t xml:space="preserve">High</t>
  </si>
  <si>
    <t xml:space="preserve">Furniture</t>
  </si>
  <si>
    <t xml:space="preserve">Office Furnishings</t>
  </si>
  <si>
    <t xml:space="preserve">Technology</t>
  </si>
  <si>
    <t xml:space="preserve">Telephones and Communication</t>
  </si>
  <si>
    <t xml:space="preserve">Computer Peripherals</t>
  </si>
  <si>
    <t xml:space="preserve">Tables</t>
  </si>
  <si>
    <t xml:space="preserve">Not Specified</t>
  </si>
  <si>
    <t xml:space="preserve">Office Supplies</t>
  </si>
  <si>
    <t xml:space="preserve">Pens &amp; Art Supplies</t>
  </si>
  <si>
    <t xml:space="preserve">Critical</t>
  </si>
  <si>
    <t xml:space="preserve">Scissors, Rulers and Trimmers</t>
  </si>
  <si>
    <t xml:space="preserve">Rubber Bands</t>
  </si>
  <si>
    <t xml:space="preserve">Binders and Binder Accessories</t>
  </si>
  <si>
    <t xml:space="preserve">Labels</t>
  </si>
  <si>
    <t xml:space="preserve">Paper</t>
  </si>
  <si>
    <t xml:space="preserve">Medium</t>
  </si>
  <si>
    <t xml:space="preserve">Storage &amp; Organization</t>
  </si>
  <si>
    <t xml:space="preserve">Low</t>
  </si>
  <si>
    <t xml:space="preserve">Chairs &amp; Chairmats</t>
  </si>
  <si>
    <t xml:space="preserve">Appliances</t>
  </si>
  <si>
    <t xml:space="preserve">Office Machines</t>
  </si>
  <si>
    <t xml:space="preserve">Copiers and Fax</t>
  </si>
  <si>
    <t xml:space="preserve">Bookcases</t>
  </si>
  <si>
    <t xml:space="preserve">Envelopes</t>
  </si>
  <si>
    <t xml:space="preserve">Ship Mode</t>
  </si>
  <si>
    <t xml:space="preserve">Province</t>
  </si>
  <si>
    <t xml:space="preserve">Product Container</t>
  </si>
  <si>
    <t xml:space="preserve">Regular Air</t>
  </si>
  <si>
    <t xml:space="preserve">Alberta</t>
  </si>
  <si>
    <t xml:space="preserve">Medium Box</t>
  </si>
  <si>
    <t xml:space="preserve">Saskachewan</t>
  </si>
  <si>
    <t xml:space="preserve">Small Pack</t>
  </si>
  <si>
    <t xml:space="preserve">Delivery Truck</t>
  </si>
  <si>
    <t xml:space="preserve">Jumbo Box</t>
  </si>
  <si>
    <t xml:space="preserve">British Columbia</t>
  </si>
  <si>
    <t xml:space="preserve">Wrap Bag</t>
  </si>
  <si>
    <t xml:space="preserve">Small Box</t>
  </si>
  <si>
    <t xml:space="preserve">Ontario</t>
  </si>
  <si>
    <t xml:space="preserve">Quebec</t>
  </si>
  <si>
    <t xml:space="preserve">Express Air</t>
  </si>
  <si>
    <t xml:space="preserve">Manitoba</t>
  </si>
  <si>
    <t xml:space="preserve">Yukon</t>
  </si>
  <si>
    <t xml:space="preserve">Nunavut</t>
  </si>
  <si>
    <t xml:space="preserve">Large Box</t>
  </si>
  <si>
    <t xml:space="preserve">Jumbo Drum</t>
  </si>
  <si>
    <t xml:space="preserve">Nova Scotia</t>
  </si>
  <si>
    <t xml:space="preserve">New Brunswick</t>
  </si>
  <si>
    <t xml:space="preserve">Newfoundland</t>
  </si>
  <si>
    <t xml:space="preserve">Prince Edward Island</t>
  </si>
  <si>
    <t xml:space="preserve">Northwest Territories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</si>
</sst>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4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ngolo tabella pivot" xfId="20"/>
    <cellStyle name="Campo tabella pivot" xfId="21"/>
    <cellStyle name="Categoria tabella pivot" xfId="22"/>
    <cellStyle name="Risultato tabella pivot" xfId="23"/>
    <cellStyle name="Titolo tabella pivot" xfId="24"/>
    <cellStyle name="Valore tabella pivo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99" createdVersion="3">
  <cacheSource type="worksheet">
    <worksheetSource ref="A2:G2001" sheet="Compiled Information"/>
  </cacheSource>
  <cacheFields count="7">
    <cacheField name="Unique ID" numFmtId="0">
      <sharedItems containsSemiMixedTypes="0" containsString="0" containsNumber="1" containsInteger="1" minValue="1005" maxValue="3003" count="1999"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</sharedItems>
    </cacheField>
    <cacheField name="Order Date" numFmtId="0">
      <sharedItems containsDate="1" containsMixedTypes="1" minDate="2018-01-01T00:00:00" maxDate="2018-12-31T00:00:00" count="35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7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s v="Order Date"/>
      </sharedItems>
    </cacheField>
    <cacheField name="Ship Date" numFmtId="0">
      <sharedItems containsSemiMixedTypes="0" containsNonDate="0" containsDate="1" containsString="0" minDate="2018-01-25T00:00:00" maxDate="2023-07-16T00:00:00" count="1999"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</sharedItems>
    </cacheField>
    <cacheField name="Shipping Cost" numFmtId="0">
      <sharedItems containsSemiMixedTypes="0" containsString="0" containsNumber="1" minValue="0.5" maxValue="153.8" count="242">
        <n v="0.5"/>
        <n v="0.7"/>
        <n v="0.8"/>
        <n v="0.9"/>
        <n v="1"/>
        <n v="1.1"/>
        <n v="1.2"/>
        <n v="1.3"/>
        <n v="1.4"/>
        <n v="1.5"/>
        <n v="1.6"/>
        <n v="1.7"/>
        <n v="1.8"/>
        <n v="1.9"/>
        <n v="2.1"/>
        <n v="2.2"/>
        <n v="2.3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8"/>
        <n v="3.9"/>
        <n v="4"/>
        <n v="4.1"/>
        <n v="4.2"/>
        <n v="4.3"/>
        <n v="4.4"/>
        <n v="4.5"/>
        <n v="4.6"/>
        <n v="4.7"/>
        <n v="4.8"/>
        <n v="4.9"/>
        <n v="5"/>
        <n v="5.1"/>
        <n v="5.2"/>
        <n v="5.3"/>
        <n v="5.4"/>
        <n v="5.5"/>
        <n v="5.6"/>
        <n v="5.7"/>
        <n v="5.8"/>
        <n v="5.9"/>
        <n v="6"/>
        <n v="6.1"/>
        <n v="6.2"/>
        <n v="6.3"/>
        <n v="6.4"/>
        <n v="6.5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1"/>
        <n v="8.2"/>
        <n v="8.3"/>
        <n v="8.4"/>
        <n v="8.5"/>
        <n v="8.6"/>
        <n v="8.7"/>
        <n v="8.8"/>
        <n v="8.9"/>
        <n v="9"/>
        <n v="9.1"/>
        <n v="9.2"/>
        <n v="9.3"/>
        <n v="9.4"/>
        <n v="9.6"/>
        <n v="9.7"/>
        <n v="9.8"/>
        <n v="9.9"/>
        <n v="10"/>
        <n v="10.1"/>
        <n v="10.2"/>
        <n v="10.4"/>
        <n v="10.5"/>
        <n v="10.6"/>
        <n v="10.7"/>
        <n v="10.8"/>
        <n v="10.9"/>
        <n v="11"/>
        <n v="11.1"/>
        <n v="11.2"/>
        <n v="11.4"/>
        <n v="11.5"/>
        <n v="11.9"/>
        <n v="12"/>
        <n v="12.2"/>
        <n v="12.3"/>
        <n v="12.4"/>
        <n v="12.5"/>
        <n v="12.6"/>
        <n v="13"/>
        <n v="13.3"/>
        <n v="13.4"/>
        <n v="13.5"/>
        <n v="13.8"/>
        <n v="13.9"/>
        <n v="14.1"/>
        <n v="14.2"/>
        <n v="14.3"/>
        <n v="14.6"/>
        <n v="14.9"/>
        <n v="15"/>
        <n v="15.2"/>
        <n v="15.3"/>
        <n v="15.4"/>
        <n v="15.5"/>
        <n v="15.7"/>
        <n v="15.8"/>
        <n v="15.9"/>
        <n v="16.1"/>
        <n v="16.2"/>
        <n v="16.8"/>
        <n v="17.1"/>
        <n v="17.2"/>
        <n v="17.5"/>
        <n v="17.8"/>
        <n v="17.9"/>
        <n v="18.1"/>
        <n v="18.3"/>
        <n v="18.7"/>
        <n v="19.1"/>
        <n v="19.3"/>
        <n v="19.7"/>
        <n v="20.3"/>
        <n v="20.5"/>
        <n v="20.8"/>
        <n v="21.3"/>
        <n v="21.4"/>
        <n v="22.7"/>
        <n v="23.8"/>
        <n v="24.8"/>
        <n v="25.2"/>
        <n v="25.4"/>
        <n v="26.2"/>
        <n v="27.8"/>
        <n v="28.1"/>
        <n v="28.4"/>
        <n v="28.6"/>
        <n v="28.7"/>
        <n v="29.7"/>
        <n v="30"/>
        <n v="30.1"/>
        <n v="30.6"/>
        <n v="30.7"/>
        <n v="31.1"/>
        <n v="31.2"/>
        <n v="31.3"/>
        <n v="32.1"/>
        <n v="32.2"/>
        <n v="34.7"/>
        <n v="36.6"/>
        <n v="37.5"/>
        <n v="38.2"/>
        <n v="38.3"/>
        <n v="38.6"/>
        <n v="39.2"/>
        <n v="40.2"/>
        <n v="42"/>
        <n v="42.4"/>
        <n v="43"/>
        <n v="44.6"/>
        <n v="44.8"/>
        <n v="44.9"/>
        <n v="45.5"/>
        <n v="46.4"/>
        <n v="46.6"/>
        <n v="46.8"/>
        <n v="47.7"/>
        <n v="48.2"/>
        <n v="48.7"/>
        <n v="48.9"/>
        <n v="49.4"/>
        <n v="49.9"/>
        <n v="51.6"/>
        <n v="52.4"/>
        <n v="55.6"/>
        <n v="55.9"/>
        <n v="56.7"/>
        <n v="57.2"/>
        <n v="57.9"/>
        <n v="58.1"/>
        <n v="58.6"/>
        <n v="59.1"/>
        <n v="59.2"/>
        <n v="59.7"/>
        <n v="60.1"/>
        <n v="61.4"/>
        <n v="61.9"/>
        <n v="62.8"/>
        <n v="63"/>
        <n v="63.1"/>
        <n v="64"/>
        <n v="64.2"/>
        <n v="64.4"/>
        <n v="66.1"/>
        <n v="67.1"/>
        <n v="67.3"/>
        <n v="68.7"/>
        <n v="69.1"/>
        <n v="69.2"/>
        <n v="69.3"/>
        <n v="70.9"/>
        <n v="71.3"/>
        <n v="73.8"/>
        <n v="74.2"/>
        <n v="74.4"/>
        <n v="74.5"/>
        <n v="75.1"/>
        <n v="79.6"/>
        <n v="80.5"/>
        <n v="90.8"/>
        <n v="91.6"/>
        <n v="95.6"/>
        <n v="97.4"/>
        <n v="105.9"/>
        <n v="117.9"/>
        <n v="134.8"/>
        <n v="139.1"/>
        <n v="153.8"/>
      </sharedItems>
    </cacheField>
    <cacheField name="Order Quantity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Sales" numFmtId="0">
      <sharedItems containsSemiMixedTypes="0" containsString="0" containsNumber="1" minValue="2.4" maxValue="31399.44" count="1981">
        <n v="2.4"/>
        <n v="3.42"/>
        <n v="7.65"/>
        <n v="8.17"/>
        <n v="8.54"/>
        <n v="9.07"/>
        <n v="9.2"/>
        <n v="9.49"/>
        <n v="10.03"/>
        <n v="10.37"/>
        <n v="10.43"/>
        <n v="11.05"/>
        <n v="11.16"/>
        <n v="11.21"/>
        <n v="11.33"/>
        <n v="11.36"/>
        <n v="11.86"/>
        <n v="11.93"/>
        <n v="12.64"/>
        <n v="12.7"/>
        <n v="13.36"/>
        <n v="13.49"/>
        <n v="13.63"/>
        <n v="13.95"/>
        <n v="14.36"/>
        <n v="14.67"/>
        <n v="14.94"/>
        <n v="15.4"/>
        <n v="15.78"/>
        <n v="15.79"/>
        <n v="15.89"/>
        <n v="16.01"/>
        <n v="16.69"/>
        <n v="16.7"/>
        <n v="16.79"/>
        <n v="16.98"/>
        <n v="17.49"/>
        <n v="18.19"/>
        <n v="18.32"/>
        <n v="18.65"/>
        <n v="18.94"/>
        <n v="19.42"/>
        <n v="19.75"/>
        <n v="20.24"/>
        <n v="20.33"/>
        <n v="20.54"/>
        <n v="20.69"/>
        <n v="20.82"/>
        <n v="20.94"/>
        <n v="21.6"/>
        <n v="21.67"/>
        <n v="21.7"/>
        <n v="22.48"/>
        <n v="22.54"/>
        <n v="23.07"/>
        <n v="23.94"/>
        <n v="24.33"/>
        <n v="24.8"/>
        <n v="24.86"/>
        <n v="25.08"/>
        <n v="25.36"/>
        <n v="25.51"/>
        <n v="25.85"/>
        <n v="25.89"/>
        <n v="26"/>
        <n v="26.5"/>
        <n v="26.65"/>
        <n v="26.7"/>
        <n v="26.82"/>
        <n v="26.93"/>
        <n v="27.31"/>
        <n v="27.63"/>
        <n v="28.17"/>
        <n v="28.55"/>
        <n v="28.7"/>
        <n v="28.89"/>
        <n v="28.9"/>
        <n v="28.94"/>
        <n v="28.95"/>
        <n v="29.23"/>
        <n v="29.25"/>
        <n v="29.95"/>
        <n v="29.97"/>
        <n v="30.01"/>
        <n v="30.08"/>
        <n v="30.21"/>
        <n v="30.32"/>
        <n v="30.4"/>
        <n v="30.45"/>
        <n v="30.55"/>
        <n v="30.84"/>
        <n v="31.01"/>
        <n v="31.23"/>
        <n v="31.36"/>
        <n v="31.79"/>
        <n v="32.21"/>
        <n v="33.08"/>
        <n v="33.32"/>
        <n v="33.9"/>
        <n v="33.92"/>
        <n v="34.1"/>
        <n v="34.61"/>
        <n v="34.76"/>
        <n v="34.79"/>
        <n v="35.22"/>
        <n v="35.43"/>
        <n v="36.03"/>
        <n v="36.34"/>
        <n v="36.37"/>
        <n v="36.55"/>
        <n v="38"/>
        <n v="38.15"/>
        <n v="38.58"/>
        <n v="38.95"/>
        <n v="39.31"/>
        <n v="39.38"/>
        <n v="40.55"/>
        <n v="40.87"/>
        <n v="41.2"/>
        <n v="41.22"/>
        <n v="41.26"/>
        <n v="41.47"/>
        <n v="41.72"/>
        <n v="41.74"/>
        <n v="42.25"/>
        <n v="42.47"/>
        <n v="42.82"/>
        <n v="42.85"/>
        <n v="42.91"/>
        <n v="43.06"/>
        <n v="43.08"/>
        <n v="43.16"/>
        <n v="43.73"/>
        <n v="43.93"/>
        <n v="44.06"/>
        <n v="44.43"/>
        <n v="44.62"/>
        <n v="44.78"/>
        <n v="44.8"/>
        <n v="45.16"/>
        <n v="45.25"/>
        <n v="46.29"/>
        <n v="46.32"/>
        <n v="46.62"/>
        <n v="47.17"/>
        <n v="47.68"/>
        <n v="47.98"/>
        <n v="48.48"/>
        <n v="48.8"/>
        <n v="48.82"/>
        <n v="49.58"/>
        <n v="49.61"/>
        <n v="49.69"/>
        <n v="49.81"/>
        <n v="50.23"/>
        <n v="50.41"/>
        <n v="50.42"/>
        <n v="50.76"/>
        <n v="50.77"/>
        <n v="51.36"/>
        <n v="51.37"/>
        <n v="51.41"/>
        <n v="51.62"/>
        <n v="51.76"/>
        <n v="52.47"/>
        <n v="52.52"/>
        <n v="52.68"/>
        <n v="52.95"/>
        <n v="53.06"/>
        <n v="53.22"/>
        <n v="53.35"/>
        <n v="53.7"/>
        <n v="54.56"/>
        <n v="54.82"/>
        <n v="54.89"/>
        <n v="54.99"/>
        <n v="56.1"/>
        <n v="56.3"/>
        <n v="56.39"/>
        <n v="56.86"/>
        <n v="56.9"/>
        <n v="57.06"/>
        <n v="57.68"/>
        <n v="57.72"/>
        <n v="57.77"/>
        <n v="58.02"/>
        <n v="58.1"/>
        <n v="58.12"/>
        <n v="58.41"/>
        <n v="58.64"/>
        <n v="59.37"/>
        <n v="59.58"/>
        <n v="60.74"/>
        <n v="60.88"/>
        <n v="61.03"/>
        <n v="61.23"/>
        <n v="61.53"/>
        <n v="62.02"/>
        <n v="62.21"/>
        <n v="62.73"/>
        <n v="63.22"/>
        <n v="63.5"/>
        <n v="63.54"/>
        <n v="63.79"/>
        <n v="63.94"/>
        <n v="64.22"/>
        <n v="64.8"/>
        <n v="64.93"/>
        <n v="65.46"/>
        <n v="65.7"/>
        <n v="65.77"/>
        <n v="65.81"/>
        <n v="66.09"/>
        <n v="66.2"/>
        <n v="66.37"/>
        <n v="68.68"/>
        <n v="68.94"/>
        <n v="69.3"/>
        <n v="69.4"/>
        <n v="69.77"/>
        <n v="70.2"/>
        <n v="70.38"/>
        <n v="70.46"/>
        <n v="71.26"/>
        <n v="71.51"/>
        <n v="71.72"/>
        <n v="71.95"/>
        <n v="72.13"/>
        <n v="72.18"/>
        <n v="72.59"/>
        <n v="72.79"/>
        <n v="72.91"/>
        <n v="72.93"/>
        <n v="73.21"/>
        <n v="73.33"/>
        <n v="73.47"/>
        <n v="73.77"/>
        <n v="74.44"/>
        <n v="74.88"/>
        <n v="74.92"/>
        <n v="75.04"/>
        <n v="75.24"/>
        <n v="75.25"/>
        <n v="75.87"/>
        <n v="76.01"/>
        <n v="76.18"/>
        <n v="76.31"/>
        <n v="76.62"/>
        <n v="76.79"/>
        <n v="77.71"/>
        <n v="77.84"/>
        <n v="78.16"/>
        <n v="78.58"/>
        <n v="78.65"/>
        <n v="78.7"/>
        <n v="78.79"/>
        <n v="78.99"/>
        <n v="79.03"/>
        <n v="79.07"/>
        <n v="79.15"/>
        <n v="79.18"/>
        <n v="79.22"/>
        <n v="79.23"/>
        <n v="79.25"/>
        <n v="79.45"/>
        <n v="80.4"/>
        <n v="80.45"/>
        <n v="80.55"/>
        <n v="80.67"/>
        <n v="80.89"/>
        <n v="81.04"/>
        <n v="81.26"/>
        <n v="81.38"/>
        <n v="81.49"/>
        <n v="81.71"/>
        <n v="81.77"/>
        <n v="81.96"/>
        <n v="81.97"/>
        <n v="82.19"/>
        <n v="82.27"/>
        <n v="83.05"/>
        <n v="83.45"/>
        <n v="83.85"/>
        <n v="84.55"/>
        <n v="84.57"/>
        <n v="84.8"/>
        <n v="85.1"/>
        <n v="85.21"/>
        <n v="85.4"/>
        <n v="85.88"/>
        <n v="85.89"/>
        <n v="86.78"/>
        <n v="87.5"/>
        <n v="87.63"/>
        <n v="87.71"/>
        <n v="87.8"/>
        <n v="87.9"/>
        <n v="88.42"/>
        <n v="88.83"/>
        <n v="89.13"/>
        <n v="89.17"/>
        <n v="89.76"/>
        <n v="89.98"/>
        <n v="90.38"/>
        <n v="90.56"/>
        <n v="91.98"/>
        <n v="92.33"/>
        <n v="92.34"/>
        <n v="93"/>
        <n v="93.65"/>
        <n v="93.82"/>
        <n v="94.16"/>
        <n v="94.27"/>
        <n v="94.77"/>
        <n v="95.06"/>
        <n v="95.27"/>
        <n v="95.57"/>
        <n v="95.67"/>
        <n v="96.29"/>
        <n v="96.46"/>
        <n v="96.92"/>
        <n v="97.33"/>
        <n v="97.83"/>
        <n v="98.46"/>
        <n v="98.47"/>
        <n v="98.51"/>
        <n v="98.6"/>
        <n v="98.7"/>
        <n v="98.77"/>
        <n v="99.26"/>
        <n v="100.09"/>
        <n v="100.92"/>
        <n v="100.95"/>
        <n v="101"/>
        <n v="101.07"/>
        <n v="101.14"/>
        <n v="101.64"/>
        <n v="102.06"/>
        <n v="102.79"/>
        <n v="104.49"/>
        <n v="104.79"/>
        <n v="105.74"/>
        <n v="105.8"/>
        <n v="106.07"/>
        <n v="106.32"/>
        <n v="107.43"/>
        <n v="108.02"/>
        <n v="108.22"/>
        <n v="109.3"/>
        <n v="109.5"/>
        <n v="109.74"/>
        <n v="110.2"/>
        <n v="110.28"/>
        <n v="110.85"/>
        <n v="111.06"/>
        <n v="111.17"/>
        <n v="111.54"/>
        <n v="112.16"/>
        <n v="112.29"/>
        <n v="112.42"/>
        <n v="112.49"/>
        <n v="112.86"/>
        <n v="113.36"/>
        <n v="113.45"/>
        <n v="113.48"/>
        <n v="114.62"/>
        <n v="115.16"/>
        <n v="115.29"/>
        <n v="116.34"/>
        <n v="116.49"/>
        <n v="116.84"/>
        <n v="116.88"/>
        <n v="116.94"/>
        <n v="117.03"/>
        <n v="117.05"/>
        <n v="117.15"/>
        <n v="117.59"/>
        <n v="117.86"/>
        <n v="118.03"/>
        <n v="118.11"/>
        <n v="118.73"/>
        <n v="119.17"/>
        <n v="119.19"/>
        <n v="119.36"/>
        <n v="119.73"/>
        <n v="120.45"/>
        <n v="120.81"/>
        <n v="121.01"/>
        <n v="121.26"/>
        <n v="121.45"/>
        <n v="121.82"/>
        <n v="122.28"/>
        <n v="122.55"/>
        <n v="122.99"/>
        <n v="123.41"/>
        <n v="123.51"/>
        <n v="123.6"/>
        <n v="123.92"/>
        <n v="124.11"/>
        <n v="124.24"/>
        <n v="124.72"/>
        <n v="125.13"/>
        <n v="125.54"/>
        <n v="125.62"/>
        <n v="126.01"/>
        <n v="126.16"/>
        <n v="126.72"/>
        <n v="127.28"/>
        <n v="127.54"/>
        <n v="128.43"/>
        <n v="128.64"/>
        <n v="129.57"/>
        <n v="130.18"/>
        <n v="130.34"/>
        <n v="130.64"/>
        <n v="130.69"/>
        <n v="131.67"/>
        <n v="131.75"/>
        <n v="131.78"/>
        <n v="131.97"/>
        <n v="132.41"/>
        <n v="132.49"/>
        <n v="132.61"/>
        <n v="133.63"/>
        <n v="133.92"/>
        <n v="134.04"/>
        <n v="134.61"/>
        <n v="134.66"/>
        <n v="134.84"/>
        <n v="135.43"/>
        <n v="135.44"/>
        <n v="135.48"/>
        <n v="135.55"/>
        <n v="135.84"/>
        <n v="136.07"/>
        <n v="136.23"/>
        <n v="136.4"/>
        <n v="136.41"/>
        <n v="136.49"/>
        <n v="136.68"/>
        <n v="136.79"/>
        <n v="136.85"/>
        <n v="137.11"/>
        <n v="137.56"/>
        <n v="137.62"/>
        <n v="138.32"/>
        <n v="138.85"/>
        <n v="139.25"/>
        <n v="139.51"/>
        <n v="139.82"/>
        <n v="140.46"/>
        <n v="140.71"/>
        <n v="141.37"/>
        <n v="141.49"/>
        <n v="142.16"/>
        <n v="142.38"/>
        <n v="142.74"/>
        <n v="143.01"/>
        <n v="143.73"/>
        <n v="144.3"/>
        <n v="144.67"/>
        <n v="144.78"/>
        <n v="144.86"/>
        <n v="145.22"/>
        <n v="145.37"/>
        <n v="145.51"/>
        <n v="145.71"/>
        <n v="145.78"/>
        <n v="145.97"/>
        <n v="146"/>
        <n v="146.06"/>
        <n v="146.43"/>
        <n v="146.57"/>
        <n v="146.66"/>
        <n v="147.13"/>
        <n v="147.14"/>
        <n v="147.41"/>
        <n v="147.63"/>
        <n v="147.71"/>
        <n v="147.84"/>
        <n v="148.22"/>
        <n v="148.38"/>
        <n v="148.42"/>
        <n v="148.46"/>
        <n v="148.63"/>
        <n v="148.68"/>
        <n v="148.69"/>
        <n v="148.73"/>
        <n v="148.82"/>
        <n v="149.47"/>
        <n v="149.87"/>
        <n v="150.06"/>
        <n v="150.2"/>
        <n v="150.4"/>
        <n v="150.47"/>
        <n v="150.54"/>
        <n v="150.68"/>
        <n v="151.39"/>
        <n v="152.05"/>
        <n v="152.13"/>
        <n v="152.8"/>
        <n v="152.98"/>
        <n v="153.72"/>
        <n v="153.84"/>
        <n v="153.92"/>
        <n v="154.06"/>
        <n v="154.11"/>
        <n v="155.1"/>
        <n v="155.31"/>
        <n v="156.33"/>
        <n v="156.96"/>
        <n v="158.64"/>
        <n v="159.06"/>
        <n v="159.22"/>
        <n v="159.76"/>
        <n v="159.86"/>
        <n v="160.11"/>
        <n v="160.85"/>
        <n v="161.77"/>
        <n v="161.98"/>
        <n v="162.09"/>
        <n v="162.79"/>
        <n v="163.11"/>
        <n v="163.23"/>
        <n v="163.28"/>
        <n v="163.67"/>
        <n v="163.96"/>
        <n v="164.97"/>
        <n v="165.24"/>
        <n v="165.44"/>
        <n v="165.69"/>
        <n v="166.03"/>
        <n v="166.09"/>
        <n v="166.36"/>
        <n v="166.63"/>
        <n v="166.68"/>
        <n v="166.77"/>
        <n v="167.02"/>
        <n v="167.42"/>
        <n v="167.46"/>
        <n v="167.63"/>
        <n v="167.67"/>
        <n v="167.94"/>
        <n v="168.13"/>
        <n v="168.42"/>
        <n v="168.59"/>
        <n v="168.84"/>
        <n v="168.92"/>
        <n v="169"/>
        <n v="170.1"/>
        <n v="170.12"/>
        <n v="170.41"/>
        <n v="170.67"/>
        <n v="170.89"/>
        <n v="171.32"/>
        <n v="171.45"/>
        <n v="171.76"/>
        <n v="173.04"/>
        <n v="173.3"/>
        <n v="173.34"/>
        <n v="173.61"/>
        <n v="173.86"/>
        <n v="174.56"/>
        <n v="174.8"/>
        <n v="175.24"/>
        <n v="175.46"/>
        <n v="175.59"/>
        <n v="175.92"/>
        <n v="176.46"/>
        <n v="177.1"/>
        <n v="177.8"/>
        <n v="178.48"/>
        <n v="179.18"/>
        <n v="179.28"/>
        <n v="180.37"/>
        <n v="180.47"/>
        <n v="180.72"/>
        <n v="180.78"/>
        <n v="180.97"/>
        <n v="181.02"/>
        <n v="181.26"/>
        <n v="181.32"/>
        <n v="181.34"/>
        <n v="181.83"/>
        <n v="181.92"/>
        <n v="182.27"/>
        <n v="182.35"/>
        <n v="182.38"/>
        <n v="182.78"/>
        <n v="182.84"/>
        <n v="183.12"/>
        <n v="183.51"/>
        <n v="183.7"/>
        <n v="184.2"/>
        <n v="184.39"/>
        <n v="184.4"/>
        <n v="184.79"/>
        <n v="185.35"/>
        <n v="185.94"/>
        <n v="186.21"/>
        <n v="186.42"/>
        <n v="186.5"/>
        <n v="188.06"/>
        <n v="188.23"/>
        <n v="188.31"/>
        <n v="188.48"/>
        <n v="188.6"/>
        <n v="188.69"/>
        <n v="188.86"/>
        <n v="188.94"/>
        <n v="189.45"/>
        <n v="191.29"/>
        <n v="191.44"/>
        <n v="191.81"/>
        <n v="192.24"/>
        <n v="193.06"/>
        <n v="193.09"/>
        <n v="193.2"/>
        <n v="193.58"/>
        <n v="193.81"/>
        <n v="194.32"/>
        <n v="194.38"/>
        <n v="194.56"/>
        <n v="195.17"/>
        <n v="195.9"/>
        <n v="196.15"/>
        <n v="196.51"/>
        <n v="196.99"/>
        <n v="197.67"/>
        <n v="197.94"/>
        <n v="200.23"/>
        <n v="200.31"/>
        <n v="200.49"/>
        <n v="200.98"/>
        <n v="201.03"/>
        <n v="201.52"/>
        <n v="201.57"/>
        <n v="201.66"/>
        <n v="202.16"/>
        <n v="202.43"/>
        <n v="202.75"/>
        <n v="203.01"/>
        <n v="203.29"/>
        <n v="203.36"/>
        <n v="204.36"/>
        <n v="204.51"/>
        <n v="205.69"/>
        <n v="205.96"/>
        <n v="206.02"/>
        <n v="206.3"/>
        <n v="206.67"/>
        <n v="206.78"/>
        <n v="207.41"/>
        <n v="207.7"/>
        <n v="208.77"/>
        <n v="209.2"/>
        <n v="209.3"/>
        <n v="209.68"/>
        <n v="210.14"/>
        <n v="210.63"/>
        <n v="210.77"/>
        <n v="210.9"/>
        <n v="210.95"/>
        <n v="211.01"/>
        <n v="211.31"/>
        <n v="211.39"/>
        <n v="211.42"/>
        <n v="211.79"/>
        <n v="212"/>
        <n v="212.08"/>
        <n v="212.63"/>
        <n v="213.05"/>
        <n v="213.19"/>
        <n v="213.44"/>
        <n v="214.26"/>
        <n v="215.22"/>
        <n v="215.84"/>
        <n v="216.59"/>
        <n v="216.82"/>
        <n v="217.53"/>
        <n v="217.8"/>
        <n v="218.27"/>
        <n v="218.44"/>
        <n v="219.47"/>
        <n v="219.61"/>
        <n v="219.91"/>
        <n v="220.29"/>
        <n v="220.63"/>
        <n v="220.78"/>
        <n v="221.15"/>
        <n v="221.58"/>
        <n v="221.69"/>
        <n v="223.06"/>
        <n v="223.2"/>
        <n v="223.38"/>
        <n v="223.63"/>
        <n v="223.98"/>
        <n v="224.2"/>
        <n v="225.24"/>
        <n v="225.41"/>
        <n v="225.62"/>
        <n v="226.22"/>
        <n v="226.36"/>
        <n v="226.81"/>
        <n v="226.97"/>
        <n v="228.28"/>
        <n v="228.43"/>
        <n v="229.18"/>
        <n v="229.66"/>
        <n v="231.44"/>
        <n v="232.46"/>
        <n v="232.64"/>
        <n v="232.9"/>
        <n v="232.93"/>
        <n v="233.55"/>
        <n v="235.88"/>
        <n v="236.24"/>
        <n v="236.25"/>
        <n v="236.28"/>
        <n v="236.44"/>
        <n v="236.61"/>
        <n v="236.72"/>
        <n v="236.92"/>
        <n v="238.82"/>
        <n v="239.4"/>
        <n v="239.49"/>
        <n v="240.02"/>
        <n v="240.93"/>
        <n v="241.23"/>
        <n v="241.25"/>
        <n v="241.98"/>
        <n v="242.01"/>
        <n v="245.06"/>
        <n v="245.49"/>
        <n v="245.58"/>
        <n v="245.97"/>
        <n v="246.41"/>
        <n v="246.54"/>
        <n v="246.92"/>
        <n v="247.23"/>
        <n v="247.39"/>
        <n v="247.54"/>
        <n v="248.96"/>
        <n v="249.52"/>
        <n v="249.72"/>
        <n v="250.59"/>
        <n v="250.68"/>
        <n v="252.7"/>
        <n v="252.72"/>
        <n v="253.25"/>
        <n v="253.47"/>
        <n v="254.75"/>
        <n v="254.93"/>
        <n v="255.02"/>
        <n v="255.51"/>
        <n v="256.65"/>
        <n v="256.95"/>
        <n v="257.09"/>
        <n v="257.47"/>
        <n v="258.78"/>
        <n v="258.82"/>
        <n v="258.85"/>
        <n v="259.24"/>
        <n v="260.2"/>
        <n v="260.41"/>
        <n v="263.22"/>
        <n v="263.28"/>
        <n v="264.65"/>
        <n v="265.47"/>
        <n v="265.81"/>
        <n v="266.28"/>
        <n v="266.34"/>
        <n v="266.94"/>
        <n v="267.06"/>
        <n v="268.25"/>
        <n v="269.05"/>
        <n v="270.7"/>
        <n v="271.66"/>
        <n v="271.8"/>
        <n v="272.33"/>
        <n v="272.52"/>
        <n v="272.59"/>
        <n v="272.78"/>
        <n v="273.55"/>
        <n v="274.6"/>
        <n v="275.79"/>
        <n v="276.18"/>
        <n v="276.2"/>
        <n v="276.64"/>
        <n v="276.85"/>
        <n v="278.34"/>
        <n v="278.75"/>
        <n v="279.44"/>
        <n v="279.45"/>
        <n v="279.68"/>
        <n v="280.44"/>
        <n v="280.67"/>
        <n v="281.3"/>
        <n v="283.92"/>
        <n v="284.94"/>
        <n v="285.01"/>
        <n v="285.63"/>
        <n v="285.69"/>
        <n v="285.75"/>
        <n v="287.35"/>
        <n v="287.38"/>
        <n v="287.77"/>
        <n v="288.15"/>
        <n v="288.2"/>
        <n v="288.54"/>
        <n v="288.83"/>
        <n v="289.15"/>
        <n v="289.17"/>
        <n v="289.8"/>
        <n v="290.12"/>
        <n v="291.05"/>
        <n v="291.46"/>
        <n v="292.52"/>
        <n v="293.06"/>
        <n v="294.37"/>
        <n v="294.42"/>
        <n v="295.35"/>
        <n v="295.86"/>
        <n v="296.12"/>
        <n v="297.47"/>
        <n v="298.16"/>
        <n v="298.32"/>
        <n v="298.47"/>
        <n v="298.88"/>
        <n v="301.17"/>
        <n v="301.54"/>
        <n v="301.81"/>
        <n v="302.25"/>
        <n v="302.36"/>
        <n v="302.95"/>
        <n v="302.99"/>
        <n v="303.43"/>
        <n v="303.51"/>
        <n v="304.5"/>
        <n v="306.08"/>
        <n v="306.3"/>
        <n v="306.8"/>
        <n v="308.64"/>
        <n v="308.76"/>
        <n v="309.13"/>
        <n v="309.43"/>
        <n v="312.09"/>
        <n v="313.8"/>
        <n v="314.07"/>
        <n v="314.62"/>
        <n v="314.86"/>
        <n v="315.14"/>
        <n v="315.55"/>
        <n v="317.6"/>
        <n v="318.15"/>
        <n v="318.99"/>
        <n v="320.64"/>
        <n v="322.2"/>
        <n v="322.46"/>
        <n v="322.68"/>
        <n v="323.21"/>
        <n v="323.24"/>
        <n v="323.77"/>
        <n v="323.88"/>
        <n v="324.41"/>
        <n v="324.87"/>
        <n v="325.84"/>
        <n v="326.33"/>
        <n v="326.4"/>
        <n v="327.08"/>
        <n v="327.56"/>
        <n v="327.74"/>
        <n v="328.4"/>
        <n v="328.94"/>
        <n v="329.1"/>
        <n v="329.8"/>
        <n v="330.12"/>
        <n v="330.54"/>
        <n v="331.29"/>
        <n v="331.59"/>
        <n v="332.26"/>
        <n v="332.86"/>
        <n v="333.18"/>
        <n v="333.82"/>
        <n v="333.88"/>
        <n v="333.89"/>
        <n v="334.11"/>
        <n v="335.37"/>
        <n v="337.07"/>
        <n v="337.34"/>
        <n v="337.53"/>
        <n v="337.9"/>
        <n v="337.99"/>
        <n v="340.07"/>
        <n v="342.44"/>
        <n v="342.68"/>
        <n v="343.69"/>
        <n v="345.19"/>
        <n v="345.89"/>
        <n v="346.89"/>
        <n v="347.02"/>
        <n v="348.37"/>
        <n v="348.55"/>
        <n v="348.61"/>
        <n v="348.73"/>
        <n v="349.78"/>
        <n v="350.05"/>
        <n v="353.32"/>
        <n v="353.39"/>
        <n v="355.23"/>
        <n v="356.63"/>
        <n v="360.03"/>
        <n v="360.44"/>
        <n v="360.81"/>
        <n v="362.61"/>
        <n v="363.1"/>
        <n v="363.25"/>
        <n v="364.54"/>
        <n v="364.84"/>
        <n v="364.98"/>
        <n v="365.29"/>
        <n v="366.23"/>
        <n v="367.29"/>
        <n v="367.69"/>
        <n v="368.34"/>
        <n v="368.35"/>
        <n v="370.43"/>
        <n v="373.34"/>
        <n v="374.95"/>
        <n v="375.7"/>
        <n v="375.84"/>
        <n v="375.86"/>
        <n v="378.27"/>
        <n v="378.37"/>
        <n v="381.02"/>
        <n v="381.21"/>
        <n v="381.67"/>
        <n v="381.69"/>
        <n v="382.45"/>
        <n v="385.46"/>
        <n v="387.9"/>
        <n v="388.14"/>
        <n v="388.66"/>
        <n v="389.02"/>
        <n v="390.22"/>
        <n v="390.81"/>
        <n v="392.55"/>
        <n v="393.8"/>
        <n v="396.67"/>
        <n v="397.98"/>
        <n v="397.99"/>
        <n v="399.46"/>
        <n v="400.59"/>
        <n v="401.86"/>
        <n v="402.04"/>
        <n v="402.54"/>
        <n v="402.89"/>
        <n v="403.41"/>
        <n v="405.1"/>
        <n v="407.26"/>
        <n v="407.93"/>
        <n v="408.41"/>
        <n v="408.52"/>
        <n v="408.94"/>
        <n v="411.09"/>
        <n v="411.32"/>
        <n v="413.01"/>
        <n v="414.09"/>
        <n v="415.92"/>
        <n v="416.09"/>
        <n v="416.53"/>
        <n v="416.79"/>
        <n v="417.42"/>
        <n v="417.51"/>
        <n v="417.67"/>
        <n v="418.82"/>
        <n v="419.33"/>
        <n v="423.88"/>
        <n v="424.36"/>
        <n v="424.46"/>
        <n v="425.38"/>
        <n v="428.27"/>
        <n v="428.52"/>
        <n v="428.61"/>
        <n v="429.47"/>
        <n v="431.39"/>
        <n v="432.44"/>
        <n v="432.6"/>
        <n v="432.86"/>
        <n v="433.71"/>
        <n v="433.92"/>
        <n v="436.42"/>
        <n v="438.67"/>
        <n v="438.86"/>
        <n v="438.99"/>
        <n v="439.16"/>
        <n v="440.57"/>
        <n v="441.24"/>
        <n v="442.04"/>
        <n v="442.31"/>
        <n v="444.11"/>
        <n v="445.54"/>
        <n v="446.76"/>
        <n v="447.13"/>
        <n v="447.29"/>
        <n v="447.62"/>
        <n v="450.86"/>
        <n v="451.81"/>
        <n v="452.65"/>
        <n v="452.76"/>
        <n v="452.87"/>
        <n v="453.68"/>
        <n v="455.86"/>
        <n v="458.73"/>
        <n v="461.29"/>
        <n v="461.48"/>
        <n v="461.57"/>
        <n v="465.04"/>
        <n v="465.71"/>
        <n v="467.35"/>
        <n v="468.1"/>
        <n v="468.41"/>
        <n v="469.16"/>
        <n v="469.31"/>
        <n v="471.78"/>
        <n v="472.73"/>
        <n v="473.71"/>
        <n v="473.75"/>
        <n v="479.61"/>
        <n v="479.75"/>
        <n v="480.61"/>
        <n v="480.88"/>
        <n v="481.28"/>
        <n v="481.8"/>
        <n v="481.92"/>
        <n v="482.21"/>
        <n v="482.67"/>
        <n v="482.91"/>
        <n v="483.8"/>
        <n v="490.92"/>
        <n v="491.41"/>
        <n v="492.83"/>
        <n v="492.96"/>
        <n v="493.32"/>
        <n v="494.73"/>
        <n v="497.09"/>
        <n v="498.51"/>
        <n v="498.92"/>
        <n v="498.99"/>
        <n v="499.69"/>
        <n v="501.78"/>
        <n v="502.73"/>
        <n v="503.02"/>
        <n v="505.17"/>
        <n v="505.41"/>
        <n v="506.11"/>
        <n v="507.05"/>
        <n v="507.16"/>
        <n v="508.81"/>
        <n v="509.21"/>
        <n v="510.81"/>
        <n v="510.93"/>
        <n v="516.71"/>
        <n v="518.11"/>
        <n v="520.48"/>
        <n v="521.63"/>
        <n v="524.48"/>
        <n v="526.2"/>
        <n v="528.11"/>
        <n v="529.48"/>
        <n v="530.19"/>
        <n v="532"/>
        <n v="532.35"/>
        <n v="535.51"/>
        <n v="536.41"/>
        <n v="537.15"/>
        <n v="538.56"/>
        <n v="540"/>
        <n v="540.13"/>
        <n v="542.32"/>
        <n v="542.68"/>
        <n v="543.11"/>
        <n v="544.08"/>
        <n v="545.15"/>
        <n v="545.86"/>
        <n v="546.3"/>
        <n v="547.66"/>
        <n v="549.7"/>
        <n v="550.01"/>
        <n v="550.9"/>
        <n v="551.75"/>
        <n v="552.78"/>
        <n v="556.54"/>
        <n v="556.92"/>
        <n v="558.6"/>
        <n v="560.06"/>
        <n v="560.91"/>
        <n v="560.95"/>
        <n v="562.18"/>
        <n v="562.34"/>
        <n v="562.47"/>
        <n v="562.57"/>
        <n v="568.68"/>
        <n v="569.36"/>
        <n v="572.41"/>
        <n v="575.81"/>
        <n v="576.79"/>
        <n v="576.95"/>
        <n v="577.61"/>
        <n v="581.25"/>
        <n v="581.78"/>
        <n v="582.52"/>
        <n v="584.09"/>
        <n v="584.23"/>
        <n v="590.73"/>
        <n v="591.57"/>
        <n v="593.24"/>
        <n v="595.4"/>
        <n v="598.93"/>
        <n v="602.6"/>
        <n v="603.9"/>
        <n v="607.24"/>
        <n v="607.69"/>
        <n v="609.17"/>
        <n v="609.81"/>
        <n v="610.45"/>
        <n v="618.41"/>
        <n v="620.29"/>
        <n v="624.41"/>
        <n v="631.06"/>
        <n v="631.64"/>
        <n v="635.17"/>
        <n v="638.32"/>
        <n v="638.83"/>
        <n v="639.26"/>
        <n v="640.38"/>
        <n v="642.24"/>
        <n v="642.86"/>
        <n v="643.9"/>
        <n v="645.95"/>
        <n v="650.87"/>
        <n v="650.91"/>
        <n v="657.95"/>
        <n v="658.67"/>
        <n v="659.13"/>
        <n v="659.54"/>
        <n v="659.66"/>
        <n v="660.42"/>
        <n v="660.47"/>
        <n v="663.15"/>
        <n v="663.65"/>
        <n v="664.6"/>
        <n v="665.47"/>
        <n v="669.76"/>
        <n v="671.63"/>
        <n v="672.38"/>
        <n v="674.51"/>
        <n v="675.7"/>
        <n v="676.83"/>
        <n v="680.24"/>
        <n v="681.06"/>
        <n v="685.02"/>
        <n v="687.05"/>
        <n v="687.39"/>
        <n v="687.65"/>
        <n v="688.34"/>
        <n v="688.58"/>
        <n v="691.29"/>
        <n v="691.37"/>
        <n v="691.81"/>
        <n v="693.11"/>
        <n v="693.12"/>
        <n v="693.64"/>
        <n v="694.92"/>
        <n v="695.19"/>
        <n v="695.65"/>
        <n v="697.53"/>
        <n v="701.2"/>
        <n v="706.49"/>
        <n v="708.89"/>
        <n v="709.67"/>
        <n v="714.37"/>
        <n v="714.76"/>
        <n v="716.92"/>
        <n v="718.77"/>
        <n v="718.8"/>
        <n v="723.58"/>
        <n v="723.6"/>
        <n v="724.85"/>
        <n v="727.09"/>
        <n v="728.52"/>
        <n v="730.56"/>
        <n v="731.54"/>
        <n v="734.23"/>
        <n v="741.57"/>
        <n v="750.56"/>
        <n v="756.39"/>
        <n v="758.45"/>
        <n v="758.67"/>
        <n v="759.03"/>
        <n v="760.05"/>
        <n v="767.41"/>
        <n v="768.9"/>
        <n v="771.06"/>
        <n v="776.61"/>
        <n v="777.06"/>
        <n v="778.57"/>
        <n v="780.83"/>
        <n v="781.45"/>
        <n v="786.55"/>
        <n v="789"/>
        <n v="793.39"/>
        <n v="794.84"/>
        <n v="796.08"/>
        <n v="801.25"/>
        <n v="802.92"/>
        <n v="808.05"/>
        <n v="809.08"/>
        <n v="810.96"/>
        <n v="813.47"/>
        <n v="814.11"/>
        <n v="814.52"/>
        <n v="817.62"/>
        <n v="817.82"/>
        <n v="820.65"/>
        <n v="821.05"/>
        <n v="825.81"/>
        <n v="826.33"/>
        <n v="826.48"/>
        <n v="826.64"/>
        <n v="830.04"/>
        <n v="836.79"/>
        <n v="845.24"/>
        <n v="848.25"/>
        <n v="853.84"/>
        <n v="855.83"/>
        <n v="855.98"/>
        <n v="860.43"/>
        <n v="862.82"/>
        <n v="870.87"/>
        <n v="873.24"/>
        <n v="880.29"/>
        <n v="881.28"/>
        <n v="881.44"/>
        <n v="883.61"/>
        <n v="883.63"/>
        <n v="884.11"/>
        <n v="888.4"/>
        <n v="889.79"/>
        <n v="892.45"/>
        <n v="894.04"/>
        <n v="895.15"/>
        <n v="896"/>
        <n v="897.8"/>
        <n v="898.48"/>
        <n v="903.18"/>
        <n v="904.9"/>
        <n v="905.85"/>
        <n v="907.17"/>
        <n v="907.57"/>
        <n v="908.46"/>
        <n v="908.98"/>
        <n v="912.44"/>
        <n v="913.93"/>
        <n v="914.72"/>
        <n v="917.44"/>
        <n v="918.63"/>
        <n v="923.02"/>
        <n v="927.4"/>
        <n v="937.33"/>
        <n v="939.26"/>
        <n v="945.21"/>
        <n v="947.96"/>
        <n v="948.41"/>
        <n v="952.95"/>
        <n v="954.02"/>
        <n v="957.26"/>
        <n v="958.91"/>
        <n v="968.44"/>
        <n v="969.44"/>
        <n v="969.49"/>
        <n v="974.75"/>
        <n v="989.78"/>
        <n v="990.61"/>
        <n v="991.44"/>
        <n v="991.52"/>
        <n v="993.93"/>
        <n v="996.33"/>
        <n v="998.19"/>
        <n v="1002.63"/>
        <n v="1007.01"/>
        <n v="1007.54"/>
        <n v="1009.48"/>
        <n v="1011.18"/>
        <n v="1011.73"/>
        <n v="1016.82"/>
        <n v="1017.67"/>
        <n v="1019.76"/>
        <n v="1022.16"/>
        <n v="1033.29"/>
        <n v="1046.89"/>
        <n v="1047.28"/>
        <n v="1048.09"/>
        <n v="1048.67"/>
        <n v="1050.45"/>
        <n v="1066.79"/>
        <n v="1069.17"/>
        <n v="1070.83"/>
        <n v="1073.54"/>
        <n v="1080.49"/>
        <n v="1080.98"/>
        <n v="1081.94"/>
        <n v="1095.99"/>
        <n v="1097.69"/>
        <n v="1100.13"/>
        <n v="1101.98"/>
        <n v="1103.23"/>
        <n v="1105.78"/>
        <n v="1110.86"/>
        <n v="1111.54"/>
        <n v="1125.63"/>
        <n v="1127.5"/>
        <n v="1128.53"/>
        <n v="1132.94"/>
        <n v="1144.74"/>
        <n v="1151.22"/>
        <n v="1153.26"/>
        <n v="1154.08"/>
        <n v="1158.22"/>
        <n v="1166.94"/>
        <n v="1171.77"/>
        <n v="1177"/>
        <n v="1179.44"/>
        <n v="1180.93"/>
        <n v="1183.06"/>
        <n v="1185.95"/>
        <n v="1190.01"/>
        <n v="1198.3"/>
        <n v="1200.37"/>
        <n v="1202.94"/>
        <n v="1206.76"/>
        <n v="1206.99"/>
        <n v="1208.09"/>
        <n v="1210.33"/>
        <n v="1213.59"/>
        <n v="1215.13"/>
        <n v="1221.27"/>
        <n v="1223.47"/>
        <n v="1226.34"/>
        <n v="1227.97"/>
        <n v="1230.82"/>
        <n v="1234.93"/>
        <n v="1235.73"/>
        <n v="1235.78"/>
        <n v="1243.77"/>
        <n v="1246.9"/>
        <n v="1250.06"/>
        <n v="1259.24"/>
        <n v="1259.33"/>
        <n v="1276.64"/>
        <n v="1277.17"/>
        <n v="1280.57"/>
        <n v="1283.29"/>
        <n v="1283.54"/>
        <n v="1284.14"/>
        <n v="1285.62"/>
        <n v="1288.37"/>
        <n v="1291.51"/>
        <n v="1292.93"/>
        <n v="1294.76"/>
        <n v="1297.83"/>
        <n v="1303.01"/>
        <n v="1303.35"/>
        <n v="1304.49"/>
        <n v="1308.27"/>
        <n v="1308.73"/>
        <n v="1309.07"/>
        <n v="1311.15"/>
        <n v="1311.19"/>
        <n v="1311.31"/>
        <n v="1313.08"/>
        <n v="1316.99"/>
        <n v="1330.95"/>
        <n v="1331.09"/>
        <n v="1347.1"/>
        <n v="1351.14"/>
        <n v="1352.62"/>
        <n v="1355.39"/>
        <n v="1358.68"/>
        <n v="1358.93"/>
        <n v="1360.02"/>
        <n v="1363.73"/>
        <n v="1369.01"/>
        <n v="1370.3"/>
        <n v="1370.38"/>
        <n v="1370.86"/>
        <n v="1373.54"/>
        <n v="1380.7"/>
        <n v="1384.6"/>
        <n v="1388.12"/>
        <n v="1389.17"/>
        <n v="1394.2"/>
        <n v="1398.69"/>
        <n v="1399.43"/>
        <n v="1401.2"/>
        <n v="1403.04"/>
        <n v="1405.59"/>
        <n v="1406.66"/>
        <n v="1409.05"/>
        <n v="1416.33"/>
        <n v="1416.78"/>
        <n v="1418.86"/>
        <n v="1418.92"/>
        <n v="1420.52"/>
        <n v="1423.88"/>
        <n v="1430.68"/>
        <n v="1431.46"/>
        <n v="1433"/>
        <n v="1441.96"/>
        <n v="1442.97"/>
        <n v="1454.92"/>
        <n v="1456.08"/>
        <n v="1463.91"/>
        <n v="1470.9"/>
        <n v="1470.93"/>
        <n v="1476.58"/>
        <n v="1480.79"/>
        <n v="1484.4"/>
        <n v="1487.82"/>
        <n v="1489.24"/>
        <n v="1491.88"/>
        <n v="1501.24"/>
        <n v="1506.92"/>
        <n v="1509.17"/>
        <n v="1509.7"/>
        <n v="1511.89"/>
        <n v="1512.79"/>
        <n v="1513.03"/>
        <n v="1516.41"/>
        <n v="1524.97"/>
        <n v="1529.12"/>
        <n v="1535.79"/>
        <n v="1537.53"/>
        <n v="1539.01"/>
        <n v="1542.52"/>
        <n v="1546.11"/>
        <n v="1553.2"/>
        <n v="1555.46"/>
        <n v="1559.82"/>
        <n v="1562.65"/>
        <n v="1563.38"/>
        <n v="1565.7"/>
        <n v="1565.86"/>
        <n v="1580.81"/>
        <n v="1581.06"/>
        <n v="1582.68"/>
        <n v="1593.08"/>
        <n v="1596.25"/>
        <n v="1598.43"/>
        <n v="1604.49"/>
        <n v="1607.85"/>
        <n v="1608.73"/>
        <n v="1612.32"/>
        <n v="1621.05"/>
        <n v="1627.61"/>
        <n v="1634.34"/>
        <n v="1636.04"/>
        <n v="1636.09"/>
        <n v="1636.36"/>
        <n v="1639.17"/>
        <n v="1640.8"/>
        <n v="1649.85"/>
        <n v="1662.42"/>
        <n v="1666.44"/>
        <n v="1667.25"/>
        <n v="1668.67"/>
        <n v="1672.08"/>
        <n v="1673.65"/>
        <n v="1676.48"/>
        <n v="1691.21"/>
        <n v="1703.48"/>
        <n v="1708.64"/>
        <n v="1712.91"/>
        <n v="1720.65"/>
        <n v="1722.37"/>
        <n v="1729.8"/>
        <n v="1730.05"/>
        <n v="1731.13"/>
        <n v="1731.59"/>
        <n v="1752.42"/>
        <n v="1752.87"/>
        <n v="1757.44"/>
        <n v="1761.27"/>
        <n v="1763.71"/>
        <n v="1778.88"/>
        <n v="1786.77"/>
        <n v="1796.57"/>
        <n v="1798.65"/>
        <n v="1801.42"/>
        <n v="1807.38"/>
        <n v="1810.47"/>
        <n v="1811.04"/>
        <n v="1815.47"/>
        <n v="1818.49"/>
        <n v="1823.12"/>
        <n v="1838.13"/>
        <n v="1839.19"/>
        <n v="1842.16"/>
        <n v="1852.28"/>
        <n v="1854.42"/>
        <n v="1854.7"/>
        <n v="1855.81"/>
        <n v="1856.15"/>
        <n v="1857.08"/>
        <n v="1858.09"/>
        <n v="1871.5"/>
        <n v="1876.26"/>
        <n v="1879.04"/>
        <n v="1879.41"/>
        <n v="1879.55"/>
        <n v="1879.66"/>
        <n v="1881.5"/>
        <n v="1883.57"/>
        <n v="1884.7"/>
        <n v="1887.05"/>
        <n v="1888.6"/>
        <n v="1889.23"/>
        <n v="1898.03"/>
        <n v="1901.89"/>
        <n v="1904.46"/>
        <n v="1904.48"/>
        <n v="1907.47"/>
        <n v="1909.97"/>
        <n v="1918.77"/>
        <n v="1921.17"/>
        <n v="1932.88"/>
        <n v="1938.36"/>
        <n v="1942.57"/>
        <n v="1951.82"/>
        <n v="1953.2"/>
        <n v="1966.06"/>
        <n v="1979.29"/>
        <n v="1986.96"/>
        <n v="1996.18"/>
        <n v="1996.75"/>
        <n v="2006.44"/>
        <n v="2013.93"/>
        <n v="2017.39"/>
        <n v="2021.27"/>
        <n v="2025.35"/>
        <n v="2025.82"/>
        <n v="2033.24"/>
        <n v="2033.5"/>
        <n v="2034.38"/>
        <n v="2039.2"/>
        <n v="2041.25"/>
        <n v="2071.84"/>
        <n v="2075.44"/>
        <n v="2078.13"/>
        <n v="2083.75"/>
        <n v="2096.59"/>
        <n v="2099"/>
        <n v="2102.77"/>
        <n v="2109.57"/>
        <n v="2112.89"/>
        <n v="2116.92"/>
        <n v="2119"/>
        <n v="2136.93"/>
        <n v="2147.75"/>
        <n v="2151.65"/>
        <n v="2152.45"/>
        <n v="2159.74"/>
        <n v="2162.02"/>
        <n v="2164.24"/>
        <n v="2179.56"/>
        <n v="2182.08"/>
        <n v="2182.33"/>
        <n v="2199.89"/>
        <n v="2215.63"/>
        <n v="2217.17"/>
        <n v="2231.95"/>
        <n v="2255.78"/>
        <n v="2279.43"/>
        <n v="2279.81"/>
        <n v="2293.24"/>
        <n v="2305.14"/>
        <n v="2314.21"/>
        <n v="2321.64"/>
        <n v="2326.63"/>
        <n v="2345.91"/>
        <n v="2346.11"/>
        <n v="2351.23"/>
        <n v="2360.6"/>
        <n v="2378.19"/>
        <n v="2383.25"/>
        <n v="2415.93"/>
        <n v="2425.37"/>
        <n v="2443.05"/>
        <n v="2457.53"/>
        <n v="2463.53"/>
        <n v="2464.97"/>
        <n v="2482.77"/>
        <n v="2500.62"/>
        <n v="2519.64"/>
        <n v="2545.88"/>
        <n v="2555.84"/>
        <n v="2571.36"/>
        <n v="2573.35"/>
        <n v="2584.04"/>
        <n v="2592.01"/>
        <n v="2597.16"/>
        <n v="2608.31"/>
        <n v="2614.38"/>
        <n v="2627.43"/>
        <n v="2630.32"/>
        <n v="2658.68"/>
        <n v="2667.48"/>
        <n v="2677.86"/>
        <n v="2678.56"/>
        <n v="2683"/>
        <n v="2686.46"/>
        <n v="2705.48"/>
        <n v="2713.71"/>
        <n v="2723.13"/>
        <n v="2740.99"/>
        <n v="2744.1"/>
        <n v="2753.42"/>
        <n v="2754.09"/>
        <n v="2797.38"/>
        <n v="2812.01"/>
        <n v="2813.74"/>
        <n v="2815.28"/>
        <n v="2816.75"/>
        <n v="2822.42"/>
        <n v="2823.51"/>
        <n v="2831.09"/>
        <n v="2860.2"/>
        <n v="2862.34"/>
        <n v="2872.93"/>
        <n v="2889.44"/>
        <n v="2892.69"/>
        <n v="2908.33"/>
        <n v="2922.95"/>
        <n v="2930.5"/>
        <n v="2964.75"/>
        <n v="2973.74"/>
        <n v="2976.55"/>
        <n v="2990.65"/>
        <n v="3004.65"/>
        <n v="3060.4"/>
        <n v="3095.84"/>
        <n v="3098.87"/>
        <n v="3102.98"/>
        <n v="3108.67"/>
        <n v="3115.86"/>
        <n v="3131.17"/>
        <n v="3152.27"/>
        <n v="3160.93"/>
        <n v="3176.47"/>
        <n v="3177.51"/>
        <n v="3230.77"/>
        <n v="3235.39"/>
        <n v="3259.23"/>
        <n v="3277.52"/>
        <n v="3279.18"/>
        <n v="3297.02"/>
        <n v="3305.29"/>
        <n v="3310.32"/>
        <n v="3334.95"/>
        <n v="3377.56"/>
        <n v="3443.71"/>
        <n v="3506.39"/>
        <n v="3532.42"/>
        <n v="3539.86"/>
        <n v="3542.71"/>
        <n v="3562.32"/>
        <n v="3568.74"/>
        <n v="3586.16"/>
        <n v="3590.01"/>
        <n v="3599.75"/>
        <n v="3611.58"/>
        <n v="3627.23"/>
        <n v="3635.56"/>
        <n v="3639.93"/>
        <n v="3648.87"/>
        <n v="3677.48"/>
        <n v="3684.23"/>
        <n v="3690.05"/>
        <n v="3700.05"/>
        <n v="3708.59"/>
        <n v="3709.99"/>
        <n v="3736.03"/>
        <n v="3771.27"/>
        <n v="3780.27"/>
        <n v="3781.35"/>
        <n v="3803.27"/>
        <n v="3827.51"/>
        <n v="3832.23"/>
        <n v="3833.59"/>
        <n v="3838.86"/>
        <n v="3870.87"/>
        <n v="3890.12"/>
        <n v="3899.72"/>
        <n v="3908.95"/>
        <n v="3925.4"/>
        <n v="3928.29"/>
        <n v="3962.12"/>
        <n v="3972.92"/>
        <n v="3982.85"/>
        <n v="3993.51"/>
        <n v="4045.06"/>
        <n v="4066.43"/>
        <n v="4079.62"/>
        <n v="4081.16"/>
        <n v="4088.51"/>
        <n v="4088.9"/>
        <n v="4100.64"/>
        <n v="4123.21"/>
        <n v="4124.21"/>
        <n v="4143.97"/>
        <n v="4153.62"/>
        <n v="4169.14"/>
        <n v="4173.57"/>
        <n v="4177.41"/>
        <n v="4196.99"/>
        <n v="4197.9"/>
        <n v="4228.29"/>
        <n v="4259.92"/>
        <n v="4377.53"/>
        <n v="4383.94"/>
        <n v="4437.79"/>
        <n v="4442.77"/>
        <n v="4443.77"/>
        <n v="4498.15"/>
        <n v="4505.77"/>
        <n v="4510.94"/>
        <n v="4543.15"/>
        <n v="4550.72"/>
        <n v="4573.13"/>
        <n v="4626.99"/>
        <n v="4629.11"/>
        <n v="4651.27"/>
        <n v="4667.02"/>
        <n v="4671.99"/>
        <n v="4680.02"/>
        <n v="4701.31"/>
        <n v="4752.99"/>
        <n v="4788.28"/>
        <n v="4817.42"/>
        <n v="4848.13"/>
        <n v="4877.28"/>
        <n v="4920.64"/>
        <n v="4927.74"/>
        <n v="4933.01"/>
        <n v="4970.01"/>
        <n v="4973.03"/>
        <n v="4975.57"/>
        <n v="4980.92"/>
        <n v="4996.03"/>
        <n v="4998.13"/>
        <n v="5008.55"/>
        <n v="5017.17"/>
        <n v="5019.66"/>
        <n v="5053.43"/>
        <n v="5065.06"/>
        <n v="5065.25"/>
        <n v="5086.87"/>
        <n v="5102.39"/>
        <n v="5135.77"/>
        <n v="5140.32"/>
        <n v="5142.33"/>
        <n v="5181.16"/>
        <n v="5199.53"/>
        <n v="5213.75"/>
        <n v="5239.72"/>
        <n v="5287.7"/>
        <n v="5303.76"/>
        <n v="5313.36"/>
        <n v="5331.75"/>
        <n v="5342.11"/>
        <n v="5405.52"/>
        <n v="5481.19"/>
        <n v="5485.27"/>
        <n v="5498.02"/>
        <n v="5499.67"/>
        <n v="5499.89"/>
        <n v="5514.79"/>
        <n v="5524.42"/>
        <n v="5538.61"/>
        <n v="5543.76"/>
        <n v="5583.04"/>
        <n v="5594.17"/>
        <n v="5632.99"/>
        <n v="5666.92"/>
        <n v="5691.21"/>
        <n v="5714.34"/>
        <n v="5722.35"/>
        <n v="5723.65"/>
        <n v="5727.64"/>
        <n v="5781.61"/>
        <n v="5782.01"/>
        <n v="5783.82"/>
        <n v="5786.45"/>
        <n v="5789.72"/>
        <n v="5808.48"/>
        <n v="5818.57"/>
        <n v="5821.93"/>
        <n v="5855.17"/>
        <n v="5888.63"/>
        <n v="5895.95"/>
        <n v="5912.99"/>
        <n v="5933.14"/>
        <n v="5938.28"/>
        <n v="5942.82"/>
        <n v="6008.48"/>
        <n v="6037.13"/>
        <n v="6038.53"/>
        <n v="6057.36"/>
        <n v="6076.05"/>
        <n v="6113.42"/>
        <n v="6146.34"/>
        <n v="6199"/>
        <n v="6203.52"/>
        <n v="6336.26"/>
        <n v="6381.68"/>
        <n v="6396.06"/>
        <n v="6398.43"/>
        <n v="6408.28"/>
        <n v="6413.3"/>
        <n v="6424.65"/>
        <n v="6452.72"/>
        <n v="6463.04"/>
        <n v="6471.55"/>
        <n v="6493.88"/>
        <n v="6497.24"/>
        <n v="6502.51"/>
        <n v="6552.62"/>
        <n v="6560.75"/>
        <n v="6640.59"/>
        <n v="6666.83"/>
        <n v="6693.72"/>
        <n v="6702.68"/>
        <n v="6768.45"/>
        <n v="6773.19"/>
        <n v="6779.37"/>
        <n v="6794.81"/>
        <n v="6801.65"/>
        <n v="6843.93"/>
        <n v="6851.63"/>
        <n v="6856.88"/>
        <n v="6877.08"/>
        <n v="6930.88"/>
        <n v="6934.72"/>
        <n v="6937.26"/>
        <n v="6957.63"/>
        <n v="7032.08"/>
        <n v="7081.75"/>
        <n v="7102.26"/>
        <n v="7106.02"/>
        <n v="7113.98"/>
        <n v="7125.92"/>
        <n v="7218.55"/>
        <n v="7240.54"/>
        <n v="7278.54"/>
        <n v="7309.94"/>
        <n v="7342.59"/>
        <n v="7344.43"/>
        <n v="7370.87"/>
        <n v="7385.69"/>
        <n v="7666.28"/>
        <n v="7677.19"/>
        <n v="7852.99"/>
        <n v="7855.9"/>
        <n v="7932.22"/>
        <n v="7973.79"/>
        <n v="8021.88"/>
        <n v="8063.48"/>
        <n v="8075.44"/>
        <n v="8141.5"/>
        <n v="8175.04"/>
        <n v="8192.25"/>
        <n v="8200.2"/>
        <n v="8308.69"/>
        <n v="8323.27"/>
        <n v="8334.9"/>
        <n v="8360.66"/>
        <n v="8361.61"/>
        <n v="8386.06"/>
        <n v="8477.28"/>
        <n v="8691.11"/>
        <n v="8696.44"/>
        <n v="8758.9"/>
        <n v="8793.43"/>
        <n v="8801.01"/>
        <n v="8830.06"/>
        <n v="8869.78"/>
        <n v="8898.93"/>
        <n v="8949.11"/>
        <n v="8966.84"/>
        <n v="8974.2"/>
        <n v="9060.42"/>
        <n v="9181.94"/>
        <n v="9268.7"/>
        <n v="9281.07"/>
        <n v="9814.38"/>
        <n v="9896.15"/>
        <n v="9909.53"/>
        <n v="10164.25"/>
        <n v="10208.91"/>
        <n v="10212.27"/>
        <n v="10300.74"/>
        <n v="10434.91"/>
        <n v="10776.07"/>
        <n v="10793.73"/>
        <n v="10801.04"/>
        <n v="10843.97"/>
        <n v="10979.54"/>
        <n v="10998.31"/>
        <n v="11177.17"/>
        <n v="11201.86"/>
        <n v="11307.17"/>
        <n v="11464.81"/>
        <n v="11614.67"/>
        <n v="11812.53"/>
        <n v="12016.37"/>
        <n v="12055.05"/>
        <n v="12161.21"/>
        <n v="12340.3"/>
        <n v="12492.22"/>
        <n v="12570.33"/>
        <n v="12587.75"/>
        <n v="12715.02"/>
        <n v="12737.87"/>
        <n v="12973.9"/>
        <n v="13207.08"/>
        <n v="13329.66"/>
        <n v="13573.53"/>
        <n v="13701.62"/>
        <n v="13759"/>
        <n v="13811.99"/>
        <n v="13887.64"/>
        <n v="14022.34"/>
        <n v="14521.72"/>
        <n v="14561.45"/>
        <n v="14628.98"/>
        <n v="14879.29"/>
        <n v="15057.72"/>
        <n v="15351"/>
        <n v="15508.41"/>
        <n v="15609.46"/>
        <n v="15901.34"/>
        <n v="16007.3"/>
        <n v="16695.14"/>
        <n v="16803.09"/>
        <n v="18330.56"/>
        <n v="18604.79"/>
        <n v="18670.16"/>
        <n v="18831.35"/>
        <n v="19125.46"/>
        <n v="19290.03"/>
        <n v="19320.65"/>
        <n v="19511.95"/>
        <n v="20677.96"/>
        <n v="20696.84"/>
        <n v="20907.74"/>
        <n v="21683.79"/>
        <n v="22038.34"/>
        <n v="22151.06"/>
        <n v="22520.01"/>
        <n v="22862.17"/>
        <n v="23039.52"/>
        <n v="23064.49"/>
        <n v="23625.03"/>
        <n v="24910.72"/>
        <n v="25929.89"/>
        <n v="28486.13"/>
        <n v="29600.39"/>
        <n v="29661.45"/>
        <n v="30671.04"/>
        <n v="31229.54"/>
        <n v="31399.44"/>
      </sharedItems>
    </cacheField>
    <cacheField name="Customer Segment" numFmtId="0">
      <sharedItems count="4">
        <s v="Consumer"/>
        <s v="Corporate"/>
        <s v="Home Office"/>
        <s v="Small Busines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9">
  <r>
    <x v="15"/>
    <x v="354"/>
    <x v="0"/>
    <x v="0"/>
    <x v="3"/>
    <x v="31"/>
    <x v="1"/>
  </r>
  <r>
    <x v="858"/>
    <x v="354"/>
    <x v="1"/>
    <x v="52"/>
    <x v="19"/>
    <x v="1178"/>
    <x v="2"/>
  </r>
  <r>
    <x v="148"/>
    <x v="354"/>
    <x v="2"/>
    <x v="32"/>
    <x v="19"/>
    <x v="522"/>
    <x v="1"/>
  </r>
  <r>
    <x v="218"/>
    <x v="354"/>
    <x v="3"/>
    <x v="100"/>
    <x v="13"/>
    <x v="1208"/>
    <x v="3"/>
  </r>
  <r>
    <x v="1997"/>
    <x v="354"/>
    <x v="4"/>
    <x v="129"/>
    <x v="28"/>
    <x v="1923"/>
    <x v="3"/>
  </r>
  <r>
    <x v="1852"/>
    <x v="354"/>
    <x v="5"/>
    <x v="7"/>
    <x v="19"/>
    <x v="1440"/>
    <x v="3"/>
  </r>
  <r>
    <x v="426"/>
    <x v="354"/>
    <x v="6"/>
    <x v="36"/>
    <x v="5"/>
    <x v="437"/>
    <x v="1"/>
  </r>
  <r>
    <x v="645"/>
    <x v="354"/>
    <x v="7"/>
    <x v="92"/>
    <x v="29"/>
    <x v="978"/>
    <x v="1"/>
  </r>
  <r>
    <x v="1856"/>
    <x v="354"/>
    <x v="8"/>
    <x v="49"/>
    <x v="22"/>
    <x v="540"/>
    <x v="3"/>
  </r>
  <r>
    <x v="1604"/>
    <x v="354"/>
    <x v="9"/>
    <x v="23"/>
    <x v="7"/>
    <x v="332"/>
    <x v="1"/>
  </r>
  <r>
    <x v="797"/>
    <x v="354"/>
    <x v="10"/>
    <x v="1"/>
    <x v="13"/>
    <x v="78"/>
    <x v="0"/>
  </r>
  <r>
    <x v="1339"/>
    <x v="354"/>
    <x v="11"/>
    <x v="88"/>
    <x v="42"/>
    <x v="1382"/>
    <x v="1"/>
  </r>
  <r>
    <x v="751"/>
    <x v="354"/>
    <x v="12"/>
    <x v="48"/>
    <x v="26"/>
    <x v="596"/>
    <x v="2"/>
  </r>
  <r>
    <x v="1136"/>
    <x v="354"/>
    <x v="13"/>
    <x v="10"/>
    <x v="19"/>
    <x v="120"/>
    <x v="1"/>
  </r>
  <r>
    <x v="1500"/>
    <x v="354"/>
    <x v="14"/>
    <x v="26"/>
    <x v="15"/>
    <x v="394"/>
    <x v="3"/>
  </r>
  <r>
    <x v="1522"/>
    <x v="354"/>
    <x v="15"/>
    <x v="51"/>
    <x v="0"/>
    <x v="19"/>
    <x v="2"/>
  </r>
  <r>
    <x v="398"/>
    <x v="354"/>
    <x v="16"/>
    <x v="36"/>
    <x v="11"/>
    <x v="1090"/>
    <x v="1"/>
  </r>
  <r>
    <x v="1746"/>
    <x v="354"/>
    <x v="17"/>
    <x v="214"/>
    <x v="8"/>
    <x v="1212"/>
    <x v="2"/>
  </r>
  <r>
    <x v="1898"/>
    <x v="354"/>
    <x v="18"/>
    <x v="49"/>
    <x v="16"/>
    <x v="264"/>
    <x v="0"/>
  </r>
  <r>
    <x v="480"/>
    <x v="354"/>
    <x v="19"/>
    <x v="70"/>
    <x v="33"/>
    <x v="1645"/>
    <x v="2"/>
  </r>
  <r>
    <x v="643"/>
    <x v="354"/>
    <x v="20"/>
    <x v="13"/>
    <x v="41"/>
    <x v="1018"/>
    <x v="3"/>
  </r>
  <r>
    <x v="1353"/>
    <x v="354"/>
    <x v="21"/>
    <x v="1"/>
    <x v="27"/>
    <x v="167"/>
    <x v="2"/>
  </r>
  <r>
    <x v="1943"/>
    <x v="354"/>
    <x v="22"/>
    <x v="126"/>
    <x v="28"/>
    <x v="1495"/>
    <x v="1"/>
  </r>
  <r>
    <x v="1377"/>
    <x v="354"/>
    <x v="23"/>
    <x v="88"/>
    <x v="41"/>
    <x v="1280"/>
    <x v="1"/>
  </r>
  <r>
    <x v="354"/>
    <x v="354"/>
    <x v="24"/>
    <x v="55"/>
    <x v="19"/>
    <x v="983"/>
    <x v="3"/>
  </r>
  <r>
    <x v="617"/>
    <x v="354"/>
    <x v="25"/>
    <x v="49"/>
    <x v="28"/>
    <x v="622"/>
    <x v="3"/>
  </r>
  <r>
    <x v="748"/>
    <x v="354"/>
    <x v="26"/>
    <x v="29"/>
    <x v="23"/>
    <x v="500"/>
    <x v="3"/>
  </r>
  <r>
    <x v="941"/>
    <x v="354"/>
    <x v="27"/>
    <x v="25"/>
    <x v="40"/>
    <x v="736"/>
    <x v="1"/>
  </r>
  <r>
    <x v="1892"/>
    <x v="354"/>
    <x v="28"/>
    <x v="171"/>
    <x v="21"/>
    <x v="1552"/>
    <x v="1"/>
  </r>
  <r>
    <x v="1071"/>
    <x v="354"/>
    <x v="29"/>
    <x v="124"/>
    <x v="10"/>
    <x v="1686"/>
    <x v="3"/>
  </r>
  <r>
    <x v="1987"/>
    <x v="354"/>
    <x v="30"/>
    <x v="5"/>
    <x v="16"/>
    <x v="884"/>
    <x v="2"/>
  </r>
  <r>
    <x v="818"/>
    <x v="354"/>
    <x v="31"/>
    <x v="150"/>
    <x v="33"/>
    <x v="1731"/>
    <x v="1"/>
  </r>
  <r>
    <x v="918"/>
    <x v="354"/>
    <x v="32"/>
    <x v="73"/>
    <x v="18"/>
    <x v="266"/>
    <x v="1"/>
  </r>
  <r>
    <x v="11"/>
    <x v="354"/>
    <x v="33"/>
    <x v="37"/>
    <x v="0"/>
    <x v="60"/>
    <x v="2"/>
  </r>
  <r>
    <x v="1848"/>
    <x v="354"/>
    <x v="34"/>
    <x v="191"/>
    <x v="1"/>
    <x v="774"/>
    <x v="0"/>
  </r>
  <r>
    <x v="1526"/>
    <x v="354"/>
    <x v="35"/>
    <x v="226"/>
    <x v="38"/>
    <x v="1734"/>
    <x v="0"/>
  </r>
  <r>
    <x v="1150"/>
    <x v="354"/>
    <x v="36"/>
    <x v="55"/>
    <x v="35"/>
    <x v="1716"/>
    <x v="2"/>
  </r>
  <r>
    <x v="522"/>
    <x v="354"/>
    <x v="37"/>
    <x v="43"/>
    <x v="15"/>
    <x v="591"/>
    <x v="3"/>
  </r>
  <r>
    <x v="1442"/>
    <x v="354"/>
    <x v="38"/>
    <x v="59"/>
    <x v="15"/>
    <x v="1406"/>
    <x v="1"/>
  </r>
  <r>
    <x v="1975"/>
    <x v="354"/>
    <x v="39"/>
    <x v="35"/>
    <x v="20"/>
    <x v="234"/>
    <x v="1"/>
  </r>
  <r>
    <x v="1953"/>
    <x v="354"/>
    <x v="40"/>
    <x v="88"/>
    <x v="16"/>
    <x v="1466"/>
    <x v="2"/>
  </r>
  <r>
    <x v="1989"/>
    <x v="354"/>
    <x v="41"/>
    <x v="63"/>
    <x v="15"/>
    <x v="1079"/>
    <x v="2"/>
  </r>
  <r>
    <x v="185"/>
    <x v="354"/>
    <x v="42"/>
    <x v="156"/>
    <x v="2"/>
    <x v="1574"/>
    <x v="3"/>
  </r>
  <r>
    <x v="560"/>
    <x v="354"/>
    <x v="43"/>
    <x v="197"/>
    <x v="46"/>
    <x v="1971"/>
    <x v="3"/>
  </r>
  <r>
    <x v="872"/>
    <x v="354"/>
    <x v="44"/>
    <x v="49"/>
    <x v="25"/>
    <x v="1761"/>
    <x v="1"/>
  </r>
  <r>
    <x v="812"/>
    <x v="354"/>
    <x v="45"/>
    <x v="47"/>
    <x v="36"/>
    <x v="1442"/>
    <x v="3"/>
  </r>
  <r>
    <x v="292"/>
    <x v="354"/>
    <x v="46"/>
    <x v="205"/>
    <x v="35"/>
    <x v="1825"/>
    <x v="0"/>
  </r>
  <r>
    <x v="146"/>
    <x v="354"/>
    <x v="47"/>
    <x v="92"/>
    <x v="20"/>
    <x v="878"/>
    <x v="1"/>
  </r>
  <r>
    <x v="377"/>
    <x v="354"/>
    <x v="48"/>
    <x v="15"/>
    <x v="24"/>
    <x v="414"/>
    <x v="2"/>
  </r>
  <r>
    <x v="1143"/>
    <x v="354"/>
    <x v="49"/>
    <x v="25"/>
    <x v="5"/>
    <x v="111"/>
    <x v="2"/>
  </r>
  <r>
    <x v="322"/>
    <x v="354"/>
    <x v="50"/>
    <x v="57"/>
    <x v="1"/>
    <x v="659"/>
    <x v="2"/>
  </r>
  <r>
    <x v="1139"/>
    <x v="354"/>
    <x v="51"/>
    <x v="85"/>
    <x v="12"/>
    <x v="891"/>
    <x v="3"/>
  </r>
  <r>
    <x v="499"/>
    <x v="354"/>
    <x v="52"/>
    <x v="124"/>
    <x v="38"/>
    <x v="1334"/>
    <x v="0"/>
  </r>
  <r>
    <x v="1059"/>
    <x v="354"/>
    <x v="53"/>
    <x v="150"/>
    <x v="13"/>
    <x v="1131"/>
    <x v="3"/>
  </r>
  <r>
    <x v="564"/>
    <x v="354"/>
    <x v="54"/>
    <x v="41"/>
    <x v="41"/>
    <x v="1619"/>
    <x v="0"/>
  </r>
  <r>
    <x v="1114"/>
    <x v="354"/>
    <x v="55"/>
    <x v="28"/>
    <x v="18"/>
    <x v="906"/>
    <x v="1"/>
  </r>
  <r>
    <x v="805"/>
    <x v="354"/>
    <x v="56"/>
    <x v="19"/>
    <x v="6"/>
    <x v="108"/>
    <x v="1"/>
  </r>
  <r>
    <x v="1664"/>
    <x v="354"/>
    <x v="57"/>
    <x v="164"/>
    <x v="11"/>
    <x v="1820"/>
    <x v="1"/>
  </r>
  <r>
    <x v="1378"/>
    <x v="354"/>
    <x v="58"/>
    <x v="37"/>
    <x v="39"/>
    <x v="1318"/>
    <x v="1"/>
  </r>
  <r>
    <x v="586"/>
    <x v="354"/>
    <x v="59"/>
    <x v="65"/>
    <x v="14"/>
    <x v="712"/>
    <x v="1"/>
  </r>
  <r>
    <x v="1642"/>
    <x v="354"/>
    <x v="60"/>
    <x v="226"/>
    <x v="9"/>
    <x v="1561"/>
    <x v="1"/>
  </r>
  <r>
    <x v="1459"/>
    <x v="354"/>
    <x v="61"/>
    <x v="44"/>
    <x v="3"/>
    <x v="20"/>
    <x v="2"/>
  </r>
  <r>
    <x v="452"/>
    <x v="354"/>
    <x v="62"/>
    <x v="47"/>
    <x v="31"/>
    <x v="960"/>
    <x v="0"/>
  </r>
  <r>
    <x v="720"/>
    <x v="354"/>
    <x v="63"/>
    <x v="45"/>
    <x v="36"/>
    <x v="1317"/>
    <x v="1"/>
  </r>
  <r>
    <x v="359"/>
    <x v="354"/>
    <x v="64"/>
    <x v="56"/>
    <x v="6"/>
    <x v="507"/>
    <x v="3"/>
  </r>
  <r>
    <x v="1641"/>
    <x v="354"/>
    <x v="65"/>
    <x v="95"/>
    <x v="35"/>
    <x v="763"/>
    <x v="3"/>
  </r>
  <r>
    <x v="1947"/>
    <x v="354"/>
    <x v="66"/>
    <x v="14"/>
    <x v="12"/>
    <x v="165"/>
    <x v="3"/>
  </r>
  <r>
    <x v="1451"/>
    <x v="354"/>
    <x v="67"/>
    <x v="25"/>
    <x v="37"/>
    <x v="677"/>
    <x v="2"/>
  </r>
  <r>
    <x v="980"/>
    <x v="354"/>
    <x v="68"/>
    <x v="10"/>
    <x v="7"/>
    <x v="36"/>
    <x v="0"/>
  </r>
  <r>
    <x v="1333"/>
    <x v="354"/>
    <x v="69"/>
    <x v="54"/>
    <x v="35"/>
    <x v="525"/>
    <x v="1"/>
  </r>
  <r>
    <x v="1982"/>
    <x v="354"/>
    <x v="70"/>
    <x v="68"/>
    <x v="34"/>
    <x v="1133"/>
    <x v="2"/>
  </r>
  <r>
    <x v="60"/>
    <x v="354"/>
    <x v="71"/>
    <x v="46"/>
    <x v="37"/>
    <x v="629"/>
    <x v="1"/>
  </r>
  <r>
    <x v="561"/>
    <x v="354"/>
    <x v="72"/>
    <x v="71"/>
    <x v="22"/>
    <x v="719"/>
    <x v="3"/>
  </r>
  <r>
    <x v="216"/>
    <x v="354"/>
    <x v="73"/>
    <x v="2"/>
    <x v="5"/>
    <x v="17"/>
    <x v="3"/>
  </r>
  <r>
    <x v="1840"/>
    <x v="354"/>
    <x v="74"/>
    <x v="52"/>
    <x v="40"/>
    <x v="1384"/>
    <x v="2"/>
  </r>
  <r>
    <x v="721"/>
    <x v="354"/>
    <x v="75"/>
    <x v="150"/>
    <x v="29"/>
    <x v="1292"/>
    <x v="0"/>
  </r>
  <r>
    <x v="1621"/>
    <x v="354"/>
    <x v="76"/>
    <x v="46"/>
    <x v="26"/>
    <x v="919"/>
    <x v="3"/>
  </r>
  <r>
    <x v="1277"/>
    <x v="354"/>
    <x v="77"/>
    <x v="150"/>
    <x v="12"/>
    <x v="1164"/>
    <x v="2"/>
  </r>
  <r>
    <x v="1897"/>
    <x v="354"/>
    <x v="78"/>
    <x v="14"/>
    <x v="21"/>
    <x v="686"/>
    <x v="2"/>
  </r>
  <r>
    <x v="1147"/>
    <x v="354"/>
    <x v="79"/>
    <x v="0"/>
    <x v="22"/>
    <x v="400"/>
    <x v="3"/>
  </r>
  <r>
    <x v="731"/>
    <x v="354"/>
    <x v="80"/>
    <x v="107"/>
    <x v="35"/>
    <x v="1909"/>
    <x v="1"/>
  </r>
  <r>
    <x v="1457"/>
    <x v="354"/>
    <x v="81"/>
    <x v="15"/>
    <x v="0"/>
    <x v="13"/>
    <x v="1"/>
  </r>
  <r>
    <x v="796"/>
    <x v="354"/>
    <x v="82"/>
    <x v="169"/>
    <x v="19"/>
    <x v="1690"/>
    <x v="1"/>
  </r>
  <r>
    <x v="1821"/>
    <x v="354"/>
    <x v="83"/>
    <x v="127"/>
    <x v="20"/>
    <x v="1117"/>
    <x v="2"/>
  </r>
  <r>
    <x v="1767"/>
    <x v="354"/>
    <x v="84"/>
    <x v="0"/>
    <x v="19"/>
    <x v="326"/>
    <x v="1"/>
  </r>
  <r>
    <x v="1857"/>
    <x v="354"/>
    <x v="85"/>
    <x v="11"/>
    <x v="24"/>
    <x v="138"/>
    <x v="1"/>
  </r>
  <r>
    <x v="378"/>
    <x v="354"/>
    <x v="86"/>
    <x v="102"/>
    <x v="36"/>
    <x v="725"/>
    <x v="2"/>
  </r>
  <r>
    <x v="1948"/>
    <x v="354"/>
    <x v="87"/>
    <x v="57"/>
    <x v="35"/>
    <x v="748"/>
    <x v="3"/>
  </r>
  <r>
    <x v="1217"/>
    <x v="354"/>
    <x v="88"/>
    <x v="28"/>
    <x v="33"/>
    <x v="1632"/>
    <x v="2"/>
  </r>
  <r>
    <x v="1227"/>
    <x v="354"/>
    <x v="89"/>
    <x v="190"/>
    <x v="33"/>
    <x v="1980"/>
    <x v="1"/>
  </r>
  <r>
    <x v="1594"/>
    <x v="354"/>
    <x v="90"/>
    <x v="88"/>
    <x v="35"/>
    <x v="996"/>
    <x v="1"/>
  </r>
  <r>
    <x v="1626"/>
    <x v="354"/>
    <x v="91"/>
    <x v="143"/>
    <x v="4"/>
    <x v="1217"/>
    <x v="3"/>
  </r>
  <r>
    <x v="1165"/>
    <x v="354"/>
    <x v="92"/>
    <x v="53"/>
    <x v="26"/>
    <x v="1431"/>
    <x v="3"/>
  </r>
  <r>
    <x v="400"/>
    <x v="354"/>
    <x v="93"/>
    <x v="9"/>
    <x v="30"/>
    <x v="835"/>
    <x v="2"/>
  </r>
  <r>
    <x v="1261"/>
    <x v="354"/>
    <x v="94"/>
    <x v="10"/>
    <x v="38"/>
    <x v="244"/>
    <x v="1"/>
  </r>
  <r>
    <x v="697"/>
    <x v="354"/>
    <x v="95"/>
    <x v="109"/>
    <x v="37"/>
    <x v="1886"/>
    <x v="2"/>
  </r>
  <r>
    <x v="392"/>
    <x v="354"/>
    <x v="96"/>
    <x v="57"/>
    <x v="41"/>
    <x v="1391"/>
    <x v="0"/>
  </r>
  <r>
    <x v="1661"/>
    <x v="354"/>
    <x v="97"/>
    <x v="150"/>
    <x v="22"/>
    <x v="1903"/>
    <x v="0"/>
  </r>
  <r>
    <x v="1714"/>
    <x v="354"/>
    <x v="98"/>
    <x v="87"/>
    <x v="32"/>
    <x v="1520"/>
    <x v="0"/>
  </r>
  <r>
    <x v="1293"/>
    <x v="354"/>
    <x v="99"/>
    <x v="50"/>
    <x v="22"/>
    <x v="912"/>
    <x v="1"/>
  </r>
  <r>
    <x v="842"/>
    <x v="354"/>
    <x v="100"/>
    <x v="32"/>
    <x v="45"/>
    <x v="981"/>
    <x v="0"/>
  </r>
  <r>
    <x v="695"/>
    <x v="354"/>
    <x v="101"/>
    <x v="14"/>
    <x v="28"/>
    <x v="1091"/>
    <x v="3"/>
  </r>
  <r>
    <x v="1466"/>
    <x v="354"/>
    <x v="102"/>
    <x v="0"/>
    <x v="30"/>
    <x v="441"/>
    <x v="0"/>
  </r>
  <r>
    <x v="1073"/>
    <x v="354"/>
    <x v="103"/>
    <x v="232"/>
    <x v="40"/>
    <x v="1956"/>
    <x v="0"/>
  </r>
  <r>
    <x v="246"/>
    <x v="114"/>
    <x v="104"/>
    <x v="29"/>
    <x v="41"/>
    <x v="784"/>
    <x v="1"/>
  </r>
  <r>
    <x v="1888"/>
    <x v="199"/>
    <x v="105"/>
    <x v="1"/>
    <x v="36"/>
    <x v="382"/>
    <x v="1"/>
  </r>
  <r>
    <x v="1813"/>
    <x v="230"/>
    <x v="106"/>
    <x v="60"/>
    <x v="6"/>
    <x v="320"/>
    <x v="3"/>
  </r>
  <r>
    <x v="179"/>
    <x v="116"/>
    <x v="107"/>
    <x v="150"/>
    <x v="3"/>
    <x v="1592"/>
    <x v="0"/>
  </r>
  <r>
    <x v="949"/>
    <x v="88"/>
    <x v="108"/>
    <x v="197"/>
    <x v="13"/>
    <x v="340"/>
    <x v="1"/>
  </r>
  <r>
    <x v="873"/>
    <x v="344"/>
    <x v="109"/>
    <x v="49"/>
    <x v="16"/>
    <x v="250"/>
    <x v="3"/>
  </r>
  <r>
    <x v="33"/>
    <x v="187"/>
    <x v="110"/>
    <x v="0"/>
    <x v="5"/>
    <x v="82"/>
    <x v="1"/>
  </r>
  <r>
    <x v="1787"/>
    <x v="214"/>
    <x v="111"/>
    <x v="177"/>
    <x v="22"/>
    <x v="1672"/>
    <x v="1"/>
  </r>
  <r>
    <x v="1831"/>
    <x v="294"/>
    <x v="112"/>
    <x v="75"/>
    <x v="41"/>
    <x v="1744"/>
    <x v="1"/>
  </r>
  <r>
    <x v="788"/>
    <x v="261"/>
    <x v="113"/>
    <x v="30"/>
    <x v="36"/>
    <x v="1481"/>
    <x v="1"/>
  </r>
  <r>
    <x v="1704"/>
    <x v="74"/>
    <x v="114"/>
    <x v="4"/>
    <x v="34"/>
    <x v="455"/>
    <x v="1"/>
  </r>
  <r>
    <x v="1976"/>
    <x v="269"/>
    <x v="115"/>
    <x v="88"/>
    <x v="38"/>
    <x v="1735"/>
    <x v="1"/>
  </r>
  <r>
    <x v="1434"/>
    <x v="226"/>
    <x v="116"/>
    <x v="47"/>
    <x v="38"/>
    <x v="1867"/>
    <x v="1"/>
  </r>
  <r>
    <x v="1705"/>
    <x v="47"/>
    <x v="117"/>
    <x v="150"/>
    <x v="3"/>
    <x v="1689"/>
    <x v="3"/>
  </r>
  <r>
    <x v="24"/>
    <x v="182"/>
    <x v="118"/>
    <x v="36"/>
    <x v="29"/>
    <x v="1777"/>
    <x v="1"/>
  </r>
  <r>
    <x v="934"/>
    <x v="210"/>
    <x v="119"/>
    <x v="30"/>
    <x v="47"/>
    <x v="966"/>
    <x v="3"/>
  </r>
  <r>
    <x v="1959"/>
    <x v="351"/>
    <x v="120"/>
    <x v="223"/>
    <x v="22"/>
    <x v="1858"/>
    <x v="3"/>
  </r>
  <r>
    <x v="925"/>
    <x v="172"/>
    <x v="121"/>
    <x v="53"/>
    <x v="0"/>
    <x v="16"/>
    <x v="2"/>
  </r>
  <r>
    <x v="832"/>
    <x v="311"/>
    <x v="122"/>
    <x v="10"/>
    <x v="0"/>
    <x v="1"/>
    <x v="3"/>
  </r>
  <r>
    <x v="45"/>
    <x v="132"/>
    <x v="123"/>
    <x v="6"/>
    <x v="3"/>
    <x v="126"/>
    <x v="1"/>
  </r>
  <r>
    <x v="683"/>
    <x v="117"/>
    <x v="124"/>
    <x v="53"/>
    <x v="32"/>
    <x v="1691"/>
    <x v="0"/>
  </r>
  <r>
    <x v="1965"/>
    <x v="76"/>
    <x v="125"/>
    <x v="5"/>
    <x v="28"/>
    <x v="310"/>
    <x v="1"/>
  </r>
  <r>
    <x v="678"/>
    <x v="210"/>
    <x v="126"/>
    <x v="10"/>
    <x v="33"/>
    <x v="1289"/>
    <x v="1"/>
  </r>
  <r>
    <x v="640"/>
    <x v="148"/>
    <x v="127"/>
    <x v="14"/>
    <x v="14"/>
    <x v="910"/>
    <x v="3"/>
  </r>
  <r>
    <x v="1750"/>
    <x v="272"/>
    <x v="128"/>
    <x v="19"/>
    <x v="3"/>
    <x v="50"/>
    <x v="3"/>
  </r>
  <r>
    <x v="451"/>
    <x v="236"/>
    <x v="129"/>
    <x v="203"/>
    <x v="48"/>
    <x v="1940"/>
    <x v="3"/>
  </r>
  <r>
    <x v="171"/>
    <x v="49"/>
    <x v="130"/>
    <x v="47"/>
    <x v="38"/>
    <x v="821"/>
    <x v="1"/>
  </r>
  <r>
    <x v="1304"/>
    <x v="245"/>
    <x v="131"/>
    <x v="84"/>
    <x v="22"/>
    <x v="515"/>
    <x v="2"/>
  </r>
  <r>
    <x v="932"/>
    <x v="74"/>
    <x v="132"/>
    <x v="58"/>
    <x v="30"/>
    <x v="546"/>
    <x v="1"/>
  </r>
  <r>
    <x v="1644"/>
    <x v="175"/>
    <x v="133"/>
    <x v="85"/>
    <x v="7"/>
    <x v="1269"/>
    <x v="3"/>
  </r>
  <r>
    <x v="1180"/>
    <x v="271"/>
    <x v="134"/>
    <x v="10"/>
    <x v="8"/>
    <x v="141"/>
    <x v="0"/>
  </r>
  <r>
    <x v="101"/>
    <x v="110"/>
    <x v="135"/>
    <x v="66"/>
    <x v="7"/>
    <x v="194"/>
    <x v="0"/>
  </r>
  <r>
    <x v="247"/>
    <x v="114"/>
    <x v="136"/>
    <x v="30"/>
    <x v="40"/>
    <x v="923"/>
    <x v="1"/>
  </r>
  <r>
    <x v="1963"/>
    <x v="325"/>
    <x v="137"/>
    <x v="69"/>
    <x v="17"/>
    <x v="155"/>
    <x v="2"/>
  </r>
  <r>
    <x v="1391"/>
    <x v="340"/>
    <x v="138"/>
    <x v="72"/>
    <x v="34"/>
    <x v="1109"/>
    <x v="1"/>
  </r>
  <r>
    <x v="1690"/>
    <x v="319"/>
    <x v="139"/>
    <x v="40"/>
    <x v="33"/>
    <x v="894"/>
    <x v="3"/>
  </r>
  <r>
    <x v="627"/>
    <x v="239"/>
    <x v="140"/>
    <x v="63"/>
    <x v="14"/>
    <x v="496"/>
    <x v="1"/>
  </r>
  <r>
    <x v="1720"/>
    <x v="319"/>
    <x v="141"/>
    <x v="53"/>
    <x v="13"/>
    <x v="471"/>
    <x v="0"/>
  </r>
  <r>
    <x v="1010"/>
    <x v="318"/>
    <x v="142"/>
    <x v="47"/>
    <x v="44"/>
    <x v="1088"/>
    <x v="2"/>
  </r>
  <r>
    <x v="1066"/>
    <x v="199"/>
    <x v="143"/>
    <x v="185"/>
    <x v="12"/>
    <x v="1360"/>
    <x v="0"/>
  </r>
  <r>
    <x v="1889"/>
    <x v="199"/>
    <x v="144"/>
    <x v="124"/>
    <x v="12"/>
    <x v="1367"/>
    <x v="1"/>
  </r>
  <r>
    <x v="1991"/>
    <x v="165"/>
    <x v="145"/>
    <x v="150"/>
    <x v="45"/>
    <x v="1906"/>
    <x v="0"/>
  </r>
  <r>
    <x v="1158"/>
    <x v="261"/>
    <x v="146"/>
    <x v="66"/>
    <x v="48"/>
    <x v="1176"/>
    <x v="3"/>
  </r>
  <r>
    <x v="1684"/>
    <x v="339"/>
    <x v="147"/>
    <x v="35"/>
    <x v="6"/>
    <x v="989"/>
    <x v="1"/>
  </r>
  <r>
    <x v="554"/>
    <x v="290"/>
    <x v="148"/>
    <x v="7"/>
    <x v="38"/>
    <x v="379"/>
    <x v="1"/>
  </r>
  <r>
    <x v="227"/>
    <x v="343"/>
    <x v="149"/>
    <x v="57"/>
    <x v="13"/>
    <x v="866"/>
    <x v="0"/>
  </r>
  <r>
    <x v="242"/>
    <x v="168"/>
    <x v="150"/>
    <x v="10"/>
    <x v="19"/>
    <x v="127"/>
    <x v="1"/>
  </r>
  <r>
    <x v="1388"/>
    <x v="334"/>
    <x v="151"/>
    <x v="46"/>
    <x v="15"/>
    <x v="307"/>
    <x v="2"/>
  </r>
  <r>
    <x v="154"/>
    <x v="344"/>
    <x v="152"/>
    <x v="169"/>
    <x v="47"/>
    <x v="1861"/>
    <x v="2"/>
  </r>
  <r>
    <x v="739"/>
    <x v="42"/>
    <x v="153"/>
    <x v="95"/>
    <x v="26"/>
    <x v="668"/>
    <x v="1"/>
  </r>
  <r>
    <x v="975"/>
    <x v="310"/>
    <x v="154"/>
    <x v="86"/>
    <x v="27"/>
    <x v="654"/>
    <x v="1"/>
  </r>
  <r>
    <x v="1687"/>
    <x v="206"/>
    <x v="155"/>
    <x v="57"/>
    <x v="41"/>
    <x v="1068"/>
    <x v="0"/>
  </r>
  <r>
    <x v="29"/>
    <x v="160"/>
    <x v="156"/>
    <x v="60"/>
    <x v="21"/>
    <x v="1278"/>
    <x v="1"/>
  </r>
  <r>
    <x v="861"/>
    <x v="320"/>
    <x v="157"/>
    <x v="1"/>
    <x v="47"/>
    <x v="779"/>
    <x v="1"/>
  </r>
  <r>
    <x v="910"/>
    <x v="180"/>
    <x v="158"/>
    <x v="25"/>
    <x v="20"/>
    <x v="1010"/>
    <x v="0"/>
  </r>
  <r>
    <x v="1873"/>
    <x v="140"/>
    <x v="159"/>
    <x v="178"/>
    <x v="16"/>
    <x v="1302"/>
    <x v="3"/>
  </r>
  <r>
    <x v="115"/>
    <x v="254"/>
    <x v="160"/>
    <x v="108"/>
    <x v="20"/>
    <x v="1891"/>
    <x v="2"/>
  </r>
  <r>
    <x v="1624"/>
    <x v="231"/>
    <x v="161"/>
    <x v="64"/>
    <x v="38"/>
    <x v="816"/>
    <x v="0"/>
  </r>
  <r>
    <x v="944"/>
    <x v="265"/>
    <x v="162"/>
    <x v="38"/>
    <x v="16"/>
    <x v="1507"/>
    <x v="2"/>
  </r>
  <r>
    <x v="172"/>
    <x v="49"/>
    <x v="163"/>
    <x v="49"/>
    <x v="0"/>
    <x v="631"/>
    <x v="1"/>
  </r>
  <r>
    <x v="1407"/>
    <x v="313"/>
    <x v="164"/>
    <x v="45"/>
    <x v="32"/>
    <x v="425"/>
    <x v="2"/>
  </r>
  <r>
    <x v="1245"/>
    <x v="105"/>
    <x v="165"/>
    <x v="36"/>
    <x v="22"/>
    <x v="1066"/>
    <x v="1"/>
  </r>
  <r>
    <x v="1069"/>
    <x v="125"/>
    <x v="166"/>
    <x v="106"/>
    <x v="15"/>
    <x v="423"/>
    <x v="3"/>
  </r>
  <r>
    <x v="1606"/>
    <x v="144"/>
    <x v="167"/>
    <x v="47"/>
    <x v="10"/>
    <x v="419"/>
    <x v="2"/>
  </r>
  <r>
    <x v="1476"/>
    <x v="31"/>
    <x v="168"/>
    <x v="86"/>
    <x v="3"/>
    <x v="447"/>
    <x v="0"/>
  </r>
  <r>
    <x v="806"/>
    <x v="247"/>
    <x v="169"/>
    <x v="76"/>
    <x v="33"/>
    <x v="791"/>
    <x v="0"/>
  </r>
  <r>
    <x v="782"/>
    <x v="70"/>
    <x v="170"/>
    <x v="156"/>
    <x v="2"/>
    <x v="1015"/>
    <x v="1"/>
  </r>
  <r>
    <x v="1763"/>
    <x v="300"/>
    <x v="171"/>
    <x v="7"/>
    <x v="39"/>
    <x v="1543"/>
    <x v="1"/>
  </r>
  <r>
    <x v="785"/>
    <x v="133"/>
    <x v="172"/>
    <x v="174"/>
    <x v="35"/>
    <x v="1245"/>
    <x v="1"/>
  </r>
  <r>
    <x v="811"/>
    <x v="299"/>
    <x v="173"/>
    <x v="47"/>
    <x v="8"/>
    <x v="516"/>
    <x v="2"/>
  </r>
  <r>
    <x v="1310"/>
    <x v="102"/>
    <x v="174"/>
    <x v="14"/>
    <x v="28"/>
    <x v="705"/>
    <x v="1"/>
  </r>
  <r>
    <x v="603"/>
    <x v="71"/>
    <x v="175"/>
    <x v="90"/>
    <x v="49"/>
    <x v="1474"/>
    <x v="3"/>
  </r>
  <r>
    <x v="1932"/>
    <x v="289"/>
    <x v="176"/>
    <x v="49"/>
    <x v="25"/>
    <x v="693"/>
    <x v="0"/>
  </r>
  <r>
    <x v="102"/>
    <x v="115"/>
    <x v="177"/>
    <x v="150"/>
    <x v="33"/>
    <x v="1841"/>
    <x v="1"/>
  </r>
  <r>
    <x v="828"/>
    <x v="323"/>
    <x v="178"/>
    <x v="14"/>
    <x v="32"/>
    <x v="814"/>
    <x v="3"/>
  </r>
  <r>
    <x v="1090"/>
    <x v="338"/>
    <x v="179"/>
    <x v="36"/>
    <x v="40"/>
    <x v="1870"/>
    <x v="0"/>
  </r>
  <r>
    <x v="1268"/>
    <x v="89"/>
    <x v="180"/>
    <x v="6"/>
    <x v="49"/>
    <x v="578"/>
    <x v="1"/>
  </r>
  <r>
    <x v="501"/>
    <x v="228"/>
    <x v="181"/>
    <x v="95"/>
    <x v="20"/>
    <x v="465"/>
    <x v="0"/>
  </r>
  <r>
    <x v="1345"/>
    <x v="99"/>
    <x v="182"/>
    <x v="223"/>
    <x v="34"/>
    <x v="1917"/>
    <x v="3"/>
  </r>
  <r>
    <x v="1605"/>
    <x v="118"/>
    <x v="183"/>
    <x v="53"/>
    <x v="49"/>
    <x v="823"/>
    <x v="1"/>
  </r>
  <r>
    <x v="1397"/>
    <x v="340"/>
    <x v="184"/>
    <x v="25"/>
    <x v="14"/>
    <x v="275"/>
    <x v="3"/>
  </r>
  <r>
    <x v="750"/>
    <x v="154"/>
    <x v="185"/>
    <x v="74"/>
    <x v="6"/>
    <x v="142"/>
    <x v="0"/>
  </r>
  <r>
    <x v="92"/>
    <x v="254"/>
    <x v="186"/>
    <x v="94"/>
    <x v="33"/>
    <x v="734"/>
    <x v="3"/>
  </r>
  <r>
    <x v="1977"/>
    <x v="26"/>
    <x v="187"/>
    <x v="30"/>
    <x v="11"/>
    <x v="1261"/>
    <x v="2"/>
  </r>
  <r>
    <x v="1517"/>
    <x v="54"/>
    <x v="188"/>
    <x v="136"/>
    <x v="6"/>
    <x v="953"/>
    <x v="0"/>
  </r>
  <r>
    <x v="758"/>
    <x v="103"/>
    <x v="189"/>
    <x v="34"/>
    <x v="3"/>
    <x v="88"/>
    <x v="1"/>
  </r>
  <r>
    <x v="1418"/>
    <x v="181"/>
    <x v="190"/>
    <x v="63"/>
    <x v="16"/>
    <x v="462"/>
    <x v="1"/>
  </r>
  <r>
    <x v="632"/>
    <x v="211"/>
    <x v="191"/>
    <x v="59"/>
    <x v="48"/>
    <x v="1035"/>
    <x v="1"/>
  </r>
  <r>
    <x v="187"/>
    <x v="276"/>
    <x v="192"/>
    <x v="50"/>
    <x v="5"/>
    <x v="533"/>
    <x v="1"/>
  </r>
  <r>
    <x v="1875"/>
    <x v="94"/>
    <x v="193"/>
    <x v="47"/>
    <x v="36"/>
    <x v="1243"/>
    <x v="2"/>
  </r>
  <r>
    <x v="870"/>
    <x v="25"/>
    <x v="194"/>
    <x v="129"/>
    <x v="40"/>
    <x v="1933"/>
    <x v="0"/>
  </r>
  <r>
    <x v="1056"/>
    <x v="139"/>
    <x v="195"/>
    <x v="71"/>
    <x v="30"/>
    <x v="998"/>
    <x v="3"/>
  </r>
  <r>
    <x v="1123"/>
    <x v="93"/>
    <x v="196"/>
    <x v="81"/>
    <x v="35"/>
    <x v="790"/>
    <x v="1"/>
  </r>
  <r>
    <x v="829"/>
    <x v="323"/>
    <x v="197"/>
    <x v="55"/>
    <x v="25"/>
    <x v="1350"/>
    <x v="3"/>
  </r>
  <r>
    <x v="1619"/>
    <x v="41"/>
    <x v="198"/>
    <x v="233"/>
    <x v="5"/>
    <x v="1601"/>
    <x v="1"/>
  </r>
  <r>
    <x v="1859"/>
    <x v="110"/>
    <x v="199"/>
    <x v="170"/>
    <x v="29"/>
    <x v="1790"/>
    <x v="1"/>
  </r>
  <r>
    <x v="122"/>
    <x v="70"/>
    <x v="200"/>
    <x v="59"/>
    <x v="19"/>
    <x v="766"/>
    <x v="3"/>
  </r>
  <r>
    <x v="100"/>
    <x v="19"/>
    <x v="201"/>
    <x v="67"/>
    <x v="33"/>
    <x v="1585"/>
    <x v="0"/>
  </r>
  <r>
    <x v="833"/>
    <x v="311"/>
    <x v="202"/>
    <x v="103"/>
    <x v="21"/>
    <x v="1024"/>
    <x v="3"/>
  </r>
  <r>
    <x v="285"/>
    <x v="75"/>
    <x v="203"/>
    <x v="88"/>
    <x v="18"/>
    <x v="1539"/>
    <x v="0"/>
  </r>
  <r>
    <x v="1698"/>
    <x v="144"/>
    <x v="204"/>
    <x v="163"/>
    <x v="42"/>
    <x v="1922"/>
    <x v="0"/>
  </r>
  <r>
    <x v="681"/>
    <x v="185"/>
    <x v="205"/>
    <x v="66"/>
    <x v="37"/>
    <x v="473"/>
    <x v="2"/>
  </r>
  <r>
    <x v="1187"/>
    <x v="121"/>
    <x v="206"/>
    <x v="9"/>
    <x v="22"/>
    <x v="737"/>
    <x v="3"/>
  </r>
  <r>
    <x v="1895"/>
    <x v="325"/>
    <x v="207"/>
    <x v="56"/>
    <x v="33"/>
    <x v="1559"/>
    <x v="1"/>
  </r>
  <r>
    <x v="263"/>
    <x v="187"/>
    <x v="208"/>
    <x v="41"/>
    <x v="7"/>
    <x v="304"/>
    <x v="3"/>
  </r>
  <r>
    <x v="1792"/>
    <x v="296"/>
    <x v="209"/>
    <x v="135"/>
    <x v="21"/>
    <x v="1675"/>
    <x v="3"/>
  </r>
  <r>
    <x v="1832"/>
    <x v="294"/>
    <x v="210"/>
    <x v="93"/>
    <x v="6"/>
    <x v="257"/>
    <x v="1"/>
  </r>
  <r>
    <x v="213"/>
    <x v="193"/>
    <x v="211"/>
    <x v="164"/>
    <x v="35"/>
    <x v="1959"/>
    <x v="1"/>
  </r>
  <r>
    <x v="1191"/>
    <x v="83"/>
    <x v="212"/>
    <x v="46"/>
    <x v="46"/>
    <x v="1120"/>
    <x v="2"/>
  </r>
  <r>
    <x v="1269"/>
    <x v="134"/>
    <x v="213"/>
    <x v="5"/>
    <x v="48"/>
    <x v="498"/>
    <x v="2"/>
  </r>
  <r>
    <x v="160"/>
    <x v="291"/>
    <x v="214"/>
    <x v="120"/>
    <x v="24"/>
    <x v="1301"/>
    <x v="0"/>
  </r>
  <r>
    <x v="233"/>
    <x v="148"/>
    <x v="215"/>
    <x v="4"/>
    <x v="47"/>
    <x v="810"/>
    <x v="3"/>
  </r>
  <r>
    <x v="1336"/>
    <x v="8"/>
    <x v="216"/>
    <x v="10"/>
    <x v="21"/>
    <x v="200"/>
    <x v="1"/>
  </r>
  <r>
    <x v="894"/>
    <x v="243"/>
    <x v="217"/>
    <x v="49"/>
    <x v="15"/>
    <x v="376"/>
    <x v="1"/>
  </r>
  <r>
    <x v="1941"/>
    <x v="88"/>
    <x v="218"/>
    <x v="5"/>
    <x v="15"/>
    <x v="117"/>
    <x v="1"/>
  </r>
  <r>
    <x v="1622"/>
    <x v="63"/>
    <x v="219"/>
    <x v="81"/>
    <x v="25"/>
    <x v="592"/>
    <x v="3"/>
  </r>
  <r>
    <x v="1081"/>
    <x v="301"/>
    <x v="220"/>
    <x v="52"/>
    <x v="30"/>
    <x v="758"/>
    <x v="0"/>
  </r>
  <r>
    <x v="1403"/>
    <x v="137"/>
    <x v="221"/>
    <x v="55"/>
    <x v="27"/>
    <x v="626"/>
    <x v="2"/>
  </r>
  <r>
    <x v="243"/>
    <x v="168"/>
    <x v="222"/>
    <x v="56"/>
    <x v="19"/>
    <x v="1115"/>
    <x v="1"/>
  </r>
  <r>
    <x v="1077"/>
    <x v="311"/>
    <x v="223"/>
    <x v="143"/>
    <x v="7"/>
    <x v="1331"/>
    <x v="0"/>
  </r>
  <r>
    <x v="1933"/>
    <x v="65"/>
    <x v="224"/>
    <x v="123"/>
    <x v="30"/>
    <x v="1490"/>
    <x v="1"/>
  </r>
  <r>
    <x v="851"/>
    <x v="311"/>
    <x v="225"/>
    <x v="44"/>
    <x v="29"/>
    <x v="1116"/>
    <x v="2"/>
  </r>
  <r>
    <x v="361"/>
    <x v="285"/>
    <x v="226"/>
    <x v="65"/>
    <x v="43"/>
    <x v="1332"/>
    <x v="1"/>
  </r>
  <r>
    <x v="81"/>
    <x v="242"/>
    <x v="227"/>
    <x v="52"/>
    <x v="13"/>
    <x v="907"/>
    <x v="1"/>
  </r>
  <r>
    <x v="1648"/>
    <x v="238"/>
    <x v="228"/>
    <x v="5"/>
    <x v="44"/>
    <x v="374"/>
    <x v="0"/>
  </r>
  <r>
    <x v="207"/>
    <x v="223"/>
    <x v="229"/>
    <x v="55"/>
    <x v="15"/>
    <x v="399"/>
    <x v="2"/>
  </r>
  <r>
    <x v="1202"/>
    <x v="178"/>
    <x v="230"/>
    <x v="156"/>
    <x v="26"/>
    <x v="1637"/>
    <x v="3"/>
  </r>
  <r>
    <x v="1507"/>
    <x v="12"/>
    <x v="231"/>
    <x v="58"/>
    <x v="38"/>
    <x v="832"/>
    <x v="1"/>
  </r>
  <r>
    <x v="470"/>
    <x v="308"/>
    <x v="232"/>
    <x v="88"/>
    <x v="47"/>
    <x v="1784"/>
    <x v="1"/>
  </r>
  <r>
    <x v="1502"/>
    <x v="42"/>
    <x v="233"/>
    <x v="0"/>
    <x v="49"/>
    <x v="658"/>
    <x v="0"/>
  </r>
  <r>
    <x v="1838"/>
    <x v="70"/>
    <x v="234"/>
    <x v="4"/>
    <x v="46"/>
    <x v="650"/>
    <x v="2"/>
  </r>
  <r>
    <x v="592"/>
    <x v="113"/>
    <x v="235"/>
    <x v="78"/>
    <x v="21"/>
    <x v="467"/>
    <x v="1"/>
  </r>
  <r>
    <x v="1423"/>
    <x v="114"/>
    <x v="236"/>
    <x v="170"/>
    <x v="28"/>
    <x v="1644"/>
    <x v="1"/>
  </r>
  <r>
    <x v="1810"/>
    <x v="34"/>
    <x v="237"/>
    <x v="0"/>
    <x v="16"/>
    <x v="306"/>
    <x v="0"/>
  </r>
  <r>
    <x v="1909"/>
    <x v="18"/>
    <x v="238"/>
    <x v="78"/>
    <x v="34"/>
    <x v="1007"/>
    <x v="0"/>
  </r>
  <r>
    <x v="64"/>
    <x v="35"/>
    <x v="239"/>
    <x v="150"/>
    <x v="9"/>
    <x v="1312"/>
    <x v="1"/>
  </r>
  <r>
    <x v="1919"/>
    <x v="70"/>
    <x v="240"/>
    <x v="0"/>
    <x v="36"/>
    <x v="452"/>
    <x v="1"/>
  </r>
  <r>
    <x v="1768"/>
    <x v="296"/>
    <x v="241"/>
    <x v="88"/>
    <x v="12"/>
    <x v="1083"/>
    <x v="1"/>
  </r>
  <r>
    <x v="984"/>
    <x v="176"/>
    <x v="242"/>
    <x v="156"/>
    <x v="45"/>
    <x v="1977"/>
    <x v="0"/>
  </r>
  <r>
    <x v="928"/>
    <x v="275"/>
    <x v="243"/>
    <x v="71"/>
    <x v="24"/>
    <x v="968"/>
    <x v="1"/>
  </r>
  <r>
    <x v="926"/>
    <x v="172"/>
    <x v="244"/>
    <x v="52"/>
    <x v="26"/>
    <x v="464"/>
    <x v="2"/>
  </r>
  <r>
    <x v="527"/>
    <x v="153"/>
    <x v="245"/>
    <x v="25"/>
    <x v="38"/>
    <x v="549"/>
    <x v="3"/>
  </r>
  <r>
    <x v="1484"/>
    <x v="101"/>
    <x v="246"/>
    <x v="88"/>
    <x v="31"/>
    <x v="1775"/>
    <x v="1"/>
  </r>
  <r>
    <x v="1426"/>
    <x v="34"/>
    <x v="247"/>
    <x v="156"/>
    <x v="0"/>
    <x v="1688"/>
    <x v="1"/>
  </r>
  <r>
    <x v="1311"/>
    <x v="350"/>
    <x v="248"/>
    <x v="32"/>
    <x v="31"/>
    <x v="570"/>
    <x v="1"/>
  </r>
  <r>
    <x v="1119"/>
    <x v="149"/>
    <x v="249"/>
    <x v="45"/>
    <x v="20"/>
    <x v="644"/>
    <x v="0"/>
  </r>
  <r>
    <x v="417"/>
    <x v="277"/>
    <x v="250"/>
    <x v="10"/>
    <x v="12"/>
    <x v="642"/>
    <x v="2"/>
  </r>
  <r>
    <x v="1984"/>
    <x v="110"/>
    <x v="251"/>
    <x v="49"/>
    <x v="22"/>
    <x v="506"/>
    <x v="1"/>
  </r>
  <r>
    <x v="1137"/>
    <x v="290"/>
    <x v="252"/>
    <x v="150"/>
    <x v="18"/>
    <x v="1622"/>
    <x v="1"/>
  </r>
  <r>
    <x v="1492"/>
    <x v="30"/>
    <x v="253"/>
    <x v="235"/>
    <x v="15"/>
    <x v="1376"/>
    <x v="1"/>
  </r>
  <r>
    <x v="789"/>
    <x v="261"/>
    <x v="254"/>
    <x v="10"/>
    <x v="11"/>
    <x v="282"/>
    <x v="1"/>
  </r>
  <r>
    <x v="1925"/>
    <x v="184"/>
    <x v="255"/>
    <x v="15"/>
    <x v="33"/>
    <x v="349"/>
    <x v="1"/>
  </r>
  <r>
    <x v="1156"/>
    <x v="120"/>
    <x v="256"/>
    <x v="36"/>
    <x v="36"/>
    <x v="838"/>
    <x v="2"/>
  </r>
  <r>
    <x v="713"/>
    <x v="38"/>
    <x v="257"/>
    <x v="38"/>
    <x v="34"/>
    <x v="1713"/>
    <x v="2"/>
  </r>
  <r>
    <x v="1208"/>
    <x v="310"/>
    <x v="258"/>
    <x v="14"/>
    <x v="17"/>
    <x v="1001"/>
    <x v="1"/>
  </r>
  <r>
    <x v="1741"/>
    <x v="180"/>
    <x v="259"/>
    <x v="46"/>
    <x v="3"/>
    <x v="170"/>
    <x v="0"/>
  </r>
  <r>
    <x v="1064"/>
    <x v="340"/>
    <x v="260"/>
    <x v="40"/>
    <x v="13"/>
    <x v="485"/>
    <x v="2"/>
  </r>
  <r>
    <x v="1093"/>
    <x v="310"/>
    <x v="261"/>
    <x v="36"/>
    <x v="31"/>
    <x v="1184"/>
    <x v="0"/>
  </r>
  <r>
    <x v="1911"/>
    <x v="138"/>
    <x v="262"/>
    <x v="54"/>
    <x v="32"/>
    <x v="494"/>
    <x v="3"/>
  </r>
  <r>
    <x v="1103"/>
    <x v="52"/>
    <x v="263"/>
    <x v="25"/>
    <x v="1"/>
    <x v="17"/>
    <x v="3"/>
  </r>
  <r>
    <x v="672"/>
    <x v="54"/>
    <x v="264"/>
    <x v="40"/>
    <x v="16"/>
    <x v="531"/>
    <x v="2"/>
  </r>
  <r>
    <x v="1110"/>
    <x v="322"/>
    <x v="265"/>
    <x v="28"/>
    <x v="16"/>
    <x v="1096"/>
    <x v="2"/>
  </r>
  <r>
    <x v="59"/>
    <x v="160"/>
    <x v="266"/>
    <x v="45"/>
    <x v="14"/>
    <x v="1399"/>
    <x v="1"/>
  </r>
  <r>
    <x v="1738"/>
    <x v="28"/>
    <x v="267"/>
    <x v="32"/>
    <x v="29"/>
    <x v="1201"/>
    <x v="1"/>
  </r>
  <r>
    <x v="1554"/>
    <x v="264"/>
    <x v="268"/>
    <x v="30"/>
    <x v="0"/>
    <x v="243"/>
    <x v="2"/>
  </r>
  <r>
    <x v="735"/>
    <x v="91"/>
    <x v="269"/>
    <x v="1"/>
    <x v="34"/>
    <x v="152"/>
    <x v="1"/>
  </r>
  <r>
    <x v="43"/>
    <x v="57"/>
    <x v="270"/>
    <x v="72"/>
    <x v="25"/>
    <x v="973"/>
    <x v="0"/>
  </r>
  <r>
    <x v="644"/>
    <x v="137"/>
    <x v="271"/>
    <x v="42"/>
    <x v="41"/>
    <x v="1106"/>
    <x v="1"/>
  </r>
  <r>
    <x v="673"/>
    <x v="33"/>
    <x v="272"/>
    <x v="57"/>
    <x v="3"/>
    <x v="292"/>
    <x v="0"/>
  </r>
  <r>
    <x v="1174"/>
    <x v="42"/>
    <x v="273"/>
    <x v="226"/>
    <x v="17"/>
    <x v="1508"/>
    <x v="0"/>
  </r>
  <r>
    <x v="1030"/>
    <x v="43"/>
    <x v="274"/>
    <x v="153"/>
    <x v="28"/>
    <x v="1887"/>
    <x v="2"/>
  </r>
  <r>
    <x v="1561"/>
    <x v="239"/>
    <x v="275"/>
    <x v="28"/>
    <x v="15"/>
    <x v="1219"/>
    <x v="2"/>
  </r>
  <r>
    <x v="318"/>
    <x v="219"/>
    <x v="276"/>
    <x v="201"/>
    <x v="31"/>
    <x v="1757"/>
    <x v="1"/>
  </r>
  <r>
    <x v="205"/>
    <x v="314"/>
    <x v="277"/>
    <x v="0"/>
    <x v="40"/>
    <x v="551"/>
    <x v="2"/>
  </r>
  <r>
    <x v="291"/>
    <x v="272"/>
    <x v="278"/>
    <x v="174"/>
    <x v="6"/>
    <x v="1576"/>
    <x v="1"/>
  </r>
  <r>
    <x v="1849"/>
    <x v="10"/>
    <x v="279"/>
    <x v="99"/>
    <x v="27"/>
    <x v="1649"/>
    <x v="1"/>
  </r>
  <r>
    <x v="1142"/>
    <x v="235"/>
    <x v="280"/>
    <x v="80"/>
    <x v="1"/>
    <x v="75"/>
    <x v="1"/>
  </r>
  <r>
    <x v="1289"/>
    <x v="175"/>
    <x v="281"/>
    <x v="2"/>
    <x v="38"/>
    <x v="260"/>
    <x v="3"/>
  </r>
  <r>
    <x v="1209"/>
    <x v="176"/>
    <x v="282"/>
    <x v="3"/>
    <x v="38"/>
    <x v="387"/>
    <x v="3"/>
  </r>
  <r>
    <x v="266"/>
    <x v="77"/>
    <x v="283"/>
    <x v="91"/>
    <x v="36"/>
    <x v="875"/>
    <x v="0"/>
  </r>
  <r>
    <x v="752"/>
    <x v="166"/>
    <x v="284"/>
    <x v="70"/>
    <x v="21"/>
    <x v="1498"/>
    <x v="2"/>
  </r>
  <r>
    <x v="1715"/>
    <x v="236"/>
    <x v="285"/>
    <x v="62"/>
    <x v="15"/>
    <x v="660"/>
    <x v="0"/>
  </r>
  <r>
    <x v="1631"/>
    <x v="16"/>
    <x v="286"/>
    <x v="211"/>
    <x v="14"/>
    <x v="1534"/>
    <x v="0"/>
  </r>
  <r>
    <x v="180"/>
    <x v="116"/>
    <x v="287"/>
    <x v="34"/>
    <x v="30"/>
    <x v="603"/>
    <x v="0"/>
  </r>
  <r>
    <x v="168"/>
    <x v="294"/>
    <x v="288"/>
    <x v="170"/>
    <x v="35"/>
    <x v="1764"/>
    <x v="0"/>
  </r>
  <r>
    <x v="1764"/>
    <x v="300"/>
    <x v="289"/>
    <x v="80"/>
    <x v="38"/>
    <x v="727"/>
    <x v="1"/>
  </r>
  <r>
    <x v="330"/>
    <x v="41"/>
    <x v="290"/>
    <x v="209"/>
    <x v="26"/>
    <x v="1635"/>
    <x v="1"/>
  </r>
  <r>
    <x v="1707"/>
    <x v="303"/>
    <x v="291"/>
    <x v="55"/>
    <x v="12"/>
    <x v="1169"/>
    <x v="0"/>
  </r>
  <r>
    <x v="1618"/>
    <x v="158"/>
    <x v="292"/>
    <x v="3"/>
    <x v="34"/>
    <x v="343"/>
    <x v="1"/>
  </r>
  <r>
    <x v="96"/>
    <x v="240"/>
    <x v="293"/>
    <x v="63"/>
    <x v="16"/>
    <x v="938"/>
    <x v="2"/>
  </r>
  <r>
    <x v="442"/>
    <x v="103"/>
    <x v="294"/>
    <x v="50"/>
    <x v="26"/>
    <x v="519"/>
    <x v="0"/>
  </r>
  <r>
    <x v="1773"/>
    <x v="321"/>
    <x v="295"/>
    <x v="36"/>
    <x v="24"/>
    <x v="1181"/>
    <x v="3"/>
  </r>
  <r>
    <x v="1340"/>
    <x v="329"/>
    <x v="296"/>
    <x v="67"/>
    <x v="49"/>
    <x v="1389"/>
    <x v="2"/>
  </r>
  <r>
    <x v="1002"/>
    <x v="229"/>
    <x v="297"/>
    <x v="6"/>
    <x v="43"/>
    <x v="1447"/>
    <x v="1"/>
  </r>
  <r>
    <x v="425"/>
    <x v="345"/>
    <x v="298"/>
    <x v="130"/>
    <x v="19"/>
    <x v="1221"/>
    <x v="3"/>
  </r>
  <r>
    <x v="629"/>
    <x v="117"/>
    <x v="299"/>
    <x v="65"/>
    <x v="24"/>
    <x v="954"/>
    <x v="0"/>
  </r>
  <r>
    <x v="1138"/>
    <x v="290"/>
    <x v="300"/>
    <x v="88"/>
    <x v="34"/>
    <x v="1223"/>
    <x v="1"/>
  </r>
  <r>
    <x v="1431"/>
    <x v="129"/>
    <x v="301"/>
    <x v="149"/>
    <x v="16"/>
    <x v="1422"/>
    <x v="2"/>
  </r>
  <r>
    <x v="198"/>
    <x v="232"/>
    <x v="302"/>
    <x v="179"/>
    <x v="47"/>
    <x v="1682"/>
    <x v="1"/>
  </r>
  <r>
    <x v="1724"/>
    <x v="294"/>
    <x v="303"/>
    <x v="8"/>
    <x v="46"/>
    <x v="532"/>
    <x v="2"/>
  </r>
  <r>
    <x v="1301"/>
    <x v="107"/>
    <x v="304"/>
    <x v="58"/>
    <x v="43"/>
    <x v="899"/>
    <x v="1"/>
  </r>
  <r>
    <x v="658"/>
    <x v="318"/>
    <x v="305"/>
    <x v="129"/>
    <x v="12"/>
    <x v="1745"/>
    <x v="3"/>
  </r>
  <r>
    <x v="1694"/>
    <x v="293"/>
    <x v="306"/>
    <x v="55"/>
    <x v="35"/>
    <x v="1515"/>
    <x v="1"/>
  </r>
  <r>
    <x v="1162"/>
    <x v="269"/>
    <x v="307"/>
    <x v="4"/>
    <x v="28"/>
    <x v="291"/>
    <x v="2"/>
  </r>
  <r>
    <x v="1912"/>
    <x v="138"/>
    <x v="308"/>
    <x v="87"/>
    <x v="49"/>
    <x v="1773"/>
    <x v="3"/>
  </r>
  <r>
    <x v="1758"/>
    <x v="133"/>
    <x v="309"/>
    <x v="51"/>
    <x v="15"/>
    <x v="347"/>
    <x v="2"/>
  </r>
  <r>
    <x v="1972"/>
    <x v="41"/>
    <x v="310"/>
    <x v="10"/>
    <x v="29"/>
    <x v="491"/>
    <x v="3"/>
  </r>
  <r>
    <x v="191"/>
    <x v="254"/>
    <x v="311"/>
    <x v="150"/>
    <x v="47"/>
    <x v="1512"/>
    <x v="1"/>
  </r>
  <r>
    <x v="1743"/>
    <x v="62"/>
    <x v="312"/>
    <x v="167"/>
    <x v="37"/>
    <x v="1839"/>
    <x v="0"/>
  </r>
  <r>
    <x v="500"/>
    <x v="256"/>
    <x v="313"/>
    <x v="11"/>
    <x v="17"/>
    <x v="110"/>
    <x v="0"/>
  </r>
  <r>
    <x v="406"/>
    <x v="141"/>
    <x v="314"/>
    <x v="73"/>
    <x v="13"/>
    <x v="729"/>
    <x v="1"/>
  </r>
  <r>
    <x v="230"/>
    <x v="41"/>
    <x v="315"/>
    <x v="88"/>
    <x v="27"/>
    <x v="1504"/>
    <x v="0"/>
  </r>
  <r>
    <x v="1956"/>
    <x v="240"/>
    <x v="316"/>
    <x v="179"/>
    <x v="28"/>
    <x v="1571"/>
    <x v="1"/>
  </r>
  <r>
    <x v="770"/>
    <x v="212"/>
    <x v="317"/>
    <x v="192"/>
    <x v="16"/>
    <x v="1127"/>
    <x v="2"/>
  </r>
  <r>
    <x v="1084"/>
    <x v="86"/>
    <x v="318"/>
    <x v="52"/>
    <x v="11"/>
    <x v="301"/>
    <x v="0"/>
  </r>
  <r>
    <x v="579"/>
    <x v="39"/>
    <x v="319"/>
    <x v="156"/>
    <x v="0"/>
    <x v="595"/>
    <x v="2"/>
  </r>
  <r>
    <x v="1774"/>
    <x v="270"/>
    <x v="320"/>
    <x v="42"/>
    <x v="34"/>
    <x v="1454"/>
    <x v="0"/>
  </r>
  <r>
    <x v="485"/>
    <x v="24"/>
    <x v="321"/>
    <x v="46"/>
    <x v="41"/>
    <x v="836"/>
    <x v="2"/>
  </r>
  <r>
    <x v="966"/>
    <x v="156"/>
    <x v="322"/>
    <x v="5"/>
    <x v="46"/>
    <x v="863"/>
    <x v="1"/>
  </r>
  <r>
    <x v="1076"/>
    <x v="324"/>
    <x v="323"/>
    <x v="84"/>
    <x v="24"/>
    <x v="1033"/>
    <x v="1"/>
  </r>
  <r>
    <x v="605"/>
    <x v="167"/>
    <x v="324"/>
    <x v="127"/>
    <x v="4"/>
    <x v="450"/>
    <x v="2"/>
  </r>
  <r>
    <x v="1414"/>
    <x v="112"/>
    <x v="325"/>
    <x v="157"/>
    <x v="10"/>
    <x v="1809"/>
    <x v="0"/>
  </r>
  <r>
    <x v="393"/>
    <x v="331"/>
    <x v="326"/>
    <x v="32"/>
    <x v="36"/>
    <x v="1193"/>
    <x v="0"/>
  </r>
  <r>
    <x v="1630"/>
    <x v="311"/>
    <x v="327"/>
    <x v="55"/>
    <x v="11"/>
    <x v="1409"/>
    <x v="1"/>
  </r>
  <r>
    <x v="1220"/>
    <x v="160"/>
    <x v="328"/>
    <x v="170"/>
    <x v="39"/>
    <x v="1792"/>
    <x v="1"/>
  </r>
  <r>
    <x v="1032"/>
    <x v="35"/>
    <x v="329"/>
    <x v="40"/>
    <x v="34"/>
    <x v="769"/>
    <x v="1"/>
  </r>
  <r>
    <x v="1537"/>
    <x v="150"/>
    <x v="330"/>
    <x v="11"/>
    <x v="47"/>
    <x v="321"/>
    <x v="1"/>
  </r>
  <r>
    <x v="1908"/>
    <x v="136"/>
    <x v="331"/>
    <x v="101"/>
    <x v="27"/>
    <x v="1421"/>
    <x v="1"/>
  </r>
  <r>
    <x v="1194"/>
    <x v="142"/>
    <x v="332"/>
    <x v="28"/>
    <x v="32"/>
    <x v="1306"/>
    <x v="0"/>
  </r>
  <r>
    <x v="1686"/>
    <x v="179"/>
    <x v="333"/>
    <x v="48"/>
    <x v="30"/>
    <x v="840"/>
    <x v="1"/>
  </r>
  <r>
    <x v="486"/>
    <x v="24"/>
    <x v="334"/>
    <x v="143"/>
    <x v="38"/>
    <x v="1799"/>
    <x v="2"/>
  </r>
  <r>
    <x v="882"/>
    <x v="133"/>
    <x v="335"/>
    <x v="9"/>
    <x v="43"/>
    <x v="1207"/>
    <x v="2"/>
  </r>
  <r>
    <x v="1346"/>
    <x v="99"/>
    <x v="336"/>
    <x v="10"/>
    <x v="21"/>
    <x v="298"/>
    <x v="3"/>
  </r>
  <r>
    <x v="1236"/>
    <x v="146"/>
    <x v="337"/>
    <x v="112"/>
    <x v="8"/>
    <x v="1568"/>
    <x v="2"/>
  </r>
  <r>
    <x v="927"/>
    <x v="185"/>
    <x v="338"/>
    <x v="0"/>
    <x v="35"/>
    <x v="715"/>
    <x v="3"/>
  </r>
  <r>
    <x v="103"/>
    <x v="115"/>
    <x v="339"/>
    <x v="150"/>
    <x v="35"/>
    <x v="1803"/>
    <x v="1"/>
  </r>
  <r>
    <x v="669"/>
    <x v="100"/>
    <x v="340"/>
    <x v="18"/>
    <x v="48"/>
    <x v="957"/>
    <x v="0"/>
  </r>
  <r>
    <x v="940"/>
    <x v="274"/>
    <x v="341"/>
    <x v="18"/>
    <x v="32"/>
    <x v="825"/>
    <x v="2"/>
  </r>
  <r>
    <x v="1255"/>
    <x v="103"/>
    <x v="342"/>
    <x v="36"/>
    <x v="6"/>
    <x v="484"/>
    <x v="3"/>
  </r>
  <r>
    <x v="692"/>
    <x v="134"/>
    <x v="343"/>
    <x v="88"/>
    <x v="17"/>
    <x v="987"/>
    <x v="1"/>
  </r>
  <r>
    <x v="1097"/>
    <x v="164"/>
    <x v="344"/>
    <x v="0"/>
    <x v="47"/>
    <x v="604"/>
    <x v="2"/>
  </r>
  <r>
    <x v="394"/>
    <x v="57"/>
    <x v="345"/>
    <x v="36"/>
    <x v="18"/>
    <x v="1678"/>
    <x v="1"/>
  </r>
  <r>
    <x v="1670"/>
    <x v="171"/>
    <x v="346"/>
    <x v="174"/>
    <x v="38"/>
    <x v="1663"/>
    <x v="2"/>
  </r>
  <r>
    <x v="636"/>
    <x v="56"/>
    <x v="347"/>
    <x v="68"/>
    <x v="8"/>
    <x v="180"/>
    <x v="2"/>
  </r>
  <r>
    <x v="936"/>
    <x v="75"/>
    <x v="348"/>
    <x v="25"/>
    <x v="0"/>
    <x v="3"/>
    <x v="1"/>
  </r>
  <r>
    <x v="1740"/>
    <x v="2"/>
    <x v="349"/>
    <x v="70"/>
    <x v="40"/>
    <x v="1931"/>
    <x v="2"/>
  </r>
  <r>
    <x v="1725"/>
    <x v="294"/>
    <x v="350"/>
    <x v="95"/>
    <x v="38"/>
    <x v="792"/>
    <x v="2"/>
  </r>
  <r>
    <x v="1578"/>
    <x v="244"/>
    <x v="351"/>
    <x v="140"/>
    <x v="3"/>
    <x v="369"/>
    <x v="2"/>
  </r>
  <r>
    <x v="25"/>
    <x v="132"/>
    <x v="352"/>
    <x v="144"/>
    <x v="5"/>
    <x v="1404"/>
    <x v="2"/>
  </r>
  <r>
    <x v="555"/>
    <x v="217"/>
    <x v="353"/>
    <x v="211"/>
    <x v="28"/>
    <x v="1670"/>
    <x v="0"/>
  </r>
  <r>
    <x v="1384"/>
    <x v="135"/>
    <x v="354"/>
    <x v="146"/>
    <x v="21"/>
    <x v="1257"/>
    <x v="1"/>
  </r>
  <r>
    <x v="888"/>
    <x v="323"/>
    <x v="355"/>
    <x v="32"/>
    <x v="41"/>
    <x v="1274"/>
    <x v="2"/>
  </r>
  <r>
    <x v="1920"/>
    <x v="332"/>
    <x v="356"/>
    <x v="49"/>
    <x v="5"/>
    <x v="161"/>
    <x v="1"/>
  </r>
  <r>
    <x v="1262"/>
    <x v="153"/>
    <x v="357"/>
    <x v="156"/>
    <x v="8"/>
    <x v="1377"/>
    <x v="0"/>
  </r>
  <r>
    <x v="816"/>
    <x v="84"/>
    <x v="358"/>
    <x v="150"/>
    <x v="5"/>
    <x v="1621"/>
    <x v="1"/>
  </r>
  <r>
    <x v="1579"/>
    <x v="136"/>
    <x v="359"/>
    <x v="91"/>
    <x v="15"/>
    <x v="489"/>
    <x v="2"/>
  </r>
  <r>
    <x v="1133"/>
    <x v="287"/>
    <x v="360"/>
    <x v="170"/>
    <x v="18"/>
    <x v="1486"/>
    <x v="3"/>
  </r>
  <r>
    <x v="348"/>
    <x v="140"/>
    <x v="361"/>
    <x v="1"/>
    <x v="45"/>
    <x v="290"/>
    <x v="1"/>
  </r>
  <r>
    <x v="357"/>
    <x v="65"/>
    <x v="362"/>
    <x v="47"/>
    <x v="22"/>
    <x v="461"/>
    <x v="3"/>
  </r>
  <r>
    <x v="1668"/>
    <x v="32"/>
    <x v="363"/>
    <x v="2"/>
    <x v="31"/>
    <x v="254"/>
    <x v="1"/>
  </r>
  <r>
    <x v="1100"/>
    <x v="8"/>
    <x v="364"/>
    <x v="0"/>
    <x v="12"/>
    <x v="169"/>
    <x v="1"/>
  </r>
  <r>
    <x v="633"/>
    <x v="268"/>
    <x v="365"/>
    <x v="124"/>
    <x v="38"/>
    <x v="1772"/>
    <x v="0"/>
  </r>
  <r>
    <x v="969"/>
    <x v="264"/>
    <x v="366"/>
    <x v="1"/>
    <x v="30"/>
    <x v="495"/>
    <x v="1"/>
  </r>
  <r>
    <x v="1316"/>
    <x v="213"/>
    <x v="367"/>
    <x v="2"/>
    <x v="29"/>
    <x v="231"/>
    <x v="1"/>
  </r>
  <r>
    <x v="1016"/>
    <x v="197"/>
    <x v="368"/>
    <x v="88"/>
    <x v="40"/>
    <x v="1432"/>
    <x v="3"/>
  </r>
  <r>
    <x v="1188"/>
    <x v="121"/>
    <x v="369"/>
    <x v="79"/>
    <x v="47"/>
    <x v="1787"/>
    <x v="3"/>
  </r>
  <r>
    <x v="110"/>
    <x v="352"/>
    <x v="370"/>
    <x v="9"/>
    <x v="17"/>
    <x v="509"/>
    <x v="2"/>
  </r>
  <r>
    <x v="1593"/>
    <x v="190"/>
    <x v="371"/>
    <x v="35"/>
    <x v="38"/>
    <x v="1768"/>
    <x v="1"/>
  </r>
  <r>
    <x v="930"/>
    <x v="180"/>
    <x v="372"/>
    <x v="86"/>
    <x v="2"/>
    <x v="1904"/>
    <x v="0"/>
  </r>
  <r>
    <x v="659"/>
    <x v="8"/>
    <x v="373"/>
    <x v="44"/>
    <x v="2"/>
    <x v="40"/>
    <x v="2"/>
  </r>
  <r>
    <x v="1608"/>
    <x v="219"/>
    <x v="374"/>
    <x v="150"/>
    <x v="27"/>
    <x v="1448"/>
    <x v="0"/>
  </r>
  <r>
    <x v="1249"/>
    <x v="282"/>
    <x v="375"/>
    <x v="225"/>
    <x v="3"/>
    <x v="1345"/>
    <x v="3"/>
  </r>
  <r>
    <x v="1074"/>
    <x v="267"/>
    <x v="376"/>
    <x v="73"/>
    <x v="24"/>
    <x v="940"/>
    <x v="1"/>
  </r>
  <r>
    <x v="257"/>
    <x v="238"/>
    <x v="377"/>
    <x v="20"/>
    <x v="44"/>
    <x v="1224"/>
    <x v="2"/>
  </r>
  <r>
    <x v="1504"/>
    <x v="58"/>
    <x v="378"/>
    <x v="62"/>
    <x v="37"/>
    <x v="1067"/>
    <x v="3"/>
  </r>
  <r>
    <x v="899"/>
    <x v="311"/>
    <x v="379"/>
    <x v="45"/>
    <x v="30"/>
    <x v="568"/>
    <x v="3"/>
  </r>
  <r>
    <x v="446"/>
    <x v="122"/>
    <x v="380"/>
    <x v="189"/>
    <x v="25"/>
    <x v="1700"/>
    <x v="1"/>
  </r>
  <r>
    <x v="1128"/>
    <x v="50"/>
    <x v="381"/>
    <x v="26"/>
    <x v="17"/>
    <x v="329"/>
    <x v="3"/>
  </r>
  <r>
    <x v="1368"/>
    <x v="339"/>
    <x v="382"/>
    <x v="109"/>
    <x v="43"/>
    <x v="926"/>
    <x v="2"/>
  </r>
  <r>
    <x v="1691"/>
    <x v="319"/>
    <x v="383"/>
    <x v="59"/>
    <x v="11"/>
    <x v="313"/>
    <x v="3"/>
  </r>
  <r>
    <x v="1342"/>
    <x v="56"/>
    <x v="384"/>
    <x v="6"/>
    <x v="8"/>
    <x v="45"/>
    <x v="1"/>
  </r>
  <r>
    <x v="409"/>
    <x v="277"/>
    <x v="385"/>
    <x v="124"/>
    <x v="11"/>
    <x v="1972"/>
    <x v="1"/>
  </r>
  <r>
    <x v="1990"/>
    <x v="63"/>
    <x v="386"/>
    <x v="53"/>
    <x v="11"/>
    <x v="481"/>
    <x v="2"/>
  </r>
  <r>
    <x v="250"/>
    <x v="125"/>
    <x v="387"/>
    <x v="219"/>
    <x v="43"/>
    <x v="1918"/>
    <x v="2"/>
  </r>
  <r>
    <x v="1736"/>
    <x v="97"/>
    <x v="388"/>
    <x v="14"/>
    <x v="48"/>
    <x v="1511"/>
    <x v="2"/>
  </r>
  <r>
    <x v="1902"/>
    <x v="145"/>
    <x v="389"/>
    <x v="2"/>
    <x v="21"/>
    <x v="134"/>
    <x v="3"/>
  </r>
  <r>
    <x v="1285"/>
    <x v="161"/>
    <x v="390"/>
    <x v="134"/>
    <x v="9"/>
    <x v="747"/>
    <x v="0"/>
  </r>
  <r>
    <x v="182"/>
    <x v="205"/>
    <x v="391"/>
    <x v="186"/>
    <x v="33"/>
    <x v="1910"/>
    <x v="3"/>
  </r>
  <r>
    <x v="135"/>
    <x v="268"/>
    <x v="392"/>
    <x v="48"/>
    <x v="37"/>
    <x v="975"/>
    <x v="0"/>
  </r>
  <r>
    <x v="1082"/>
    <x v="341"/>
    <x v="393"/>
    <x v="235"/>
    <x v="36"/>
    <x v="1634"/>
    <x v="3"/>
  </r>
  <r>
    <x v="959"/>
    <x v="326"/>
    <x v="394"/>
    <x v="20"/>
    <x v="36"/>
    <x v="1834"/>
    <x v="2"/>
  </r>
  <r>
    <x v="362"/>
    <x v="152"/>
    <x v="395"/>
    <x v="57"/>
    <x v="43"/>
    <x v="1869"/>
    <x v="1"/>
  </r>
  <r>
    <x v="27"/>
    <x v="113"/>
    <x v="396"/>
    <x v="216"/>
    <x v="32"/>
    <x v="1805"/>
    <x v="2"/>
  </r>
  <r>
    <x v="1057"/>
    <x v="281"/>
    <x v="397"/>
    <x v="62"/>
    <x v="9"/>
    <x v="476"/>
    <x v="3"/>
  </r>
  <r>
    <x v="1772"/>
    <x v="290"/>
    <x v="398"/>
    <x v="55"/>
    <x v="1"/>
    <x v="68"/>
    <x v="2"/>
  </r>
  <r>
    <x v="1472"/>
    <x v="264"/>
    <x v="399"/>
    <x v="1"/>
    <x v="44"/>
    <x v="268"/>
    <x v="1"/>
  </r>
  <r>
    <x v="1206"/>
    <x v="260"/>
    <x v="400"/>
    <x v="150"/>
    <x v="48"/>
    <x v="1738"/>
    <x v="3"/>
  </r>
  <r>
    <x v="74"/>
    <x v="244"/>
    <x v="401"/>
    <x v="0"/>
    <x v="39"/>
    <x v="350"/>
    <x v="2"/>
  </r>
  <r>
    <x v="121"/>
    <x v="343"/>
    <x v="402"/>
    <x v="8"/>
    <x v="37"/>
    <x v="395"/>
    <x v="2"/>
  </r>
  <r>
    <x v="853"/>
    <x v="312"/>
    <x v="403"/>
    <x v="9"/>
    <x v="18"/>
    <x v="869"/>
    <x v="3"/>
  </r>
  <r>
    <x v="860"/>
    <x v="98"/>
    <x v="404"/>
    <x v="51"/>
    <x v="39"/>
    <x v="572"/>
    <x v="2"/>
  </r>
  <r>
    <x v="328"/>
    <x v="45"/>
    <x v="405"/>
    <x v="36"/>
    <x v="11"/>
    <x v="1045"/>
    <x v="1"/>
  </r>
  <r>
    <x v="163"/>
    <x v="57"/>
    <x v="406"/>
    <x v="24"/>
    <x v="23"/>
    <x v="649"/>
    <x v="3"/>
  </r>
  <r>
    <x v="1115"/>
    <x v="203"/>
    <x v="407"/>
    <x v="15"/>
    <x v="19"/>
    <x v="345"/>
    <x v="1"/>
  </r>
  <r>
    <x v="722"/>
    <x v="265"/>
    <x v="408"/>
    <x v="234"/>
    <x v="46"/>
    <x v="1948"/>
    <x v="0"/>
  </r>
  <r>
    <x v="1046"/>
    <x v="320"/>
    <x v="409"/>
    <x v="53"/>
    <x v="22"/>
    <x v="482"/>
    <x v="0"/>
  </r>
  <r>
    <x v="1844"/>
    <x v="88"/>
    <x v="410"/>
    <x v="25"/>
    <x v="27"/>
    <x v="574"/>
    <x v="1"/>
  </r>
  <r>
    <x v="1942"/>
    <x v="88"/>
    <x v="411"/>
    <x v="1"/>
    <x v="47"/>
    <x v="627"/>
    <x v="1"/>
  </r>
  <r>
    <x v="4"/>
    <x v="284"/>
    <x v="412"/>
    <x v="17"/>
    <x v="29"/>
    <x v="843"/>
    <x v="1"/>
  </r>
  <r>
    <x v="1018"/>
    <x v="110"/>
    <x v="413"/>
    <x v="6"/>
    <x v="22"/>
    <x v="718"/>
    <x v="1"/>
  </r>
  <r>
    <x v="878"/>
    <x v="128"/>
    <x v="414"/>
    <x v="42"/>
    <x v="37"/>
    <x v="1489"/>
    <x v="3"/>
  </r>
  <r>
    <x v="612"/>
    <x v="237"/>
    <x v="415"/>
    <x v="59"/>
    <x v="29"/>
    <x v="967"/>
    <x v="2"/>
  </r>
  <r>
    <x v="1270"/>
    <x v="143"/>
    <x v="416"/>
    <x v="36"/>
    <x v="15"/>
    <x v="1152"/>
    <x v="2"/>
  </r>
  <r>
    <x v="793"/>
    <x v="213"/>
    <x v="417"/>
    <x v="128"/>
    <x v="22"/>
    <x v="1308"/>
    <x v="3"/>
  </r>
  <r>
    <x v="458"/>
    <x v="121"/>
    <x v="418"/>
    <x v="36"/>
    <x v="34"/>
    <x v="1327"/>
    <x v="1"/>
  </r>
  <r>
    <x v="886"/>
    <x v="44"/>
    <x v="419"/>
    <x v="20"/>
    <x v="36"/>
    <x v="724"/>
    <x v="2"/>
  </r>
  <r>
    <x v="768"/>
    <x v="7"/>
    <x v="420"/>
    <x v="150"/>
    <x v="33"/>
    <x v="1929"/>
    <x v="0"/>
  </r>
  <r>
    <x v="790"/>
    <x v="81"/>
    <x v="421"/>
    <x v="88"/>
    <x v="19"/>
    <x v="1614"/>
    <x v="0"/>
  </r>
  <r>
    <x v="953"/>
    <x v="194"/>
    <x v="422"/>
    <x v="63"/>
    <x v="42"/>
    <x v="1268"/>
    <x v="1"/>
  </r>
  <r>
    <x v="418"/>
    <x v="50"/>
    <x v="423"/>
    <x v="45"/>
    <x v="1"/>
    <x v="365"/>
    <x v="2"/>
  </r>
  <r>
    <x v="140"/>
    <x v="188"/>
    <x v="424"/>
    <x v="88"/>
    <x v="27"/>
    <x v="1355"/>
    <x v="3"/>
  </r>
  <r>
    <x v="1556"/>
    <x v="200"/>
    <x v="425"/>
    <x v="42"/>
    <x v="43"/>
    <x v="722"/>
    <x v="1"/>
  </r>
  <r>
    <x v="93"/>
    <x v="254"/>
    <x v="426"/>
    <x v="104"/>
    <x v="31"/>
    <x v="1055"/>
    <x v="3"/>
  </r>
  <r>
    <x v="783"/>
    <x v="70"/>
    <x v="427"/>
    <x v="46"/>
    <x v="35"/>
    <x v="586"/>
    <x v="1"/>
  </r>
  <r>
    <x v="1491"/>
    <x v="347"/>
    <x v="428"/>
    <x v="88"/>
    <x v="2"/>
    <x v="1029"/>
    <x v="0"/>
  </r>
  <r>
    <x v="1359"/>
    <x v="104"/>
    <x v="429"/>
    <x v="185"/>
    <x v="7"/>
    <x v="1199"/>
    <x v="2"/>
  </r>
  <r>
    <x v="1011"/>
    <x v="318"/>
    <x v="430"/>
    <x v="49"/>
    <x v="22"/>
    <x v="796"/>
    <x v="2"/>
  </r>
  <r>
    <x v="618"/>
    <x v="95"/>
    <x v="431"/>
    <x v="44"/>
    <x v="28"/>
    <x v="207"/>
    <x v="3"/>
  </r>
  <r>
    <x v="403"/>
    <x v="88"/>
    <x v="432"/>
    <x v="99"/>
    <x v="31"/>
    <x v="1087"/>
    <x v="1"/>
  </r>
  <r>
    <x v="1994"/>
    <x v="143"/>
    <x v="433"/>
    <x v="47"/>
    <x v="11"/>
    <x v="935"/>
    <x v="2"/>
  </r>
  <r>
    <x v="1088"/>
    <x v="247"/>
    <x v="434"/>
    <x v="87"/>
    <x v="37"/>
    <x v="794"/>
    <x v="1"/>
  </r>
  <r>
    <x v="1419"/>
    <x v="135"/>
    <x v="435"/>
    <x v="55"/>
    <x v="45"/>
    <x v="995"/>
    <x v="1"/>
  </r>
  <r>
    <x v="1290"/>
    <x v="175"/>
    <x v="436"/>
    <x v="59"/>
    <x v="23"/>
    <x v="371"/>
    <x v="3"/>
  </r>
  <r>
    <x v="621"/>
    <x v="322"/>
    <x v="437"/>
    <x v="17"/>
    <x v="43"/>
    <x v="535"/>
    <x v="1"/>
  </r>
  <r>
    <x v="954"/>
    <x v="194"/>
    <x v="438"/>
    <x v="150"/>
    <x v="5"/>
    <x v="1163"/>
    <x v="1"/>
  </r>
  <r>
    <x v="1566"/>
    <x v="152"/>
    <x v="439"/>
    <x v="52"/>
    <x v="42"/>
    <x v="527"/>
    <x v="1"/>
  </r>
  <r>
    <x v="353"/>
    <x v="242"/>
    <x v="440"/>
    <x v="119"/>
    <x v="4"/>
    <x v="337"/>
    <x v="3"/>
  </r>
  <r>
    <x v="1383"/>
    <x v="119"/>
    <x v="441"/>
    <x v="60"/>
    <x v="44"/>
    <x v="1043"/>
    <x v="2"/>
  </r>
  <r>
    <x v="1917"/>
    <x v="177"/>
    <x v="442"/>
    <x v="32"/>
    <x v="38"/>
    <x v="892"/>
    <x v="1"/>
  </r>
  <r>
    <x v="1203"/>
    <x v="178"/>
    <x v="443"/>
    <x v="236"/>
    <x v="46"/>
    <x v="1949"/>
    <x v="3"/>
  </r>
  <r>
    <x v="1242"/>
    <x v="350"/>
    <x v="444"/>
    <x v="4"/>
    <x v="13"/>
    <x v="114"/>
    <x v="1"/>
  </r>
  <r>
    <x v="1727"/>
    <x v="23"/>
    <x v="445"/>
    <x v="49"/>
    <x v="18"/>
    <x v="327"/>
    <x v="1"/>
  </r>
  <r>
    <x v="1966"/>
    <x v="76"/>
    <x v="446"/>
    <x v="215"/>
    <x v="45"/>
    <x v="1709"/>
    <x v="1"/>
  </r>
  <r>
    <x v="929"/>
    <x v="235"/>
    <x v="447"/>
    <x v="88"/>
    <x v="7"/>
    <x v="1041"/>
    <x v="0"/>
  </r>
  <r>
    <x v="1454"/>
    <x v="311"/>
    <x v="448"/>
    <x v="24"/>
    <x v="38"/>
    <x v="858"/>
    <x v="1"/>
  </r>
  <r>
    <x v="1988"/>
    <x v="63"/>
    <x v="449"/>
    <x v="53"/>
    <x v="40"/>
    <x v="764"/>
    <x v="1"/>
  </r>
  <r>
    <x v="1645"/>
    <x v="259"/>
    <x v="450"/>
    <x v="70"/>
    <x v="6"/>
    <x v="362"/>
    <x v="1"/>
  </r>
  <r>
    <x v="597"/>
    <x v="342"/>
    <x v="451"/>
    <x v="25"/>
    <x v="40"/>
    <x v="554"/>
    <x v="2"/>
  </r>
  <r>
    <x v="1464"/>
    <x v="161"/>
    <x v="452"/>
    <x v="37"/>
    <x v="27"/>
    <x v="1098"/>
    <x v="3"/>
  </r>
  <r>
    <x v="410"/>
    <x v="300"/>
    <x v="453"/>
    <x v="109"/>
    <x v="32"/>
    <x v="757"/>
    <x v="3"/>
  </r>
  <r>
    <x v="1906"/>
    <x v="308"/>
    <x v="454"/>
    <x v="44"/>
    <x v="41"/>
    <x v="672"/>
    <x v="0"/>
  </r>
  <r>
    <x v="1916"/>
    <x v="127"/>
    <x v="455"/>
    <x v="59"/>
    <x v="23"/>
    <x v="612"/>
    <x v="0"/>
  </r>
  <r>
    <x v="963"/>
    <x v="195"/>
    <x v="456"/>
    <x v="14"/>
    <x v="2"/>
    <x v="199"/>
    <x v="3"/>
  </r>
  <r>
    <x v="1871"/>
    <x v="313"/>
    <x v="457"/>
    <x v="113"/>
    <x v="14"/>
    <x v="1338"/>
    <x v="3"/>
  </r>
  <r>
    <x v="1817"/>
    <x v="184"/>
    <x v="458"/>
    <x v="52"/>
    <x v="13"/>
    <x v="897"/>
    <x v="2"/>
  </r>
  <r>
    <x v="1548"/>
    <x v="338"/>
    <x v="459"/>
    <x v="192"/>
    <x v="33"/>
    <x v="1324"/>
    <x v="2"/>
  </r>
  <r>
    <x v="1031"/>
    <x v="43"/>
    <x v="460"/>
    <x v="170"/>
    <x v="21"/>
    <x v="1703"/>
    <x v="2"/>
  </r>
  <r>
    <x v="1049"/>
    <x v="195"/>
    <x v="461"/>
    <x v="156"/>
    <x v="11"/>
    <x v="1705"/>
    <x v="2"/>
  </r>
  <r>
    <x v="660"/>
    <x v="8"/>
    <x v="462"/>
    <x v="48"/>
    <x v="34"/>
    <x v="1005"/>
    <x v="2"/>
  </r>
  <r>
    <x v="1699"/>
    <x v="144"/>
    <x v="463"/>
    <x v="4"/>
    <x v="18"/>
    <x v="173"/>
    <x v="0"/>
  </r>
  <r>
    <x v="1379"/>
    <x v="326"/>
    <x v="464"/>
    <x v="14"/>
    <x v="4"/>
    <x v="189"/>
    <x v="1"/>
  </r>
  <r>
    <x v="1511"/>
    <x v="34"/>
    <x v="465"/>
    <x v="60"/>
    <x v="26"/>
    <x v="1371"/>
    <x v="0"/>
  </r>
  <r>
    <x v="1112"/>
    <x v="296"/>
    <x v="466"/>
    <x v="90"/>
    <x v="10"/>
    <x v="1048"/>
    <x v="2"/>
  </r>
  <r>
    <x v="315"/>
    <x v="89"/>
    <x v="467"/>
    <x v="175"/>
    <x v="23"/>
    <x v="1849"/>
    <x v="0"/>
  </r>
  <r>
    <x v="1874"/>
    <x v="140"/>
    <x v="468"/>
    <x v="0"/>
    <x v="17"/>
    <x v="431"/>
    <x v="3"/>
  </r>
  <r>
    <x v="1017"/>
    <x v="197"/>
    <x v="469"/>
    <x v="67"/>
    <x v="19"/>
    <x v="339"/>
    <x v="3"/>
  </r>
  <r>
    <x v="1918"/>
    <x v="177"/>
    <x v="470"/>
    <x v="63"/>
    <x v="7"/>
    <x v="786"/>
    <x v="1"/>
  </r>
  <r>
    <x v="515"/>
    <x v="195"/>
    <x v="471"/>
    <x v="41"/>
    <x v="49"/>
    <x v="1089"/>
    <x v="2"/>
  </r>
  <r>
    <x v="513"/>
    <x v="62"/>
    <x v="472"/>
    <x v="54"/>
    <x v="43"/>
    <x v="731"/>
    <x v="1"/>
  </r>
  <r>
    <x v="1499"/>
    <x v="139"/>
    <x v="473"/>
    <x v="10"/>
    <x v="14"/>
    <x v="230"/>
    <x v="1"/>
  </r>
  <r>
    <x v="771"/>
    <x v="212"/>
    <x v="474"/>
    <x v="44"/>
    <x v="3"/>
    <x v="71"/>
    <x v="2"/>
  </r>
  <r>
    <x v="604"/>
    <x v="251"/>
    <x v="475"/>
    <x v="57"/>
    <x v="16"/>
    <x v="930"/>
    <x v="3"/>
  </r>
  <r>
    <x v="314"/>
    <x v="127"/>
    <x v="476"/>
    <x v="9"/>
    <x v="22"/>
    <x v="934"/>
    <x v="2"/>
  </r>
  <r>
    <x v="1819"/>
    <x v="330"/>
    <x v="477"/>
    <x v="20"/>
    <x v="37"/>
    <x v="1565"/>
    <x v="2"/>
  </r>
  <r>
    <x v="36"/>
    <x v="72"/>
    <x v="478"/>
    <x v="1"/>
    <x v="34"/>
    <x v="143"/>
    <x v="3"/>
  </r>
  <r>
    <x v="1494"/>
    <x v="254"/>
    <x v="479"/>
    <x v="84"/>
    <x v="37"/>
    <x v="902"/>
    <x v="1"/>
  </r>
  <r>
    <x v="1135"/>
    <x v="83"/>
    <x v="480"/>
    <x v="32"/>
    <x v="0"/>
    <x v="73"/>
    <x v="1"/>
  </r>
  <r>
    <x v="1168"/>
    <x v="8"/>
    <x v="481"/>
    <x v="229"/>
    <x v="27"/>
    <x v="1828"/>
    <x v="1"/>
  </r>
  <r>
    <x v="1628"/>
    <x v="138"/>
    <x v="482"/>
    <x v="51"/>
    <x v="47"/>
    <x v="682"/>
    <x v="2"/>
  </r>
  <r>
    <x v="1371"/>
    <x v="193"/>
    <x v="483"/>
    <x v="70"/>
    <x v="0"/>
    <x v="43"/>
    <x v="1"/>
  </r>
  <r>
    <x v="1152"/>
    <x v="179"/>
    <x v="484"/>
    <x v="206"/>
    <x v="37"/>
    <x v="1979"/>
    <x v="1"/>
  </r>
  <r>
    <x v="1692"/>
    <x v="319"/>
    <x v="485"/>
    <x v="156"/>
    <x v="2"/>
    <x v="1969"/>
    <x v="3"/>
  </r>
  <r>
    <x v="1185"/>
    <x v="208"/>
    <x v="486"/>
    <x v="150"/>
    <x v="41"/>
    <x v="1850"/>
    <x v="1"/>
  </r>
  <r>
    <x v="335"/>
    <x v="186"/>
    <x v="487"/>
    <x v="195"/>
    <x v="6"/>
    <x v="943"/>
    <x v="1"/>
  </r>
  <r>
    <x v="1636"/>
    <x v="54"/>
    <x v="488"/>
    <x v="65"/>
    <x v="8"/>
    <x v="1039"/>
    <x v="1"/>
  </r>
  <r>
    <x v="1752"/>
    <x v="255"/>
    <x v="489"/>
    <x v="36"/>
    <x v="6"/>
    <x v="717"/>
    <x v="2"/>
  </r>
  <r>
    <x v="615"/>
    <x v="178"/>
    <x v="490"/>
    <x v="54"/>
    <x v="43"/>
    <x v="839"/>
    <x v="2"/>
  </r>
  <r>
    <x v="156"/>
    <x v="154"/>
    <x v="491"/>
    <x v="185"/>
    <x v="7"/>
    <x v="1230"/>
    <x v="0"/>
  </r>
  <r>
    <x v="698"/>
    <x v="30"/>
    <x v="492"/>
    <x v="97"/>
    <x v="23"/>
    <x v="508"/>
    <x v="2"/>
  </r>
  <r>
    <x v="1341"/>
    <x v="329"/>
    <x v="493"/>
    <x v="150"/>
    <x v="18"/>
    <x v="1878"/>
    <x v="2"/>
  </r>
  <r>
    <x v="1516"/>
    <x v="201"/>
    <x v="494"/>
    <x v="2"/>
    <x v="30"/>
    <x v="504"/>
    <x v="0"/>
  </r>
  <r>
    <x v="1363"/>
    <x v="101"/>
    <x v="495"/>
    <x v="55"/>
    <x v="38"/>
    <x v="1718"/>
    <x v="2"/>
  </r>
  <r>
    <x v="764"/>
    <x v="97"/>
    <x v="496"/>
    <x v="88"/>
    <x v="19"/>
    <x v="1326"/>
    <x v="3"/>
  </r>
  <r>
    <x v="1710"/>
    <x v="320"/>
    <x v="497"/>
    <x v="55"/>
    <x v="0"/>
    <x v="185"/>
    <x v="1"/>
  </r>
  <r>
    <x v="278"/>
    <x v="130"/>
    <x v="498"/>
    <x v="56"/>
    <x v="40"/>
    <x v="813"/>
    <x v="0"/>
  </r>
  <r>
    <x v="826"/>
    <x v="1"/>
    <x v="499"/>
    <x v="20"/>
    <x v="19"/>
    <x v="1477"/>
    <x v="2"/>
  </r>
  <r>
    <x v="1347"/>
    <x v="238"/>
    <x v="500"/>
    <x v="76"/>
    <x v="7"/>
    <x v="179"/>
    <x v="3"/>
  </r>
  <r>
    <x v="1116"/>
    <x v="2"/>
    <x v="501"/>
    <x v="27"/>
    <x v="49"/>
    <x v="1136"/>
    <x v="1"/>
  </r>
  <r>
    <x v="494"/>
    <x v="37"/>
    <x v="502"/>
    <x v="88"/>
    <x v="9"/>
    <x v="1291"/>
    <x v="3"/>
  </r>
  <r>
    <x v="976"/>
    <x v="310"/>
    <x v="503"/>
    <x v="20"/>
    <x v="28"/>
    <x v="1643"/>
    <x v="1"/>
  </r>
  <r>
    <x v="1435"/>
    <x v="226"/>
    <x v="504"/>
    <x v="5"/>
    <x v="42"/>
    <x v="1203"/>
    <x v="1"/>
  </r>
  <r>
    <x v="142"/>
    <x v="134"/>
    <x v="505"/>
    <x v="88"/>
    <x v="16"/>
    <x v="972"/>
    <x v="0"/>
  </r>
  <r>
    <x v="1380"/>
    <x v="140"/>
    <x v="506"/>
    <x v="44"/>
    <x v="48"/>
    <x v="1275"/>
    <x v="2"/>
  </r>
  <r>
    <x v="459"/>
    <x v="219"/>
    <x v="507"/>
    <x v="8"/>
    <x v="3"/>
    <x v="28"/>
    <x v="2"/>
  </r>
  <r>
    <x v="8"/>
    <x v="282"/>
    <x v="508"/>
    <x v="42"/>
    <x v="24"/>
    <x v="427"/>
    <x v="0"/>
  </r>
  <r>
    <x v="1639"/>
    <x v="42"/>
    <x v="509"/>
    <x v="18"/>
    <x v="33"/>
    <x v="974"/>
    <x v="3"/>
  </r>
  <r>
    <x v="655"/>
    <x v="346"/>
    <x v="510"/>
    <x v="217"/>
    <x v="14"/>
    <x v="1679"/>
    <x v="2"/>
  </r>
  <r>
    <x v="1501"/>
    <x v="138"/>
    <x v="511"/>
    <x v="156"/>
    <x v="27"/>
    <x v="1957"/>
    <x v="3"/>
  </r>
  <r>
    <x v="778"/>
    <x v="60"/>
    <x v="512"/>
    <x v="55"/>
    <x v="18"/>
    <x v="436"/>
    <x v="1"/>
  </r>
  <r>
    <x v="1534"/>
    <x v="350"/>
    <x v="513"/>
    <x v="2"/>
    <x v="32"/>
    <x v="559"/>
    <x v="2"/>
  </r>
  <r>
    <x v="30"/>
    <x v="160"/>
    <x v="514"/>
    <x v="76"/>
    <x v="11"/>
    <x v="330"/>
    <x v="1"/>
  </r>
  <r>
    <x v="157"/>
    <x v="154"/>
    <x v="515"/>
    <x v="36"/>
    <x v="25"/>
    <x v="753"/>
    <x v="0"/>
  </r>
  <r>
    <x v="349"/>
    <x v="140"/>
    <x v="516"/>
    <x v="150"/>
    <x v="24"/>
    <x v="1264"/>
    <x v="1"/>
  </r>
  <r>
    <x v="1540"/>
    <x v="265"/>
    <x v="517"/>
    <x v="4"/>
    <x v="39"/>
    <x v="396"/>
    <x v="2"/>
  </r>
  <r>
    <x v="1572"/>
    <x v="65"/>
    <x v="518"/>
    <x v="68"/>
    <x v="29"/>
    <x v="605"/>
    <x v="1"/>
  </r>
  <r>
    <x v="203"/>
    <x v="39"/>
    <x v="519"/>
    <x v="150"/>
    <x v="40"/>
    <x v="1958"/>
    <x v="3"/>
  </r>
  <r>
    <x v="1314"/>
    <x v="339"/>
    <x v="520"/>
    <x v="7"/>
    <x v="27"/>
    <x v="581"/>
    <x v="3"/>
  </r>
  <r>
    <x v="530"/>
    <x v="58"/>
    <x v="521"/>
    <x v="20"/>
    <x v="45"/>
    <x v="1879"/>
    <x v="1"/>
  </r>
  <r>
    <x v="124"/>
    <x v="73"/>
    <x v="522"/>
    <x v="35"/>
    <x v="13"/>
    <x v="994"/>
    <x v="2"/>
  </r>
  <r>
    <x v="999"/>
    <x v="339"/>
    <x v="523"/>
    <x v="88"/>
    <x v="25"/>
    <x v="706"/>
    <x v="2"/>
  </r>
  <r>
    <x v="807"/>
    <x v="247"/>
    <x v="524"/>
    <x v="14"/>
    <x v="14"/>
    <x v="1047"/>
    <x v="0"/>
  </r>
  <r>
    <x v="609"/>
    <x v="341"/>
    <x v="525"/>
    <x v="88"/>
    <x v="9"/>
    <x v="703"/>
    <x v="1"/>
  </r>
  <r>
    <x v="613"/>
    <x v="261"/>
    <x v="526"/>
    <x v="49"/>
    <x v="39"/>
    <x v="557"/>
    <x v="0"/>
  </r>
  <r>
    <x v="1401"/>
    <x v="282"/>
    <x v="527"/>
    <x v="25"/>
    <x v="10"/>
    <x v="147"/>
    <x v="1"/>
  </r>
  <r>
    <x v="116"/>
    <x v="176"/>
    <x v="528"/>
    <x v="71"/>
    <x v="32"/>
    <x v="904"/>
    <x v="0"/>
  </r>
  <r>
    <x v="490"/>
    <x v="309"/>
    <x v="529"/>
    <x v="0"/>
    <x v="12"/>
    <x v="319"/>
    <x v="2"/>
  </r>
  <r>
    <x v="774"/>
    <x v="186"/>
    <x v="530"/>
    <x v="20"/>
    <x v="6"/>
    <x v="964"/>
    <x v="1"/>
  </r>
  <r>
    <x v="1655"/>
    <x v="340"/>
    <x v="531"/>
    <x v="109"/>
    <x v="39"/>
    <x v="890"/>
    <x v="1"/>
  </r>
  <r>
    <x v="448"/>
    <x v="96"/>
    <x v="532"/>
    <x v="47"/>
    <x v="36"/>
    <x v="1401"/>
    <x v="3"/>
  </r>
  <r>
    <x v="341"/>
    <x v="314"/>
    <x v="533"/>
    <x v="111"/>
    <x v="37"/>
    <x v="1920"/>
    <x v="0"/>
  </r>
  <r>
    <x v="1665"/>
    <x v="339"/>
    <x v="534"/>
    <x v="29"/>
    <x v="41"/>
    <x v="1038"/>
    <x v="1"/>
  </r>
  <r>
    <x v="295"/>
    <x v="89"/>
    <x v="535"/>
    <x v="3"/>
    <x v="25"/>
    <x v="418"/>
    <x v="0"/>
  </r>
  <r>
    <x v="1021"/>
    <x v="81"/>
    <x v="536"/>
    <x v="174"/>
    <x v="43"/>
    <x v="1831"/>
    <x v="1"/>
  </r>
  <r>
    <x v="1044"/>
    <x v="297"/>
    <x v="537"/>
    <x v="46"/>
    <x v="8"/>
    <x v="913"/>
    <x v="0"/>
  </r>
  <r>
    <x v="1218"/>
    <x v="16"/>
    <x v="538"/>
    <x v="11"/>
    <x v="45"/>
    <x v="617"/>
    <x v="2"/>
  </r>
  <r>
    <x v="1424"/>
    <x v="107"/>
    <x v="539"/>
    <x v="152"/>
    <x v="49"/>
    <x v="1611"/>
    <x v="2"/>
  </r>
  <r>
    <x v="543"/>
    <x v="112"/>
    <x v="540"/>
    <x v="57"/>
    <x v="47"/>
    <x v="1597"/>
    <x v="0"/>
  </r>
  <r>
    <x v="421"/>
    <x v="9"/>
    <x v="541"/>
    <x v="10"/>
    <x v="5"/>
    <x v="37"/>
    <x v="1"/>
  </r>
  <r>
    <x v="995"/>
    <x v="4"/>
    <x v="542"/>
    <x v="157"/>
    <x v="31"/>
    <x v="1950"/>
    <x v="0"/>
  </r>
  <r>
    <x v="598"/>
    <x v="254"/>
    <x v="543"/>
    <x v="235"/>
    <x v="18"/>
    <x v="1320"/>
    <x v="1"/>
  </r>
  <r>
    <x v="1320"/>
    <x v="117"/>
    <x v="544"/>
    <x v="208"/>
    <x v="7"/>
    <x v="1298"/>
    <x v="1"/>
  </r>
  <r>
    <x v="565"/>
    <x v="302"/>
    <x v="545"/>
    <x v="87"/>
    <x v="36"/>
    <x v="1141"/>
    <x v="0"/>
  </r>
  <r>
    <x v="1350"/>
    <x v="245"/>
    <x v="546"/>
    <x v="170"/>
    <x v="17"/>
    <x v="1573"/>
    <x v="1"/>
  </r>
  <r>
    <x v="1008"/>
    <x v="34"/>
    <x v="547"/>
    <x v="50"/>
    <x v="30"/>
    <x v="643"/>
    <x v="1"/>
  </r>
  <r>
    <x v="1303"/>
    <x v="34"/>
    <x v="548"/>
    <x v="29"/>
    <x v="10"/>
    <x v="221"/>
    <x v="2"/>
  </r>
  <r>
    <x v="471"/>
    <x v="308"/>
    <x v="549"/>
    <x v="5"/>
    <x v="23"/>
    <x v="125"/>
    <x v="1"/>
  </r>
  <r>
    <x v="1272"/>
    <x v="220"/>
    <x v="550"/>
    <x v="51"/>
    <x v="21"/>
    <x v="466"/>
    <x v="1"/>
  </r>
  <r>
    <x v="387"/>
    <x v="158"/>
    <x v="551"/>
    <x v="44"/>
    <x v="20"/>
    <x v="166"/>
    <x v="2"/>
  </r>
  <r>
    <x v="1863"/>
    <x v="133"/>
    <x v="552"/>
    <x v="99"/>
    <x v="8"/>
    <x v="228"/>
    <x v="3"/>
  </r>
  <r>
    <x v="1287"/>
    <x v="148"/>
    <x v="553"/>
    <x v="124"/>
    <x v="43"/>
    <x v="1865"/>
    <x v="2"/>
  </r>
  <r>
    <x v="1364"/>
    <x v="254"/>
    <x v="554"/>
    <x v="107"/>
    <x v="6"/>
    <x v="409"/>
    <x v="2"/>
  </r>
  <r>
    <x v="1708"/>
    <x v="303"/>
    <x v="555"/>
    <x v="169"/>
    <x v="9"/>
    <x v="1545"/>
    <x v="0"/>
  </r>
  <r>
    <x v="1283"/>
    <x v="256"/>
    <x v="556"/>
    <x v="197"/>
    <x v="6"/>
    <x v="1071"/>
    <x v="0"/>
  </r>
  <r>
    <x v="1317"/>
    <x v="213"/>
    <x v="557"/>
    <x v="144"/>
    <x v="40"/>
    <x v="1899"/>
    <x v="1"/>
  </r>
  <r>
    <x v="558"/>
    <x v="247"/>
    <x v="558"/>
    <x v="88"/>
    <x v="9"/>
    <x v="1468"/>
    <x v="0"/>
  </r>
  <r>
    <x v="1701"/>
    <x v="95"/>
    <x v="559"/>
    <x v="0"/>
    <x v="36"/>
    <x v="655"/>
    <x v="2"/>
  </r>
  <r>
    <x v="871"/>
    <x v="25"/>
    <x v="560"/>
    <x v="107"/>
    <x v="16"/>
    <x v="676"/>
    <x v="0"/>
  </r>
  <r>
    <x v="775"/>
    <x v="94"/>
    <x v="561"/>
    <x v="216"/>
    <x v="10"/>
    <x v="1513"/>
    <x v="2"/>
  </r>
  <r>
    <x v="42"/>
    <x v="306"/>
    <x v="562"/>
    <x v="49"/>
    <x v="16"/>
    <x v="358"/>
    <x v="2"/>
  </r>
  <r>
    <x v="943"/>
    <x v="218"/>
    <x v="563"/>
    <x v="54"/>
    <x v="25"/>
    <x v="558"/>
    <x v="2"/>
  </r>
  <r>
    <x v="1035"/>
    <x v="29"/>
    <x v="564"/>
    <x v="5"/>
    <x v="3"/>
    <x v="24"/>
    <x v="2"/>
  </r>
  <r>
    <x v="821"/>
    <x v="3"/>
    <x v="565"/>
    <x v="47"/>
    <x v="13"/>
    <x v="1114"/>
    <x v="2"/>
  </r>
  <r>
    <x v="1865"/>
    <x v="196"/>
    <x v="566"/>
    <x v="79"/>
    <x v="47"/>
    <x v="1783"/>
    <x v="0"/>
  </r>
  <r>
    <x v="1001"/>
    <x v="26"/>
    <x v="567"/>
    <x v="118"/>
    <x v="30"/>
    <x v="1233"/>
    <x v="2"/>
  </r>
  <r>
    <x v="234"/>
    <x v="148"/>
    <x v="568"/>
    <x v="22"/>
    <x v="45"/>
    <x v="865"/>
    <x v="3"/>
  </r>
  <r>
    <x v="1351"/>
    <x v="245"/>
    <x v="569"/>
    <x v="53"/>
    <x v="31"/>
    <x v="849"/>
    <x v="1"/>
  </r>
  <r>
    <x v="1144"/>
    <x v="39"/>
    <x v="570"/>
    <x v="84"/>
    <x v="9"/>
    <x v="315"/>
    <x v="2"/>
  </r>
  <r>
    <x v="753"/>
    <x v="202"/>
    <x v="571"/>
    <x v="55"/>
    <x v="47"/>
    <x v="1140"/>
    <x v="3"/>
  </r>
  <r>
    <x v="372"/>
    <x v="282"/>
    <x v="572"/>
    <x v="7"/>
    <x v="15"/>
    <x v="384"/>
    <x v="3"/>
  </r>
  <r>
    <x v="900"/>
    <x v="311"/>
    <x v="573"/>
    <x v="156"/>
    <x v="39"/>
    <x v="1885"/>
    <x v="3"/>
  </r>
  <r>
    <x v="1166"/>
    <x v="304"/>
    <x v="574"/>
    <x v="95"/>
    <x v="37"/>
    <x v="1595"/>
    <x v="3"/>
  </r>
  <r>
    <x v="237"/>
    <x v="132"/>
    <x v="575"/>
    <x v="7"/>
    <x v="33"/>
    <x v="1175"/>
    <x v="0"/>
  </r>
  <r>
    <x v="647"/>
    <x v="205"/>
    <x v="576"/>
    <x v="20"/>
    <x v="22"/>
    <x v="357"/>
    <x v="1"/>
  </r>
  <r>
    <x v="462"/>
    <x v="207"/>
    <x v="577"/>
    <x v="20"/>
    <x v="9"/>
    <x v="1287"/>
    <x v="3"/>
  </r>
  <r>
    <x v="1063"/>
    <x v="120"/>
    <x v="578"/>
    <x v="174"/>
    <x v="7"/>
    <x v="1211"/>
    <x v="1"/>
  </r>
  <r>
    <x v="840"/>
    <x v="204"/>
    <x v="579"/>
    <x v="198"/>
    <x v="35"/>
    <x v="1785"/>
    <x v="2"/>
  </r>
  <r>
    <x v="1337"/>
    <x v="8"/>
    <x v="580"/>
    <x v="5"/>
    <x v="49"/>
    <x v="1273"/>
    <x v="1"/>
  </r>
  <r>
    <x v="710"/>
    <x v="340"/>
    <x v="581"/>
    <x v="15"/>
    <x v="5"/>
    <x v="186"/>
    <x v="0"/>
  </r>
  <r>
    <x v="911"/>
    <x v="292"/>
    <x v="582"/>
    <x v="45"/>
    <x v="37"/>
    <x v="1046"/>
    <x v="2"/>
  </r>
  <r>
    <x v="84"/>
    <x v="272"/>
    <x v="583"/>
    <x v="0"/>
    <x v="38"/>
    <x v="831"/>
    <x v="1"/>
  </r>
  <r>
    <x v="1263"/>
    <x v="153"/>
    <x v="584"/>
    <x v="7"/>
    <x v="9"/>
    <x v="1063"/>
    <x v="0"/>
  </r>
  <r>
    <x v="1802"/>
    <x v="2"/>
    <x v="585"/>
    <x v="88"/>
    <x v="16"/>
    <x v="691"/>
    <x v="0"/>
  </r>
  <r>
    <x v="524"/>
    <x v="128"/>
    <x v="586"/>
    <x v="20"/>
    <x v="11"/>
    <x v="253"/>
    <x v="3"/>
  </r>
  <r>
    <x v="584"/>
    <x v="254"/>
    <x v="587"/>
    <x v="0"/>
    <x v="19"/>
    <x v="279"/>
    <x v="3"/>
  </r>
  <r>
    <x v="915"/>
    <x v="34"/>
    <x v="588"/>
    <x v="188"/>
    <x v="3"/>
    <x v="1394"/>
    <x v="0"/>
  </r>
  <r>
    <x v="376"/>
    <x v="50"/>
    <x v="589"/>
    <x v="4"/>
    <x v="18"/>
    <x v="222"/>
    <x v="3"/>
  </r>
  <r>
    <x v="1334"/>
    <x v="126"/>
    <x v="590"/>
    <x v="20"/>
    <x v="41"/>
    <x v="523"/>
    <x v="1"/>
  </r>
  <r>
    <x v="679"/>
    <x v="210"/>
    <x v="591"/>
    <x v="150"/>
    <x v="16"/>
    <x v="1485"/>
    <x v="1"/>
  </r>
  <r>
    <x v="1246"/>
    <x v="105"/>
    <x v="592"/>
    <x v="0"/>
    <x v="41"/>
    <x v="687"/>
    <x v="1"/>
  </r>
  <r>
    <x v="1612"/>
    <x v="62"/>
    <x v="593"/>
    <x v="105"/>
    <x v="32"/>
    <x v="1500"/>
    <x v="2"/>
  </r>
  <r>
    <x v="338"/>
    <x v="165"/>
    <x v="594"/>
    <x v="52"/>
    <x v="14"/>
    <x v="883"/>
    <x v="2"/>
  </r>
  <r>
    <x v="1820"/>
    <x v="330"/>
    <x v="595"/>
    <x v="41"/>
    <x v="27"/>
    <x v="1505"/>
    <x v="2"/>
  </r>
  <r>
    <x v="714"/>
    <x v="38"/>
    <x v="596"/>
    <x v="59"/>
    <x v="8"/>
    <x v="407"/>
    <x v="2"/>
  </r>
  <r>
    <x v="1250"/>
    <x v="282"/>
    <x v="597"/>
    <x v="124"/>
    <x v="32"/>
    <x v="1786"/>
    <x v="3"/>
  </r>
  <r>
    <x v="1109"/>
    <x v="332"/>
    <x v="598"/>
    <x v="220"/>
    <x v="31"/>
    <x v="1872"/>
    <x v="0"/>
  </r>
  <r>
    <x v="817"/>
    <x v="84"/>
    <x v="599"/>
    <x v="84"/>
    <x v="41"/>
    <x v="1348"/>
    <x v="1"/>
  </r>
  <r>
    <x v="414"/>
    <x v="48"/>
    <x v="600"/>
    <x v="70"/>
    <x v="41"/>
    <x v="1501"/>
    <x v="1"/>
  </r>
  <r>
    <x v="1107"/>
    <x v="304"/>
    <x v="601"/>
    <x v="0"/>
    <x v="27"/>
    <x v="602"/>
    <x v="3"/>
  </r>
  <r>
    <x v="1037"/>
    <x v="256"/>
    <x v="602"/>
    <x v="14"/>
    <x v="40"/>
    <x v="1400"/>
    <x v="2"/>
  </r>
  <r>
    <x v="987"/>
    <x v="351"/>
    <x v="603"/>
    <x v="18"/>
    <x v="43"/>
    <x v="941"/>
    <x v="3"/>
  </r>
  <r>
    <x v="847"/>
    <x v="288"/>
    <x v="604"/>
    <x v="5"/>
    <x v="27"/>
    <x v="270"/>
    <x v="3"/>
  </r>
  <r>
    <x v="970"/>
    <x v="264"/>
    <x v="605"/>
    <x v="155"/>
    <x v="39"/>
    <x v="1884"/>
    <x v="1"/>
  </r>
  <r>
    <x v="137"/>
    <x v="9"/>
    <x v="606"/>
    <x v="204"/>
    <x v="47"/>
    <x v="1848"/>
    <x v="3"/>
  </r>
  <r>
    <x v="427"/>
    <x v="57"/>
    <x v="607"/>
    <x v="1"/>
    <x v="30"/>
    <x v="181"/>
    <x v="0"/>
  </r>
  <r>
    <x v="1866"/>
    <x v="196"/>
    <x v="608"/>
    <x v="41"/>
    <x v="15"/>
    <x v="1134"/>
    <x v="0"/>
  </r>
  <r>
    <x v="822"/>
    <x v="3"/>
    <x v="609"/>
    <x v="207"/>
    <x v="4"/>
    <x v="1060"/>
    <x v="2"/>
  </r>
  <r>
    <x v="1980"/>
    <x v="331"/>
    <x v="610"/>
    <x v="55"/>
    <x v="27"/>
    <x v="928"/>
    <x v="2"/>
  </r>
  <r>
    <x v="279"/>
    <x v="130"/>
    <x v="611"/>
    <x v="10"/>
    <x v="4"/>
    <x v="62"/>
    <x v="0"/>
  </r>
  <r>
    <x v="302"/>
    <x v="244"/>
    <x v="612"/>
    <x v="10"/>
    <x v="5"/>
    <x v="21"/>
    <x v="1"/>
  </r>
  <r>
    <x v="1973"/>
    <x v="25"/>
    <x v="613"/>
    <x v="14"/>
    <x v="9"/>
    <x v="801"/>
    <x v="1"/>
  </r>
  <r>
    <x v="1386"/>
    <x v="33"/>
    <x v="614"/>
    <x v="81"/>
    <x v="42"/>
    <x v="1476"/>
    <x v="3"/>
  </r>
  <r>
    <x v="952"/>
    <x v="86"/>
    <x v="615"/>
    <x v="82"/>
    <x v="8"/>
    <x v="201"/>
    <x v="0"/>
  </r>
  <r>
    <x v="1026"/>
    <x v="114"/>
    <x v="616"/>
    <x v="182"/>
    <x v="12"/>
    <x v="1739"/>
    <x v="1"/>
  </r>
  <r>
    <x v="395"/>
    <x v="336"/>
    <x v="617"/>
    <x v="49"/>
    <x v="1"/>
    <x v="44"/>
    <x v="1"/>
  </r>
  <r>
    <x v="1993"/>
    <x v="340"/>
    <x v="618"/>
    <x v="16"/>
    <x v="0"/>
    <x v="14"/>
    <x v="1"/>
  </r>
  <r>
    <x v="960"/>
    <x v="251"/>
    <x v="619"/>
    <x v="150"/>
    <x v="40"/>
    <x v="1866"/>
    <x v="0"/>
  </r>
  <r>
    <x v="705"/>
    <x v="35"/>
    <x v="620"/>
    <x v="208"/>
    <x v="36"/>
    <x v="1677"/>
    <x v="2"/>
  </r>
  <r>
    <x v="1569"/>
    <x v="195"/>
    <x v="621"/>
    <x v="86"/>
    <x v="21"/>
    <x v="1174"/>
    <x v="1"/>
  </r>
  <r>
    <x v="848"/>
    <x v="177"/>
    <x v="622"/>
    <x v="115"/>
    <x v="48"/>
    <x v="1084"/>
    <x v="1"/>
  </r>
  <r>
    <x v="161"/>
    <x v="291"/>
    <x v="623"/>
    <x v="222"/>
    <x v="2"/>
    <x v="1198"/>
    <x v="0"/>
  </r>
  <r>
    <x v="83"/>
    <x v="187"/>
    <x v="624"/>
    <x v="143"/>
    <x v="29"/>
    <x v="1730"/>
    <x v="1"/>
  </r>
  <r>
    <x v="65"/>
    <x v="35"/>
    <x v="625"/>
    <x v="174"/>
    <x v="35"/>
    <x v="1379"/>
    <x v="1"/>
  </r>
  <r>
    <x v="1765"/>
    <x v="300"/>
    <x v="626"/>
    <x v="9"/>
    <x v="15"/>
    <x v="472"/>
    <x v="1"/>
  </r>
  <r>
    <x v="965"/>
    <x v="282"/>
    <x v="627"/>
    <x v="155"/>
    <x v="11"/>
    <x v="1596"/>
    <x v="2"/>
  </r>
  <r>
    <x v="504"/>
    <x v="15"/>
    <x v="628"/>
    <x v="223"/>
    <x v="17"/>
    <x v="1801"/>
    <x v="2"/>
  </r>
  <r>
    <x v="370"/>
    <x v="165"/>
    <x v="629"/>
    <x v="88"/>
    <x v="22"/>
    <x v="1659"/>
    <x v="0"/>
  </r>
  <r>
    <x v="1124"/>
    <x v="279"/>
    <x v="630"/>
    <x v="45"/>
    <x v="12"/>
    <x v="949"/>
    <x v="1"/>
  </r>
  <r>
    <x v="760"/>
    <x v="44"/>
    <x v="631"/>
    <x v="14"/>
    <x v="11"/>
    <x v="94"/>
    <x v="0"/>
  </r>
  <r>
    <x v="472"/>
    <x v="308"/>
    <x v="632"/>
    <x v="44"/>
    <x v="47"/>
    <x v="785"/>
    <x v="1"/>
  </r>
  <r>
    <x v="1567"/>
    <x v="152"/>
    <x v="633"/>
    <x v="17"/>
    <x v="17"/>
    <x v="378"/>
    <x v="1"/>
  </r>
  <r>
    <x v="1981"/>
    <x v="331"/>
    <x v="634"/>
    <x v="42"/>
    <x v="3"/>
    <x v="587"/>
    <x v="2"/>
  </r>
  <r>
    <x v="897"/>
    <x v="240"/>
    <x v="635"/>
    <x v="14"/>
    <x v="8"/>
    <x v="1316"/>
    <x v="1"/>
  </r>
  <r>
    <x v="1006"/>
    <x v="79"/>
    <x v="636"/>
    <x v="74"/>
    <x v="12"/>
    <x v="278"/>
    <x v="2"/>
  </r>
  <r>
    <x v="1189"/>
    <x v="4"/>
    <x v="637"/>
    <x v="234"/>
    <x v="14"/>
    <x v="1819"/>
    <x v="1"/>
  </r>
  <r>
    <x v="334"/>
    <x v="105"/>
    <x v="638"/>
    <x v="88"/>
    <x v="39"/>
    <x v="1813"/>
    <x v="3"/>
  </r>
  <r>
    <x v="520"/>
    <x v="282"/>
    <x v="639"/>
    <x v="79"/>
    <x v="16"/>
    <x v="1542"/>
    <x v="3"/>
  </r>
  <r>
    <x v="556"/>
    <x v="177"/>
    <x v="640"/>
    <x v="88"/>
    <x v="19"/>
    <x v="1586"/>
    <x v="2"/>
  </r>
  <r>
    <x v="1885"/>
    <x v="206"/>
    <x v="641"/>
    <x v="115"/>
    <x v="40"/>
    <x v="1002"/>
    <x v="2"/>
  </r>
  <r>
    <x v="801"/>
    <x v="212"/>
    <x v="642"/>
    <x v="58"/>
    <x v="16"/>
    <x v="140"/>
    <x v="1"/>
  </r>
  <r>
    <x v="506"/>
    <x v="97"/>
    <x v="643"/>
    <x v="124"/>
    <x v="35"/>
    <x v="1708"/>
    <x v="2"/>
  </r>
  <r>
    <x v="1394"/>
    <x v="8"/>
    <x v="644"/>
    <x v="9"/>
    <x v="2"/>
    <x v="102"/>
    <x v="3"/>
  </r>
  <r>
    <x v="1358"/>
    <x v="136"/>
    <x v="645"/>
    <x v="83"/>
    <x v="39"/>
    <x v="857"/>
    <x v="1"/>
  </r>
  <r>
    <x v="1822"/>
    <x v="266"/>
    <x v="646"/>
    <x v="14"/>
    <x v="1"/>
    <x v="99"/>
    <x v="1"/>
  </r>
  <r>
    <x v="1506"/>
    <x v="135"/>
    <x v="647"/>
    <x v="125"/>
    <x v="21"/>
    <x v="1356"/>
    <x v="2"/>
  </r>
  <r>
    <x v="769"/>
    <x v="143"/>
    <x v="648"/>
    <x v="156"/>
    <x v="6"/>
    <x v="1311"/>
    <x v="2"/>
  </r>
  <r>
    <x v="795"/>
    <x v="23"/>
    <x v="649"/>
    <x v="197"/>
    <x v="14"/>
    <x v="1902"/>
    <x v="1"/>
  </r>
  <r>
    <x v="1921"/>
    <x v="184"/>
    <x v="650"/>
    <x v="55"/>
    <x v="8"/>
    <x v="267"/>
    <x v="2"/>
  </r>
  <r>
    <x v="1446"/>
    <x v="329"/>
    <x v="651"/>
    <x v="84"/>
    <x v="39"/>
    <x v="1206"/>
    <x v="1"/>
  </r>
  <r>
    <x v="1586"/>
    <x v="206"/>
    <x v="652"/>
    <x v="3"/>
    <x v="46"/>
    <x v="511"/>
    <x v="0"/>
  </r>
  <r>
    <x v="1818"/>
    <x v="184"/>
    <x v="653"/>
    <x v="0"/>
    <x v="4"/>
    <x v="64"/>
    <x v="2"/>
  </r>
  <r>
    <x v="355"/>
    <x v="348"/>
    <x v="654"/>
    <x v="88"/>
    <x v="48"/>
    <x v="1579"/>
    <x v="3"/>
  </r>
  <r>
    <x v="79"/>
    <x v="235"/>
    <x v="655"/>
    <x v="10"/>
    <x v="6"/>
    <x v="76"/>
    <x v="0"/>
  </r>
  <r>
    <x v="1867"/>
    <x v="196"/>
    <x v="656"/>
    <x v="88"/>
    <x v="21"/>
    <x v="1606"/>
    <x v="0"/>
  </r>
  <r>
    <x v="1266"/>
    <x v="113"/>
    <x v="657"/>
    <x v="79"/>
    <x v="20"/>
    <x v="1624"/>
    <x v="0"/>
  </r>
  <r>
    <x v="958"/>
    <x v="141"/>
    <x v="658"/>
    <x v="78"/>
    <x v="43"/>
    <x v="765"/>
    <x v="1"/>
  </r>
  <r>
    <x v="1356"/>
    <x v="48"/>
    <x v="659"/>
    <x v="5"/>
    <x v="27"/>
    <x v="1472"/>
    <x v="1"/>
  </r>
  <r>
    <x v="547"/>
    <x v="91"/>
    <x v="660"/>
    <x v="38"/>
    <x v="25"/>
    <x v="1742"/>
    <x v="2"/>
  </r>
  <r>
    <x v="1197"/>
    <x v="346"/>
    <x v="661"/>
    <x v="0"/>
    <x v="32"/>
    <x v="404"/>
    <x v="0"/>
  </r>
  <r>
    <x v="874"/>
    <x v="59"/>
    <x v="662"/>
    <x v="75"/>
    <x v="7"/>
    <x v="1025"/>
    <x v="0"/>
  </r>
  <r>
    <x v="1592"/>
    <x v="230"/>
    <x v="663"/>
    <x v="39"/>
    <x v="16"/>
    <x v="156"/>
    <x v="1"/>
  </r>
  <r>
    <x v="0"/>
    <x v="187"/>
    <x v="664"/>
    <x v="55"/>
    <x v="25"/>
    <x v="1648"/>
    <x v="1"/>
  </r>
  <r>
    <x v="1769"/>
    <x v="124"/>
    <x v="665"/>
    <x v="150"/>
    <x v="48"/>
    <x v="1629"/>
    <x v="0"/>
  </r>
  <r>
    <x v="1296"/>
    <x v="197"/>
    <x v="666"/>
    <x v="70"/>
    <x v="19"/>
    <x v="1829"/>
    <x v="1"/>
  </r>
  <r>
    <x v="1258"/>
    <x v="90"/>
    <x v="667"/>
    <x v="20"/>
    <x v="37"/>
    <x v="1715"/>
    <x v="2"/>
  </r>
  <r>
    <x v="158"/>
    <x v="53"/>
    <x v="668"/>
    <x v="87"/>
    <x v="3"/>
    <x v="132"/>
    <x v="1"/>
  </r>
  <r>
    <x v="1062"/>
    <x v="216"/>
    <x v="669"/>
    <x v="147"/>
    <x v="6"/>
    <x v="793"/>
    <x v="2"/>
  </r>
  <r>
    <x v="1398"/>
    <x v="333"/>
    <x v="670"/>
    <x v="20"/>
    <x v="32"/>
    <x v="233"/>
    <x v="0"/>
  </r>
  <r>
    <x v="1181"/>
    <x v="271"/>
    <x v="671"/>
    <x v="54"/>
    <x v="24"/>
    <x v="599"/>
    <x v="0"/>
  </r>
  <r>
    <x v="1886"/>
    <x v="34"/>
    <x v="672"/>
    <x v="70"/>
    <x v="24"/>
    <x v="1392"/>
    <x v="0"/>
  </r>
  <r>
    <x v="1438"/>
    <x v="125"/>
    <x v="673"/>
    <x v="172"/>
    <x v="34"/>
    <x v="1582"/>
    <x v="1"/>
  </r>
  <r>
    <x v="1239"/>
    <x v="352"/>
    <x v="674"/>
    <x v="123"/>
    <x v="5"/>
    <x v="759"/>
    <x v="2"/>
  </r>
  <r>
    <x v="1833"/>
    <x v="294"/>
    <x v="675"/>
    <x v="70"/>
    <x v="7"/>
    <x v="1599"/>
    <x v="1"/>
  </r>
  <r>
    <x v="1413"/>
    <x v="115"/>
    <x v="676"/>
    <x v="59"/>
    <x v="17"/>
    <x v="739"/>
    <x v="1"/>
  </r>
  <r>
    <x v="563"/>
    <x v="92"/>
    <x v="677"/>
    <x v="91"/>
    <x v="15"/>
    <x v="487"/>
    <x v="3"/>
  </r>
  <r>
    <x v="711"/>
    <x v="332"/>
    <x v="678"/>
    <x v="170"/>
    <x v="22"/>
    <x v="1893"/>
    <x v="2"/>
  </r>
  <r>
    <x v="1647"/>
    <x v="274"/>
    <x v="679"/>
    <x v="134"/>
    <x v="17"/>
    <x v="1521"/>
    <x v="3"/>
  </r>
  <r>
    <x v="345"/>
    <x v="301"/>
    <x v="680"/>
    <x v="46"/>
    <x v="3"/>
    <x v="80"/>
    <x v="2"/>
  </r>
  <r>
    <x v="267"/>
    <x v="77"/>
    <x v="681"/>
    <x v="68"/>
    <x v="11"/>
    <x v="520"/>
    <x v="0"/>
  </r>
  <r>
    <x v="1184"/>
    <x v="14"/>
    <x v="682"/>
    <x v="11"/>
    <x v="5"/>
    <x v="89"/>
    <x v="0"/>
  </r>
  <r>
    <x v="1444"/>
    <x v="7"/>
    <x v="683"/>
    <x v="25"/>
    <x v="39"/>
    <x v="661"/>
    <x v="1"/>
  </r>
  <r>
    <x v="1322"/>
    <x v="52"/>
    <x v="684"/>
    <x v="46"/>
    <x v="49"/>
    <x v="1883"/>
    <x v="2"/>
  </r>
  <r>
    <x v="183"/>
    <x v="304"/>
    <x v="685"/>
    <x v="181"/>
    <x v="43"/>
    <x v="1724"/>
    <x v="2"/>
  </r>
  <r>
    <x v="202"/>
    <x v="108"/>
    <x v="686"/>
    <x v="43"/>
    <x v="34"/>
    <x v="951"/>
    <x v="1"/>
  </r>
  <r>
    <x v="1235"/>
    <x v="241"/>
    <x v="687"/>
    <x v="221"/>
    <x v="38"/>
    <x v="1966"/>
    <x v="2"/>
  </r>
  <r>
    <x v="1614"/>
    <x v="263"/>
    <x v="688"/>
    <x v="50"/>
    <x v="2"/>
    <x v="146"/>
    <x v="2"/>
  </r>
  <r>
    <x v="531"/>
    <x v="112"/>
    <x v="689"/>
    <x v="212"/>
    <x v="38"/>
    <x v="1946"/>
    <x v="3"/>
  </r>
  <r>
    <x v="225"/>
    <x v="272"/>
    <x v="690"/>
    <x v="104"/>
    <x v="14"/>
    <x v="760"/>
    <x v="1"/>
  </r>
  <r>
    <x v="1155"/>
    <x v="68"/>
    <x v="691"/>
    <x v="88"/>
    <x v="19"/>
    <x v="553"/>
    <x v="1"/>
  </r>
  <r>
    <x v="938"/>
    <x v="329"/>
    <x v="692"/>
    <x v="118"/>
    <x v="0"/>
    <x v="113"/>
    <x v="2"/>
  </r>
  <r>
    <x v="1429"/>
    <x v="54"/>
    <x v="693"/>
    <x v="69"/>
    <x v="39"/>
    <x v="1833"/>
    <x v="0"/>
  </r>
  <r>
    <x v="1815"/>
    <x v="182"/>
    <x v="694"/>
    <x v="5"/>
    <x v="11"/>
    <x v="217"/>
    <x v="2"/>
  </r>
  <r>
    <x v="153"/>
    <x v="99"/>
    <x v="695"/>
    <x v="0"/>
    <x v="40"/>
    <x v="403"/>
    <x v="2"/>
  </r>
  <r>
    <x v="1834"/>
    <x v="251"/>
    <x v="696"/>
    <x v="75"/>
    <x v="9"/>
    <x v="1339"/>
    <x v="1"/>
  </r>
  <r>
    <x v="968"/>
    <x v="325"/>
    <x v="697"/>
    <x v="88"/>
    <x v="10"/>
    <x v="1147"/>
    <x v="0"/>
  </r>
  <r>
    <x v="1171"/>
    <x v="103"/>
    <x v="698"/>
    <x v="60"/>
    <x v="3"/>
    <x v="133"/>
    <x v="1"/>
  </r>
  <r>
    <x v="333"/>
    <x v="244"/>
    <x v="699"/>
    <x v="160"/>
    <x v="24"/>
    <x v="1555"/>
    <x v="2"/>
  </r>
  <r>
    <x v="1558"/>
    <x v="327"/>
    <x v="700"/>
    <x v="72"/>
    <x v="44"/>
    <x v="877"/>
    <x v="1"/>
  </r>
  <r>
    <x v="1940"/>
    <x v="87"/>
    <x v="701"/>
    <x v="14"/>
    <x v="39"/>
    <x v="1506"/>
    <x v="0"/>
  </r>
  <r>
    <x v="1927"/>
    <x v="232"/>
    <x v="702"/>
    <x v="227"/>
    <x v="24"/>
    <x v="1934"/>
    <x v="0"/>
  </r>
  <r>
    <x v="1960"/>
    <x v="351"/>
    <x v="703"/>
    <x v="14"/>
    <x v="17"/>
    <x v="1250"/>
    <x v="3"/>
  </r>
  <r>
    <x v="456"/>
    <x v="271"/>
    <x v="704"/>
    <x v="110"/>
    <x v="0"/>
    <x v="128"/>
    <x v="3"/>
  </r>
  <r>
    <x v="1883"/>
    <x v="228"/>
    <x v="705"/>
    <x v="51"/>
    <x v="1"/>
    <x v="93"/>
    <x v="1"/>
  </r>
  <r>
    <x v="990"/>
    <x v="317"/>
    <x v="706"/>
    <x v="174"/>
    <x v="47"/>
    <x v="1898"/>
    <x v="3"/>
  </r>
  <r>
    <x v="331"/>
    <x v="41"/>
    <x v="707"/>
    <x v="68"/>
    <x v="22"/>
    <x v="434"/>
    <x v="1"/>
  </r>
  <r>
    <x v="732"/>
    <x v="291"/>
    <x v="708"/>
    <x v="14"/>
    <x v="7"/>
    <x v="104"/>
    <x v="1"/>
  </r>
  <r>
    <x v="1038"/>
    <x v="256"/>
    <x v="709"/>
    <x v="47"/>
    <x v="2"/>
    <x v="46"/>
    <x v="2"/>
  </r>
  <r>
    <x v="1024"/>
    <x v="259"/>
    <x v="710"/>
    <x v="88"/>
    <x v="42"/>
    <x v="1851"/>
    <x v="2"/>
  </r>
  <r>
    <x v="319"/>
    <x v="219"/>
    <x v="711"/>
    <x v="144"/>
    <x v="43"/>
    <x v="1913"/>
    <x v="1"/>
  </r>
  <r>
    <x v="1900"/>
    <x v="144"/>
    <x v="712"/>
    <x v="49"/>
    <x v="49"/>
    <x v="704"/>
    <x v="1"/>
  </r>
  <r>
    <x v="1113"/>
    <x v="107"/>
    <x v="713"/>
    <x v="163"/>
    <x v="43"/>
    <x v="1932"/>
    <x v="3"/>
  </r>
  <r>
    <x v="1929"/>
    <x v="351"/>
    <x v="714"/>
    <x v="29"/>
    <x v="39"/>
    <x v="755"/>
    <x v="0"/>
  </r>
  <r>
    <x v="1733"/>
    <x v="342"/>
    <x v="715"/>
    <x v="63"/>
    <x v="26"/>
    <x v="1717"/>
    <x v="2"/>
  </r>
  <r>
    <x v="1853"/>
    <x v="263"/>
    <x v="716"/>
    <x v="95"/>
    <x v="15"/>
    <x v="351"/>
    <x v="3"/>
  </r>
  <r>
    <x v="794"/>
    <x v="213"/>
    <x v="717"/>
    <x v="215"/>
    <x v="16"/>
    <x v="1832"/>
    <x v="3"/>
  </r>
  <r>
    <x v="268"/>
    <x v="173"/>
    <x v="718"/>
    <x v="6"/>
    <x v="42"/>
    <x v="1030"/>
    <x v="2"/>
  </r>
  <r>
    <x v="139"/>
    <x v="79"/>
    <x v="719"/>
    <x v="50"/>
    <x v="44"/>
    <x v="777"/>
    <x v="0"/>
  </r>
  <r>
    <x v="104"/>
    <x v="115"/>
    <x v="720"/>
    <x v="38"/>
    <x v="27"/>
    <x v="1759"/>
    <x v="1"/>
  </r>
  <r>
    <x v="852"/>
    <x v="311"/>
    <x v="721"/>
    <x v="81"/>
    <x v="13"/>
    <x v="331"/>
    <x v="2"/>
  </r>
  <r>
    <x v="1666"/>
    <x v="339"/>
    <x v="722"/>
    <x v="46"/>
    <x v="26"/>
    <x v="474"/>
    <x v="1"/>
  </r>
  <r>
    <x v="1513"/>
    <x v="197"/>
    <x v="723"/>
    <x v="32"/>
    <x v="41"/>
    <x v="1304"/>
    <x v="0"/>
  </r>
  <r>
    <x v="1469"/>
    <x v="116"/>
    <x v="724"/>
    <x v="59"/>
    <x v="21"/>
    <x v="618"/>
    <x v="0"/>
  </r>
  <r>
    <x v="879"/>
    <x v="128"/>
    <x v="725"/>
    <x v="88"/>
    <x v="22"/>
    <x v="652"/>
    <x v="3"/>
  </r>
  <r>
    <x v="433"/>
    <x v="336"/>
    <x v="726"/>
    <x v="211"/>
    <x v="33"/>
    <x v="1696"/>
    <x v="1"/>
  </r>
  <r>
    <x v="727"/>
    <x v="190"/>
    <x v="727"/>
    <x v="150"/>
    <x v="2"/>
    <x v="828"/>
    <x v="1"/>
  </r>
  <r>
    <x v="773"/>
    <x v="293"/>
    <x v="728"/>
    <x v="55"/>
    <x v="29"/>
    <x v="674"/>
    <x v="2"/>
  </r>
  <r>
    <x v="1806"/>
    <x v="155"/>
    <x v="729"/>
    <x v="67"/>
    <x v="33"/>
    <x v="528"/>
    <x v="3"/>
  </r>
  <r>
    <x v="1778"/>
    <x v="153"/>
    <x v="730"/>
    <x v="83"/>
    <x v="38"/>
    <x v="1146"/>
    <x v="3"/>
  </r>
  <r>
    <x v="866"/>
    <x v="333"/>
    <x v="731"/>
    <x v="41"/>
    <x v="24"/>
    <x v="805"/>
    <x v="1"/>
  </r>
  <r>
    <x v="1462"/>
    <x v="172"/>
    <x v="732"/>
    <x v="35"/>
    <x v="16"/>
    <x v="197"/>
    <x v="3"/>
  </r>
  <r>
    <x v="41"/>
    <x v="269"/>
    <x v="733"/>
    <x v="48"/>
    <x v="17"/>
    <x v="424"/>
    <x v="3"/>
  </r>
  <r>
    <x v="1372"/>
    <x v="308"/>
    <x v="734"/>
    <x v="57"/>
    <x v="22"/>
    <x v="539"/>
    <x v="1"/>
  </r>
  <r>
    <x v="476"/>
    <x v="119"/>
    <x v="735"/>
    <x v="20"/>
    <x v="46"/>
    <x v="1782"/>
    <x v="1"/>
  </r>
  <r>
    <x v="1682"/>
    <x v="38"/>
    <x v="736"/>
    <x v="107"/>
    <x v="42"/>
    <x v="1266"/>
    <x v="1"/>
  </r>
  <r>
    <x v="648"/>
    <x v="65"/>
    <x v="737"/>
    <x v="5"/>
    <x v="16"/>
    <x v="1359"/>
    <x v="2"/>
  </r>
  <r>
    <x v="249"/>
    <x v="146"/>
    <x v="738"/>
    <x v="49"/>
    <x v="26"/>
    <x v="662"/>
    <x v="0"/>
  </r>
  <r>
    <x v="1730"/>
    <x v="100"/>
    <x v="739"/>
    <x v="56"/>
    <x v="3"/>
    <x v="97"/>
    <x v="0"/>
  </r>
  <r>
    <x v="1108"/>
    <x v="304"/>
    <x v="740"/>
    <x v="116"/>
    <x v="45"/>
    <x v="1826"/>
    <x v="3"/>
  </r>
  <r>
    <x v="473"/>
    <x v="7"/>
    <x v="741"/>
    <x v="191"/>
    <x v="37"/>
    <x v="1258"/>
    <x v="1"/>
  </r>
  <r>
    <x v="493"/>
    <x v="197"/>
    <x v="742"/>
    <x v="150"/>
    <x v="28"/>
    <x v="1651"/>
    <x v="2"/>
  </r>
  <r>
    <x v="1623"/>
    <x v="77"/>
    <x v="743"/>
    <x v="50"/>
    <x v="32"/>
    <x v="1551"/>
    <x v="3"/>
  </r>
  <r>
    <x v="1585"/>
    <x v="125"/>
    <x v="744"/>
    <x v="78"/>
    <x v="41"/>
    <x v="814"/>
    <x v="1"/>
  </r>
  <r>
    <x v="437"/>
    <x v="267"/>
    <x v="745"/>
    <x v="90"/>
    <x v="11"/>
    <x v="1075"/>
    <x v="1"/>
  </r>
  <r>
    <x v="1858"/>
    <x v="321"/>
    <x v="746"/>
    <x v="88"/>
    <x v="12"/>
    <x v="766"/>
    <x v="1"/>
  </r>
  <r>
    <x v="1033"/>
    <x v="35"/>
    <x v="747"/>
    <x v="20"/>
    <x v="41"/>
    <x v="1722"/>
    <x v="1"/>
  </r>
  <r>
    <x v="434"/>
    <x v="281"/>
    <x v="748"/>
    <x v="165"/>
    <x v="44"/>
    <x v="1842"/>
    <x v="0"/>
  </r>
  <r>
    <x v="856"/>
    <x v="170"/>
    <x v="749"/>
    <x v="150"/>
    <x v="16"/>
    <x v="1270"/>
    <x v="1"/>
  </r>
  <r>
    <x v="98"/>
    <x v="224"/>
    <x v="750"/>
    <x v="170"/>
    <x v="22"/>
    <x v="1719"/>
    <x v="0"/>
  </r>
  <r>
    <x v="1785"/>
    <x v="60"/>
    <x v="751"/>
    <x v="240"/>
    <x v="42"/>
    <x v="1811"/>
    <x v="2"/>
  </r>
  <r>
    <x v="1937"/>
    <x v="255"/>
    <x v="752"/>
    <x v="5"/>
    <x v="7"/>
    <x v="1323"/>
    <x v="2"/>
  </r>
  <r>
    <x v="1014"/>
    <x v="198"/>
    <x v="753"/>
    <x v="36"/>
    <x v="31"/>
    <x v="1532"/>
    <x v="1"/>
  </r>
  <r>
    <x v="1183"/>
    <x v="310"/>
    <x v="754"/>
    <x v="46"/>
    <x v="47"/>
    <x v="1150"/>
    <x v="2"/>
  </r>
  <r>
    <x v="118"/>
    <x v="264"/>
    <x v="755"/>
    <x v="43"/>
    <x v="26"/>
    <x v="526"/>
    <x v="0"/>
  </r>
  <r>
    <x v="37"/>
    <x v="72"/>
    <x v="756"/>
    <x v="7"/>
    <x v="7"/>
    <x v="100"/>
    <x v="3"/>
  </r>
  <r>
    <x v="144"/>
    <x v="286"/>
    <x v="757"/>
    <x v="189"/>
    <x v="42"/>
    <x v="1835"/>
    <x v="2"/>
  </r>
  <r>
    <x v="149"/>
    <x v="232"/>
    <x v="758"/>
    <x v="75"/>
    <x v="10"/>
    <x v="1369"/>
    <x v="2"/>
  </r>
  <r>
    <x v="581"/>
    <x v="160"/>
    <x v="759"/>
    <x v="106"/>
    <x v="19"/>
    <x v="512"/>
    <x v="0"/>
  </r>
  <r>
    <x v="1864"/>
    <x v="133"/>
    <x v="760"/>
    <x v="68"/>
    <x v="31"/>
    <x v="442"/>
    <x v="3"/>
  </r>
  <r>
    <x v="1427"/>
    <x v="34"/>
    <x v="761"/>
    <x v="47"/>
    <x v="2"/>
    <x v="52"/>
    <x v="1"/>
  </r>
  <r>
    <x v="47"/>
    <x v="127"/>
    <x v="762"/>
    <x v="175"/>
    <x v="41"/>
    <x v="1924"/>
    <x v="1"/>
  </r>
  <r>
    <x v="1468"/>
    <x v="116"/>
    <x v="763"/>
    <x v="38"/>
    <x v="26"/>
    <x v="334"/>
    <x v="2"/>
  </r>
  <r>
    <x v="1896"/>
    <x v="318"/>
    <x v="764"/>
    <x v="1"/>
    <x v="15"/>
    <x v="187"/>
    <x v="3"/>
  </r>
  <r>
    <x v="1737"/>
    <x v="97"/>
    <x v="765"/>
    <x v="60"/>
    <x v="24"/>
    <x v="1341"/>
    <x v="2"/>
  </r>
  <r>
    <x v="48"/>
    <x v="142"/>
    <x v="766"/>
    <x v="26"/>
    <x v="45"/>
    <x v="1537"/>
    <x v="2"/>
  </r>
  <r>
    <x v="1075"/>
    <x v="267"/>
    <x v="767"/>
    <x v="105"/>
    <x v="5"/>
    <x v="914"/>
    <x v="1"/>
  </r>
  <r>
    <x v="119"/>
    <x v="5"/>
    <x v="768"/>
    <x v="24"/>
    <x v="5"/>
    <x v="456"/>
    <x v="2"/>
  </r>
  <r>
    <x v="138"/>
    <x v="9"/>
    <x v="769"/>
    <x v="36"/>
    <x v="22"/>
    <x v="1218"/>
    <x v="3"/>
  </r>
  <r>
    <x v="320"/>
    <x v="219"/>
    <x v="770"/>
    <x v="63"/>
    <x v="33"/>
    <x v="1483"/>
    <x v="1"/>
  </r>
  <r>
    <x v="1632"/>
    <x v="16"/>
    <x v="771"/>
    <x v="5"/>
    <x v="13"/>
    <x v="762"/>
    <x v="0"/>
  </r>
  <r>
    <x v="411"/>
    <x v="300"/>
    <x v="772"/>
    <x v="228"/>
    <x v="23"/>
    <x v="1863"/>
    <x v="3"/>
  </r>
  <r>
    <x v="1251"/>
    <x v="282"/>
    <x v="773"/>
    <x v="1"/>
    <x v="20"/>
    <x v="144"/>
    <x v="3"/>
  </r>
  <r>
    <x v="496"/>
    <x v="54"/>
    <x v="774"/>
    <x v="25"/>
    <x v="19"/>
    <x v="1267"/>
    <x v="2"/>
  </r>
  <r>
    <x v="1199"/>
    <x v="315"/>
    <x v="775"/>
    <x v="55"/>
    <x v="1"/>
    <x v="235"/>
    <x v="1"/>
  </r>
  <r>
    <x v="620"/>
    <x v="252"/>
    <x v="776"/>
    <x v="174"/>
    <x v="1"/>
    <x v="689"/>
    <x v="2"/>
  </r>
  <r>
    <x v="1104"/>
    <x v="52"/>
    <x v="777"/>
    <x v="150"/>
    <x v="24"/>
    <x v="1610"/>
    <x v="3"/>
  </r>
  <r>
    <x v="533"/>
    <x v="109"/>
    <x v="778"/>
    <x v="143"/>
    <x v="46"/>
    <x v="1812"/>
    <x v="0"/>
  </r>
  <r>
    <x v="86"/>
    <x v="335"/>
    <x v="779"/>
    <x v="49"/>
    <x v="3"/>
    <x v="69"/>
    <x v="1"/>
  </r>
  <r>
    <x v="390"/>
    <x v="173"/>
    <x v="780"/>
    <x v="40"/>
    <x v="13"/>
    <x v="460"/>
    <x v="0"/>
  </r>
  <r>
    <x v="1117"/>
    <x v="324"/>
    <x v="781"/>
    <x v="142"/>
    <x v="10"/>
    <x v="1032"/>
    <x v="1"/>
  </r>
  <r>
    <x v="937"/>
    <x v="75"/>
    <x v="782"/>
    <x v="227"/>
    <x v="43"/>
    <x v="1970"/>
    <x v="1"/>
  </r>
  <r>
    <x v="402"/>
    <x v="124"/>
    <x v="783"/>
    <x v="181"/>
    <x v="35"/>
    <x v="1685"/>
    <x v="3"/>
  </r>
  <r>
    <x v="587"/>
    <x v="67"/>
    <x v="784"/>
    <x v="153"/>
    <x v="4"/>
    <x v="1423"/>
    <x v="1"/>
  </r>
  <r>
    <x v="261"/>
    <x v="26"/>
    <x v="785"/>
    <x v="87"/>
    <x v="10"/>
    <x v="274"/>
    <x v="1"/>
  </r>
  <r>
    <x v="308"/>
    <x v="19"/>
    <x v="786"/>
    <x v="0"/>
    <x v="4"/>
    <x v="54"/>
    <x v="0"/>
  </r>
  <r>
    <x v="1369"/>
    <x v="339"/>
    <x v="787"/>
    <x v="88"/>
    <x v="3"/>
    <x v="305"/>
    <x v="2"/>
  </r>
  <r>
    <x v="1000"/>
    <x v="209"/>
    <x v="788"/>
    <x v="229"/>
    <x v="24"/>
    <x v="1808"/>
    <x v="3"/>
  </r>
  <r>
    <x v="206"/>
    <x v="215"/>
    <x v="789"/>
    <x v="14"/>
    <x v="35"/>
    <x v="756"/>
    <x v="3"/>
  </r>
  <r>
    <x v="1841"/>
    <x v="80"/>
    <x v="790"/>
    <x v="47"/>
    <x v="21"/>
    <x v="1155"/>
    <x v="1"/>
  </r>
  <r>
    <x v="123"/>
    <x v="159"/>
    <x v="791"/>
    <x v="62"/>
    <x v="24"/>
    <x v="844"/>
    <x v="1"/>
  </r>
  <r>
    <x v="625"/>
    <x v="344"/>
    <x v="792"/>
    <x v="59"/>
    <x v="2"/>
    <x v="328"/>
    <x v="1"/>
  </r>
  <r>
    <x v="693"/>
    <x v="134"/>
    <x v="793"/>
    <x v="233"/>
    <x v="42"/>
    <x v="1928"/>
    <x v="1"/>
  </r>
  <r>
    <x v="128"/>
    <x v="318"/>
    <x v="794"/>
    <x v="51"/>
    <x v="15"/>
    <x v="276"/>
    <x v="0"/>
  </r>
  <r>
    <x v="241"/>
    <x v="6"/>
    <x v="795"/>
    <x v="46"/>
    <x v="33"/>
    <x v="545"/>
    <x v="0"/>
  </r>
  <r>
    <x v="1228"/>
    <x v="311"/>
    <x v="796"/>
    <x v="30"/>
    <x v="20"/>
    <x v="1461"/>
    <x v="1"/>
  </r>
  <r>
    <x v="430"/>
    <x v="190"/>
    <x v="797"/>
    <x v="78"/>
    <x v="30"/>
    <x v="702"/>
    <x v="1"/>
  </r>
  <r>
    <x v="523"/>
    <x v="271"/>
    <x v="798"/>
    <x v="48"/>
    <x v="39"/>
    <x v="815"/>
    <x v="3"/>
  </r>
  <r>
    <x v="1673"/>
    <x v="297"/>
    <x v="799"/>
    <x v="67"/>
    <x v="9"/>
    <x v="159"/>
    <x v="1"/>
  </r>
  <r>
    <x v="1390"/>
    <x v="283"/>
    <x v="800"/>
    <x v="168"/>
    <x v="24"/>
    <x v="1852"/>
    <x v="1"/>
  </r>
  <r>
    <x v="566"/>
    <x v="214"/>
    <x v="801"/>
    <x v="69"/>
    <x v="32"/>
    <x v="1321"/>
    <x v="2"/>
  </r>
  <r>
    <x v="1790"/>
    <x v="193"/>
    <x v="802"/>
    <x v="153"/>
    <x v="9"/>
    <x v="1639"/>
    <x v="2"/>
  </r>
  <r>
    <x v="106"/>
    <x v="321"/>
    <x v="803"/>
    <x v="150"/>
    <x v="23"/>
    <x v="1914"/>
    <x v="3"/>
  </r>
  <r>
    <x v="972"/>
    <x v="173"/>
    <x v="804"/>
    <x v="174"/>
    <x v="20"/>
    <x v="1657"/>
    <x v="1"/>
  </r>
  <r>
    <x v="1721"/>
    <x v="319"/>
    <x v="805"/>
    <x v="46"/>
    <x v="0"/>
    <x v="22"/>
    <x v="0"/>
  </r>
  <r>
    <x v="1680"/>
    <x v="73"/>
    <x v="806"/>
    <x v="215"/>
    <x v="49"/>
    <x v="1960"/>
    <x v="1"/>
  </r>
  <r>
    <x v="1903"/>
    <x v="145"/>
    <x v="807"/>
    <x v="73"/>
    <x v="25"/>
    <x v="598"/>
    <x v="3"/>
  </r>
  <r>
    <x v="228"/>
    <x v="210"/>
    <x v="808"/>
    <x v="156"/>
    <x v="21"/>
    <x v="1847"/>
    <x v="1"/>
  </r>
  <r>
    <x v="1122"/>
    <x v="138"/>
    <x v="809"/>
    <x v="228"/>
    <x v="44"/>
    <x v="1935"/>
    <x v="1"/>
  </r>
  <r>
    <x v="583"/>
    <x v="10"/>
    <x v="810"/>
    <x v="47"/>
    <x v="40"/>
    <x v="1390"/>
    <x v="0"/>
  </r>
  <r>
    <x v="1159"/>
    <x v="35"/>
    <x v="811"/>
    <x v="46"/>
    <x v="36"/>
    <x v="632"/>
    <x v="1"/>
  </r>
  <r>
    <x v="956"/>
    <x v="302"/>
    <x v="812"/>
    <x v="63"/>
    <x v="26"/>
    <x v="1352"/>
    <x v="1"/>
  </r>
  <r>
    <x v="977"/>
    <x v="310"/>
    <x v="813"/>
    <x v="36"/>
    <x v="29"/>
    <x v="711"/>
    <x v="1"/>
  </r>
  <r>
    <x v="133"/>
    <x v="1"/>
    <x v="814"/>
    <x v="47"/>
    <x v="37"/>
    <x v="1444"/>
    <x v="1"/>
  </r>
  <r>
    <x v="82"/>
    <x v="166"/>
    <x v="815"/>
    <x v="14"/>
    <x v="27"/>
    <x v="1328"/>
    <x v="0"/>
  </r>
  <r>
    <x v="244"/>
    <x v="168"/>
    <x v="816"/>
    <x v="45"/>
    <x v="11"/>
    <x v="72"/>
    <x v="1"/>
  </r>
  <r>
    <x v="1463"/>
    <x v="146"/>
    <x v="817"/>
    <x v="144"/>
    <x v="18"/>
    <x v="1721"/>
    <x v="3"/>
  </r>
  <r>
    <x v="1588"/>
    <x v="342"/>
    <x v="818"/>
    <x v="14"/>
    <x v="46"/>
    <x v="1204"/>
    <x v="0"/>
  </r>
  <r>
    <x v="661"/>
    <x v="8"/>
    <x v="819"/>
    <x v="68"/>
    <x v="11"/>
    <x v="238"/>
    <x v="2"/>
  </r>
  <r>
    <x v="374"/>
    <x v="95"/>
    <x v="820"/>
    <x v="68"/>
    <x v="32"/>
    <x v="1125"/>
    <x v="1"/>
  </r>
  <r>
    <x v="880"/>
    <x v="314"/>
    <x v="821"/>
    <x v="17"/>
    <x v="20"/>
    <x v="680"/>
    <x v="2"/>
  </r>
  <r>
    <x v="107"/>
    <x v="301"/>
    <x v="822"/>
    <x v="27"/>
    <x v="29"/>
    <x v="1104"/>
    <x v="2"/>
  </r>
  <r>
    <x v="666"/>
    <x v="70"/>
    <x v="823"/>
    <x v="79"/>
    <x v="5"/>
    <x v="1159"/>
    <x v="3"/>
  </r>
  <r>
    <x v="1253"/>
    <x v="316"/>
    <x v="824"/>
    <x v="52"/>
    <x v="13"/>
    <x v="1019"/>
    <x v="1"/>
  </r>
  <r>
    <x v="962"/>
    <x v="63"/>
    <x v="825"/>
    <x v="25"/>
    <x v="39"/>
    <x v="846"/>
    <x v="3"/>
  </r>
  <r>
    <x v="323"/>
    <x v="111"/>
    <x v="826"/>
    <x v="196"/>
    <x v="1"/>
    <x v="679"/>
    <x v="2"/>
  </r>
  <r>
    <x v="113"/>
    <x v="200"/>
    <x v="827"/>
    <x v="41"/>
    <x v="49"/>
    <x v="1220"/>
    <x v="3"/>
  </r>
  <r>
    <x v="1634"/>
    <x v="94"/>
    <x v="828"/>
    <x v="196"/>
    <x v="32"/>
    <x v="1944"/>
    <x v="3"/>
  </r>
  <r>
    <x v="184"/>
    <x v="304"/>
    <x v="829"/>
    <x v="5"/>
    <x v="24"/>
    <x v="1510"/>
    <x v="2"/>
  </r>
  <r>
    <x v="786"/>
    <x v="133"/>
    <x v="830"/>
    <x v="63"/>
    <x v="5"/>
    <x v="684"/>
    <x v="1"/>
  </r>
  <r>
    <x v="1716"/>
    <x v="265"/>
    <x v="831"/>
    <x v="226"/>
    <x v="21"/>
    <x v="1720"/>
    <x v="2"/>
  </r>
  <r>
    <x v="1842"/>
    <x v="80"/>
    <x v="832"/>
    <x v="5"/>
    <x v="1"/>
    <x v="561"/>
    <x v="1"/>
  </r>
  <r>
    <x v="209"/>
    <x v="2"/>
    <x v="833"/>
    <x v="30"/>
    <x v="19"/>
    <x v="579"/>
    <x v="1"/>
  </r>
  <r>
    <x v="964"/>
    <x v="195"/>
    <x v="834"/>
    <x v="95"/>
    <x v="12"/>
    <x v="336"/>
    <x v="3"/>
  </r>
  <r>
    <x v="1106"/>
    <x v="22"/>
    <x v="835"/>
    <x v="110"/>
    <x v="23"/>
    <x v="798"/>
    <x v="2"/>
  </r>
  <r>
    <x v="40"/>
    <x v="177"/>
    <x v="836"/>
    <x v="54"/>
    <x v="38"/>
    <x v="665"/>
    <x v="3"/>
  </r>
  <r>
    <x v="542"/>
    <x v="308"/>
    <x v="837"/>
    <x v="20"/>
    <x v="7"/>
    <x v="1426"/>
    <x v="3"/>
  </r>
  <r>
    <x v="916"/>
    <x v="237"/>
    <x v="838"/>
    <x v="24"/>
    <x v="0"/>
    <x v="23"/>
    <x v="1"/>
  </r>
  <r>
    <x v="830"/>
    <x v="134"/>
    <x v="839"/>
    <x v="7"/>
    <x v="46"/>
    <x v="678"/>
    <x v="1"/>
  </r>
  <r>
    <x v="985"/>
    <x v="176"/>
    <x v="840"/>
    <x v="49"/>
    <x v="28"/>
    <x v="1092"/>
    <x v="0"/>
  </r>
  <r>
    <x v="983"/>
    <x v="108"/>
    <x v="841"/>
    <x v="9"/>
    <x v="23"/>
    <x v="723"/>
    <x v="1"/>
  </r>
  <r>
    <x v="286"/>
    <x v="75"/>
    <x v="842"/>
    <x v="5"/>
    <x v="31"/>
    <x v="408"/>
    <x v="0"/>
  </r>
  <r>
    <x v="97"/>
    <x v="240"/>
    <x v="843"/>
    <x v="166"/>
    <x v="20"/>
    <x v="1766"/>
    <x v="2"/>
  </r>
  <r>
    <x v="1679"/>
    <x v="163"/>
    <x v="844"/>
    <x v="0"/>
    <x v="11"/>
    <x v="153"/>
    <x v="0"/>
  </r>
  <r>
    <x v="468"/>
    <x v="33"/>
    <x v="845"/>
    <x v="25"/>
    <x v="13"/>
    <x v="1022"/>
    <x v="1"/>
  </r>
  <r>
    <x v="375"/>
    <x v="95"/>
    <x v="846"/>
    <x v="14"/>
    <x v="0"/>
    <x v="103"/>
    <x v="1"/>
  </r>
  <r>
    <x v="1751"/>
    <x v="272"/>
    <x v="847"/>
    <x v="6"/>
    <x v="21"/>
    <x v="177"/>
    <x v="3"/>
  </r>
  <r>
    <x v="1957"/>
    <x v="225"/>
    <x v="848"/>
    <x v="223"/>
    <x v="49"/>
    <x v="1943"/>
    <x v="2"/>
  </r>
  <r>
    <x v="1779"/>
    <x v="153"/>
    <x v="849"/>
    <x v="150"/>
    <x v="42"/>
    <x v="1840"/>
    <x v="3"/>
  </r>
  <r>
    <x v="1375"/>
    <x v="116"/>
    <x v="850"/>
    <x v="88"/>
    <x v="40"/>
    <x v="1600"/>
    <x v="0"/>
  </r>
  <r>
    <x v="469"/>
    <x v="324"/>
    <x v="851"/>
    <x v="57"/>
    <x v="30"/>
    <x v="1297"/>
    <x v="1"/>
  </r>
  <r>
    <x v="155"/>
    <x v="344"/>
    <x v="852"/>
    <x v="54"/>
    <x v="25"/>
    <x v="882"/>
    <x v="2"/>
  </r>
  <r>
    <x v="438"/>
    <x v="220"/>
    <x v="853"/>
    <x v="225"/>
    <x v="40"/>
    <x v="1921"/>
    <x v="0"/>
  </r>
  <r>
    <x v="176"/>
    <x v="195"/>
    <x v="854"/>
    <x v="102"/>
    <x v="40"/>
    <x v="780"/>
    <x v="1"/>
  </r>
  <r>
    <x v="1717"/>
    <x v="265"/>
    <x v="855"/>
    <x v="174"/>
    <x v="38"/>
    <x v="1411"/>
    <x v="2"/>
  </r>
  <r>
    <x v="1105"/>
    <x v="187"/>
    <x v="856"/>
    <x v="85"/>
    <x v="47"/>
    <x v="1794"/>
    <x v="2"/>
  </r>
  <r>
    <x v="16"/>
    <x v="21"/>
    <x v="857"/>
    <x v="1"/>
    <x v="3"/>
    <x v="34"/>
    <x v="1"/>
  </r>
  <r>
    <x v="1794"/>
    <x v="170"/>
    <x v="858"/>
    <x v="128"/>
    <x v="32"/>
    <x v="1616"/>
    <x v="0"/>
  </r>
  <r>
    <x v="1791"/>
    <x v="242"/>
    <x v="859"/>
    <x v="125"/>
    <x v="2"/>
    <x v="556"/>
    <x v="1"/>
  </r>
  <r>
    <x v="1278"/>
    <x v="102"/>
    <x v="860"/>
    <x v="25"/>
    <x v="46"/>
    <x v="1566"/>
    <x v="2"/>
  </r>
  <r>
    <x v="1205"/>
    <x v="197"/>
    <x v="861"/>
    <x v="70"/>
    <x v="8"/>
    <x v="1271"/>
    <x v="2"/>
  </r>
  <r>
    <x v="1302"/>
    <x v="107"/>
    <x v="862"/>
    <x v="4"/>
    <x v="44"/>
    <x v="542"/>
    <x v="1"/>
  </r>
  <r>
    <x v="365"/>
    <x v="14"/>
    <x v="863"/>
    <x v="173"/>
    <x v="6"/>
    <x v="876"/>
    <x v="1"/>
  </r>
  <r>
    <x v="457"/>
    <x v="271"/>
    <x v="864"/>
    <x v="130"/>
    <x v="41"/>
    <x v="1437"/>
    <x v="3"/>
  </r>
  <r>
    <x v="366"/>
    <x v="14"/>
    <x v="865"/>
    <x v="72"/>
    <x v="28"/>
    <x v="608"/>
    <x v="1"/>
  </r>
  <r>
    <x v="1323"/>
    <x v="136"/>
    <x v="866"/>
    <x v="10"/>
    <x v="41"/>
    <x v="388"/>
    <x v="0"/>
  </r>
  <r>
    <x v="1590"/>
    <x v="81"/>
    <x v="867"/>
    <x v="35"/>
    <x v="2"/>
    <x v="25"/>
    <x v="1"/>
  </r>
  <r>
    <x v="1470"/>
    <x v="116"/>
    <x v="868"/>
    <x v="14"/>
    <x v="16"/>
    <x v="98"/>
    <x v="0"/>
  </r>
  <r>
    <x v="573"/>
    <x v="150"/>
    <x v="869"/>
    <x v="124"/>
    <x v="7"/>
    <x v="746"/>
    <x v="1"/>
  </r>
  <r>
    <x v="475"/>
    <x v="345"/>
    <x v="870"/>
    <x v="150"/>
    <x v="8"/>
    <x v="1711"/>
    <x v="0"/>
  </r>
  <r>
    <x v="78"/>
    <x v="197"/>
    <x v="871"/>
    <x v="60"/>
    <x v="14"/>
    <x v="389"/>
    <x v="1"/>
  </r>
  <r>
    <x v="337"/>
    <x v="273"/>
    <x v="872"/>
    <x v="151"/>
    <x v="48"/>
    <x v="1911"/>
    <x v="3"/>
  </r>
  <r>
    <x v="912"/>
    <x v="247"/>
    <x v="873"/>
    <x v="14"/>
    <x v="19"/>
    <x v="1256"/>
    <x v="1"/>
  </r>
  <r>
    <x v="1798"/>
    <x v="294"/>
    <x v="874"/>
    <x v="52"/>
    <x v="15"/>
    <x v="286"/>
    <x v="3"/>
  </r>
  <r>
    <x v="1718"/>
    <x v="23"/>
    <x v="875"/>
    <x v="59"/>
    <x v="1"/>
    <x v="57"/>
    <x v="3"/>
  </r>
  <r>
    <x v="466"/>
    <x v="167"/>
    <x v="876"/>
    <x v="88"/>
    <x v="45"/>
    <x v="1494"/>
    <x v="0"/>
  </r>
  <r>
    <x v="1439"/>
    <x v="109"/>
    <x v="877"/>
    <x v="215"/>
    <x v="9"/>
    <x v="1482"/>
    <x v="1"/>
  </r>
  <r>
    <x v="857"/>
    <x v="74"/>
    <x v="878"/>
    <x v="57"/>
    <x v="42"/>
    <x v="1874"/>
    <x v="1"/>
  </r>
  <r>
    <x v="1726"/>
    <x v="288"/>
    <x v="879"/>
    <x v="70"/>
    <x v="18"/>
    <x v="802"/>
    <x v="3"/>
  </r>
  <r>
    <x v="265"/>
    <x v="234"/>
    <x v="880"/>
    <x v="54"/>
    <x v="39"/>
    <x v="946"/>
    <x v="1"/>
  </r>
  <r>
    <x v="946"/>
    <x v="56"/>
    <x v="881"/>
    <x v="4"/>
    <x v="12"/>
    <x v="240"/>
    <x v="3"/>
  </r>
  <r>
    <x v="1307"/>
    <x v="102"/>
    <x v="882"/>
    <x v="38"/>
    <x v="30"/>
    <x v="1796"/>
    <x v="1"/>
  </r>
  <r>
    <x v="569"/>
    <x v="52"/>
    <x v="883"/>
    <x v="75"/>
    <x v="33"/>
    <x v="646"/>
    <x v="2"/>
  </r>
  <r>
    <x v="955"/>
    <x v="194"/>
    <x v="884"/>
    <x v="88"/>
    <x v="25"/>
    <x v="1587"/>
    <x v="1"/>
  </r>
  <r>
    <x v="574"/>
    <x v="150"/>
    <x v="885"/>
    <x v="48"/>
    <x v="47"/>
    <x v="690"/>
    <x v="1"/>
  </r>
  <r>
    <x v="803"/>
    <x v="100"/>
    <x v="886"/>
    <x v="9"/>
    <x v="45"/>
    <x v="1179"/>
    <x v="3"/>
  </r>
  <r>
    <x v="837"/>
    <x v="111"/>
    <x v="887"/>
    <x v="7"/>
    <x v="2"/>
    <x v="698"/>
    <x v="1"/>
  </r>
  <r>
    <x v="723"/>
    <x v="317"/>
    <x v="888"/>
    <x v="1"/>
    <x v="23"/>
    <x v="129"/>
    <x v="0"/>
  </r>
  <r>
    <x v="305"/>
    <x v="211"/>
    <x v="889"/>
    <x v="14"/>
    <x v="34"/>
    <x v="364"/>
    <x v="0"/>
  </r>
  <r>
    <x v="1799"/>
    <x v="294"/>
    <x v="890"/>
    <x v="55"/>
    <x v="30"/>
    <x v="743"/>
    <x v="3"/>
  </r>
  <r>
    <x v="1173"/>
    <x v="18"/>
    <x v="891"/>
    <x v="54"/>
    <x v="37"/>
    <x v="636"/>
    <x v="1"/>
  </r>
  <r>
    <x v="1041"/>
    <x v="201"/>
    <x v="892"/>
    <x v="25"/>
    <x v="12"/>
    <x v="1129"/>
    <x v="3"/>
  </r>
  <r>
    <x v="780"/>
    <x v="163"/>
    <x v="893"/>
    <x v="8"/>
    <x v="37"/>
    <x v="352"/>
    <x v="1"/>
  </r>
  <r>
    <x v="200"/>
    <x v="210"/>
    <x v="894"/>
    <x v="32"/>
    <x v="28"/>
    <x v="1265"/>
    <x v="1"/>
  </r>
  <r>
    <x v="1649"/>
    <x v="238"/>
    <x v="895"/>
    <x v="4"/>
    <x v="10"/>
    <x v="218"/>
    <x v="0"/>
  </r>
  <r>
    <x v="834"/>
    <x v="81"/>
    <x v="896"/>
    <x v="50"/>
    <x v="11"/>
    <x v="277"/>
    <x v="1"/>
  </r>
  <r>
    <x v="231"/>
    <x v="41"/>
    <x v="897"/>
    <x v="5"/>
    <x v="16"/>
    <x v="864"/>
    <x v="0"/>
  </r>
  <r>
    <x v="507"/>
    <x v="97"/>
    <x v="898"/>
    <x v="202"/>
    <x v="35"/>
    <x v="1540"/>
    <x v="2"/>
  </r>
  <r>
    <x v="280"/>
    <x v="130"/>
    <x v="899"/>
    <x v="2"/>
    <x v="45"/>
    <x v="317"/>
    <x v="0"/>
  </r>
  <r>
    <x v="1581"/>
    <x v="291"/>
    <x v="900"/>
    <x v="1"/>
    <x v="32"/>
    <x v="333"/>
    <x v="3"/>
  </r>
  <r>
    <x v="1591"/>
    <x v="327"/>
    <x v="901"/>
    <x v="3"/>
    <x v="12"/>
    <x v="224"/>
    <x v="3"/>
  </r>
  <r>
    <x v="1675"/>
    <x v="338"/>
    <x v="902"/>
    <x v="109"/>
    <x v="41"/>
    <x v="885"/>
    <x v="1"/>
  </r>
  <r>
    <x v="1531"/>
    <x v="165"/>
    <x v="903"/>
    <x v="156"/>
    <x v="15"/>
    <x v="1762"/>
    <x v="2"/>
  </r>
  <r>
    <x v="1288"/>
    <x v="148"/>
    <x v="904"/>
    <x v="69"/>
    <x v="8"/>
    <x v="1430"/>
    <x v="2"/>
  </r>
  <r>
    <x v="854"/>
    <x v="312"/>
    <x v="905"/>
    <x v="65"/>
    <x v="40"/>
    <x v="1553"/>
    <x v="3"/>
  </r>
  <r>
    <x v="150"/>
    <x v="232"/>
    <x v="906"/>
    <x v="88"/>
    <x v="29"/>
    <x v="1737"/>
    <x v="2"/>
  </r>
  <r>
    <x v="435"/>
    <x v="281"/>
    <x v="907"/>
    <x v="169"/>
    <x v="1"/>
    <x v="959"/>
    <x v="0"/>
  </r>
  <r>
    <x v="1808"/>
    <x v="218"/>
    <x v="908"/>
    <x v="49"/>
    <x v="37"/>
    <x v="797"/>
    <x v="1"/>
  </r>
  <r>
    <x v="1508"/>
    <x v="12"/>
    <x v="909"/>
    <x v="118"/>
    <x v="36"/>
    <x v="1283"/>
    <x v="1"/>
  </r>
  <r>
    <x v="895"/>
    <x v="270"/>
    <x v="910"/>
    <x v="47"/>
    <x v="16"/>
    <x v="1061"/>
    <x v="1"/>
  </r>
  <r>
    <x v="1381"/>
    <x v="140"/>
    <x v="911"/>
    <x v="4"/>
    <x v="20"/>
    <x v="198"/>
    <x v="2"/>
  </r>
  <r>
    <x v="1354"/>
    <x v="305"/>
    <x v="912"/>
    <x v="46"/>
    <x v="10"/>
    <x v="986"/>
    <x v="2"/>
  </r>
  <r>
    <x v="1085"/>
    <x v="32"/>
    <x v="913"/>
    <x v="223"/>
    <x v="8"/>
    <x v="1617"/>
    <x v="1"/>
  </r>
  <r>
    <x v="431"/>
    <x v="190"/>
    <x v="914"/>
    <x v="0"/>
    <x v="38"/>
    <x v="497"/>
    <x v="1"/>
  </r>
  <r>
    <x v="552"/>
    <x v="205"/>
    <x v="915"/>
    <x v="55"/>
    <x v="22"/>
    <x v="656"/>
    <x v="3"/>
  </r>
  <r>
    <x v="492"/>
    <x v="36"/>
    <x v="916"/>
    <x v="47"/>
    <x v="41"/>
    <x v="735"/>
    <x v="2"/>
  </r>
  <r>
    <x v="1904"/>
    <x v="293"/>
    <x v="917"/>
    <x v="5"/>
    <x v="5"/>
    <x v="30"/>
    <x v="2"/>
  </r>
  <r>
    <x v="72"/>
    <x v="34"/>
    <x v="918"/>
    <x v="239"/>
    <x v="38"/>
    <x v="1963"/>
    <x v="0"/>
  </r>
  <r>
    <x v="1481"/>
    <x v="40"/>
    <x v="919"/>
    <x v="25"/>
    <x v="34"/>
    <x v="751"/>
    <x v="2"/>
  </r>
  <r>
    <x v="868"/>
    <x v="106"/>
    <x v="920"/>
    <x v="9"/>
    <x v="46"/>
    <x v="1185"/>
    <x v="3"/>
  </r>
  <r>
    <x v="670"/>
    <x v="100"/>
    <x v="921"/>
    <x v="198"/>
    <x v="47"/>
    <x v="1871"/>
    <x v="0"/>
  </r>
  <r>
    <x v="281"/>
    <x v="130"/>
    <x v="922"/>
    <x v="81"/>
    <x v="41"/>
    <x v="800"/>
    <x v="0"/>
  </r>
  <r>
    <x v="1308"/>
    <x v="102"/>
    <x v="923"/>
    <x v="150"/>
    <x v="37"/>
    <x v="1471"/>
    <x v="1"/>
  </r>
  <r>
    <x v="528"/>
    <x v="153"/>
    <x v="924"/>
    <x v="1"/>
    <x v="48"/>
    <x v="486"/>
    <x v="3"/>
  </r>
  <r>
    <x v="540"/>
    <x v="222"/>
    <x v="925"/>
    <x v="59"/>
    <x v="4"/>
    <x v="980"/>
    <x v="1"/>
  </r>
  <r>
    <x v="1924"/>
    <x v="304"/>
    <x v="926"/>
    <x v="32"/>
    <x v="37"/>
    <x v="1535"/>
    <x v="1"/>
  </r>
  <r>
    <x v="339"/>
    <x v="165"/>
    <x v="927"/>
    <x v="124"/>
    <x v="1"/>
    <x v="726"/>
    <x v="2"/>
  </r>
  <r>
    <x v="1731"/>
    <x v="297"/>
    <x v="928"/>
    <x v="215"/>
    <x v="44"/>
    <x v="1941"/>
    <x v="3"/>
  </r>
  <r>
    <x v="1795"/>
    <x v="283"/>
    <x v="929"/>
    <x v="14"/>
    <x v="13"/>
    <x v="896"/>
    <x v="3"/>
  </r>
  <r>
    <x v="1275"/>
    <x v="342"/>
    <x v="930"/>
    <x v="5"/>
    <x v="35"/>
    <x v="1623"/>
    <x v="3"/>
  </r>
  <r>
    <x v="1836"/>
    <x v="121"/>
    <x v="931"/>
    <x v="7"/>
    <x v="23"/>
    <x v="1020"/>
    <x v="0"/>
  </r>
  <r>
    <x v="1318"/>
    <x v="213"/>
    <x v="932"/>
    <x v="49"/>
    <x v="30"/>
    <x v="1143"/>
    <x v="1"/>
  </r>
  <r>
    <x v="1709"/>
    <x v="303"/>
    <x v="933"/>
    <x v="235"/>
    <x v="46"/>
    <x v="1699"/>
    <x v="0"/>
  </r>
  <r>
    <x v="1447"/>
    <x v="329"/>
    <x v="934"/>
    <x v="88"/>
    <x v="15"/>
    <x v="1647"/>
    <x v="1"/>
  </r>
  <r>
    <x v="973"/>
    <x v="173"/>
    <x v="935"/>
    <x v="79"/>
    <x v="33"/>
    <x v="1680"/>
    <x v="1"/>
  </r>
  <r>
    <x v="740"/>
    <x v="42"/>
    <x v="936"/>
    <x v="53"/>
    <x v="26"/>
    <x v="867"/>
    <x v="1"/>
  </r>
  <r>
    <x v="385"/>
    <x v="244"/>
    <x v="937"/>
    <x v="72"/>
    <x v="21"/>
    <x v="931"/>
    <x v="0"/>
  </r>
  <r>
    <x v="654"/>
    <x v="85"/>
    <x v="938"/>
    <x v="6"/>
    <x v="40"/>
    <x v="1366"/>
    <x v="1"/>
  </r>
  <r>
    <x v="1899"/>
    <x v="63"/>
    <x v="939"/>
    <x v="65"/>
    <x v="3"/>
    <x v="58"/>
    <x v="0"/>
  </r>
  <r>
    <x v="1805"/>
    <x v="340"/>
    <x v="940"/>
    <x v="58"/>
    <x v="20"/>
    <x v="560"/>
    <x v="1"/>
  </r>
  <r>
    <x v="1050"/>
    <x v="195"/>
    <x v="941"/>
    <x v="14"/>
    <x v="41"/>
    <x v="1524"/>
    <x v="2"/>
  </r>
  <r>
    <x v="340"/>
    <x v="165"/>
    <x v="942"/>
    <x v="156"/>
    <x v="23"/>
    <x v="1877"/>
    <x v="2"/>
  </r>
  <r>
    <x v="1065"/>
    <x v="340"/>
    <x v="943"/>
    <x v="88"/>
    <x v="41"/>
    <x v="1818"/>
    <x v="2"/>
  </r>
  <r>
    <x v="1259"/>
    <x v="90"/>
    <x v="944"/>
    <x v="0"/>
    <x v="23"/>
    <x v="420"/>
    <x v="2"/>
  </r>
  <r>
    <x v="296"/>
    <x v="328"/>
    <x v="945"/>
    <x v="88"/>
    <x v="30"/>
    <x v="1687"/>
    <x v="0"/>
  </r>
  <r>
    <x v="1659"/>
    <x v="293"/>
    <x v="946"/>
    <x v="5"/>
    <x v="20"/>
    <x v="342"/>
    <x v="1"/>
  </r>
  <r>
    <x v="862"/>
    <x v="320"/>
    <x v="947"/>
    <x v="60"/>
    <x v="3"/>
    <x v="176"/>
    <x v="1"/>
  </r>
  <r>
    <x v="1775"/>
    <x v="270"/>
    <x v="948"/>
    <x v="7"/>
    <x v="21"/>
    <x v="513"/>
    <x v="0"/>
  </r>
  <r>
    <x v="1327"/>
    <x v="271"/>
    <x v="949"/>
    <x v="44"/>
    <x v="0"/>
    <x v="10"/>
    <x v="3"/>
  </r>
  <r>
    <x v="1153"/>
    <x v="111"/>
    <x v="950"/>
    <x v="70"/>
    <x v="10"/>
    <x v="190"/>
    <x v="0"/>
  </r>
  <r>
    <x v="1169"/>
    <x v="8"/>
    <x v="951"/>
    <x v="7"/>
    <x v="38"/>
    <x v="710"/>
    <x v="1"/>
  </r>
  <r>
    <x v="422"/>
    <x v="9"/>
    <x v="952"/>
    <x v="35"/>
    <x v="20"/>
    <x v="280"/>
    <x v="1"/>
  </r>
  <r>
    <x v="607"/>
    <x v="172"/>
    <x v="953"/>
    <x v="47"/>
    <x v="9"/>
    <x v="900"/>
    <x v="1"/>
  </r>
  <r>
    <x v="741"/>
    <x v="42"/>
    <x v="954"/>
    <x v="8"/>
    <x v="33"/>
    <x v="356"/>
    <x v="1"/>
  </r>
  <r>
    <x v="1392"/>
    <x v="340"/>
    <x v="955"/>
    <x v="125"/>
    <x v="35"/>
    <x v="1527"/>
    <x v="1"/>
  </r>
  <r>
    <x v="1527"/>
    <x v="224"/>
    <x v="956"/>
    <x v="23"/>
    <x v="16"/>
    <x v="1664"/>
    <x v="0"/>
  </r>
  <r>
    <x v="477"/>
    <x v="119"/>
    <x v="957"/>
    <x v="127"/>
    <x v="37"/>
    <x v="1300"/>
    <x v="1"/>
  </r>
  <r>
    <x v="502"/>
    <x v="228"/>
    <x v="958"/>
    <x v="216"/>
    <x v="33"/>
    <x v="1901"/>
    <x v="0"/>
  </r>
  <r>
    <x v="1598"/>
    <x v="216"/>
    <x v="959"/>
    <x v="30"/>
    <x v="12"/>
    <x v="992"/>
    <x v="1"/>
  </r>
  <r>
    <x v="1095"/>
    <x v="338"/>
    <x v="960"/>
    <x v="20"/>
    <x v="21"/>
    <x v="338"/>
    <x v="1"/>
  </r>
  <r>
    <x v="1519"/>
    <x v="6"/>
    <x v="961"/>
    <x v="20"/>
    <x v="11"/>
    <x v="1373"/>
    <x v="0"/>
  </r>
  <r>
    <x v="510"/>
    <x v="212"/>
    <x v="962"/>
    <x v="29"/>
    <x v="1"/>
    <x v="27"/>
    <x v="3"/>
  </r>
  <r>
    <x v="869"/>
    <x v="106"/>
    <x v="963"/>
    <x v="103"/>
    <x v="11"/>
    <x v="795"/>
    <x v="3"/>
  </r>
  <r>
    <x v="634"/>
    <x v="268"/>
    <x v="964"/>
    <x v="165"/>
    <x v="37"/>
    <x v="1797"/>
    <x v="0"/>
  </r>
  <r>
    <x v="1584"/>
    <x v="105"/>
    <x v="965"/>
    <x v="126"/>
    <x v="24"/>
    <x v="1427"/>
    <x v="2"/>
  </r>
  <r>
    <x v="1753"/>
    <x v="255"/>
    <x v="966"/>
    <x v="29"/>
    <x v="36"/>
    <x v="675"/>
    <x v="2"/>
  </r>
  <r>
    <x v="889"/>
    <x v="323"/>
    <x v="967"/>
    <x v="10"/>
    <x v="9"/>
    <x v="215"/>
    <x v="2"/>
  </r>
  <r>
    <x v="1712"/>
    <x v="233"/>
    <x v="968"/>
    <x v="32"/>
    <x v="23"/>
    <x v="688"/>
    <x v="2"/>
  </r>
  <r>
    <x v="1962"/>
    <x v="297"/>
    <x v="969"/>
    <x v="229"/>
    <x v="13"/>
    <x v="1661"/>
    <x v="3"/>
  </r>
  <r>
    <x v="46"/>
    <x v="132"/>
    <x v="970"/>
    <x v="10"/>
    <x v="49"/>
    <x v="888"/>
    <x v="1"/>
  </r>
  <r>
    <x v="1837"/>
    <x v="121"/>
    <x v="971"/>
    <x v="40"/>
    <x v="28"/>
    <x v="628"/>
    <x v="0"/>
  </r>
  <r>
    <x v="1851"/>
    <x v="311"/>
    <x v="972"/>
    <x v="159"/>
    <x v="47"/>
    <x v="1952"/>
    <x v="1"/>
  </r>
  <r>
    <x v="1671"/>
    <x v="171"/>
    <x v="973"/>
    <x v="55"/>
    <x v="14"/>
    <x v="732"/>
    <x v="2"/>
  </r>
  <r>
    <x v="178"/>
    <x v="43"/>
    <x v="974"/>
    <x v="17"/>
    <x v="22"/>
    <x v="479"/>
    <x v="3"/>
  </r>
  <r>
    <x v="641"/>
    <x v="67"/>
    <x v="975"/>
    <x v="63"/>
    <x v="25"/>
    <x v="1128"/>
    <x v="1"/>
  </r>
  <r>
    <x v="1399"/>
    <x v="333"/>
    <x v="976"/>
    <x v="60"/>
    <x v="35"/>
    <x v="750"/>
    <x v="0"/>
  </r>
  <r>
    <x v="1416"/>
    <x v="275"/>
    <x v="977"/>
    <x v="17"/>
    <x v="25"/>
    <x v="761"/>
    <x v="3"/>
  </r>
  <r>
    <x v="1091"/>
    <x v="338"/>
    <x v="978"/>
    <x v="88"/>
    <x v="30"/>
    <x v="1420"/>
    <x v="0"/>
  </r>
  <r>
    <x v="1514"/>
    <x v="197"/>
    <x v="979"/>
    <x v="14"/>
    <x v="41"/>
    <x v="1383"/>
    <x v="0"/>
  </r>
  <r>
    <x v="1544"/>
    <x v="14"/>
    <x v="980"/>
    <x v="0"/>
    <x v="33"/>
    <x v="709"/>
    <x v="1"/>
  </r>
  <r>
    <x v="901"/>
    <x v="280"/>
    <x v="981"/>
    <x v="174"/>
    <x v="5"/>
    <x v="1168"/>
    <x v="3"/>
  </r>
  <r>
    <x v="948"/>
    <x v="38"/>
    <x v="982"/>
    <x v="47"/>
    <x v="47"/>
    <x v="1588"/>
    <x v="3"/>
  </r>
  <r>
    <x v="1629"/>
    <x v="138"/>
    <x v="983"/>
    <x v="42"/>
    <x v="12"/>
    <x v="105"/>
    <x v="2"/>
  </r>
  <r>
    <x v="479"/>
    <x v="141"/>
    <x v="984"/>
    <x v="176"/>
    <x v="5"/>
    <x v="1171"/>
    <x v="3"/>
  </r>
  <r>
    <x v="1053"/>
    <x v="223"/>
    <x v="985"/>
    <x v="18"/>
    <x v="7"/>
    <x v="236"/>
    <x v="2"/>
  </r>
  <r>
    <x v="1766"/>
    <x v="300"/>
    <x v="986"/>
    <x v="28"/>
    <x v="23"/>
    <x v="1336"/>
    <x v="1"/>
  </r>
  <r>
    <x v="1711"/>
    <x v="320"/>
    <x v="987"/>
    <x v="174"/>
    <x v="3"/>
    <x v="1014"/>
    <x v="1"/>
  </r>
  <r>
    <x v="728"/>
    <x v="17"/>
    <x v="988"/>
    <x v="30"/>
    <x v="49"/>
    <x v="1011"/>
    <x v="0"/>
  </r>
  <r>
    <x v="993"/>
    <x v="162"/>
    <x v="989"/>
    <x v="56"/>
    <x v="33"/>
    <x v="708"/>
    <x v="1"/>
  </r>
  <r>
    <x v="332"/>
    <x v="41"/>
    <x v="990"/>
    <x v="230"/>
    <x v="19"/>
    <x v="1626"/>
    <x v="1"/>
  </r>
  <r>
    <x v="1890"/>
    <x v="82"/>
    <x v="991"/>
    <x v="60"/>
    <x v="40"/>
    <x v="469"/>
    <x v="2"/>
  </r>
  <r>
    <x v="893"/>
    <x v="352"/>
    <x v="992"/>
    <x v="6"/>
    <x v="1"/>
    <x v="206"/>
    <x v="3"/>
  </r>
  <r>
    <x v="1613"/>
    <x v="23"/>
    <x v="993"/>
    <x v="170"/>
    <x v="14"/>
    <x v="1518"/>
    <x v="2"/>
  </r>
  <r>
    <x v="756"/>
    <x v="68"/>
    <x v="994"/>
    <x v="36"/>
    <x v="41"/>
    <x v="1860"/>
    <x v="2"/>
  </r>
  <r>
    <x v="1488"/>
    <x v="224"/>
    <x v="995"/>
    <x v="53"/>
    <x v="0"/>
    <x v="18"/>
    <x v="3"/>
  </r>
  <r>
    <x v="1970"/>
    <x v="310"/>
    <x v="996"/>
    <x v="141"/>
    <x v="18"/>
    <x v="1142"/>
    <x v="0"/>
  </r>
  <r>
    <x v="1048"/>
    <x v="199"/>
    <x v="997"/>
    <x v="32"/>
    <x v="34"/>
    <x v="808"/>
    <x v="0"/>
  </r>
  <r>
    <x v="1448"/>
    <x v="329"/>
    <x v="998"/>
    <x v="241"/>
    <x v="16"/>
    <x v="1627"/>
    <x v="1"/>
  </r>
  <r>
    <x v="684"/>
    <x v="117"/>
    <x v="999"/>
    <x v="6"/>
    <x v="33"/>
    <x v="405"/>
    <x v="0"/>
  </r>
  <r>
    <x v="1019"/>
    <x v="123"/>
    <x v="1000"/>
    <x v="14"/>
    <x v="7"/>
    <x v="614"/>
    <x v="1"/>
  </r>
  <r>
    <x v="1052"/>
    <x v="214"/>
    <x v="1001"/>
    <x v="20"/>
    <x v="19"/>
    <x v="1335"/>
    <x v="2"/>
  </r>
  <r>
    <x v="1777"/>
    <x v="72"/>
    <x v="1002"/>
    <x v="96"/>
    <x v="11"/>
    <x v="1036"/>
    <x v="0"/>
  </r>
  <r>
    <x v="130"/>
    <x v="112"/>
    <x v="1003"/>
    <x v="49"/>
    <x v="11"/>
    <x v="273"/>
    <x v="3"/>
  </r>
  <r>
    <x v="1237"/>
    <x v="146"/>
    <x v="1004"/>
    <x v="114"/>
    <x v="0"/>
    <x v="92"/>
    <x v="2"/>
  </r>
  <r>
    <x v="1523"/>
    <x v="9"/>
    <x v="1005"/>
    <x v="150"/>
    <x v="45"/>
    <x v="1876"/>
    <x v="2"/>
  </r>
  <r>
    <x v="1597"/>
    <x v="12"/>
    <x v="1006"/>
    <x v="9"/>
    <x v="31"/>
    <x v="773"/>
    <x v="2"/>
  </r>
  <r>
    <x v="299"/>
    <x v="41"/>
    <x v="1007"/>
    <x v="51"/>
    <x v="42"/>
    <x v="589"/>
    <x v="3"/>
  </r>
  <r>
    <x v="170"/>
    <x v="181"/>
    <x v="1008"/>
    <x v="25"/>
    <x v="6"/>
    <x v="202"/>
    <x v="2"/>
  </r>
  <r>
    <x v="1571"/>
    <x v="135"/>
    <x v="1009"/>
    <x v="193"/>
    <x v="48"/>
    <x v="1967"/>
    <x v="1"/>
  </r>
  <r>
    <x v="525"/>
    <x v="46"/>
    <x v="1010"/>
    <x v="129"/>
    <x v="46"/>
    <x v="1965"/>
    <x v="1"/>
  </r>
  <r>
    <x v="306"/>
    <x v="216"/>
    <x v="1011"/>
    <x v="0"/>
    <x v="43"/>
    <x v="606"/>
    <x v="1"/>
  </r>
  <r>
    <x v="1667"/>
    <x v="5"/>
    <x v="1012"/>
    <x v="7"/>
    <x v="26"/>
    <x v="1249"/>
    <x v="2"/>
  </r>
  <r>
    <x v="352"/>
    <x v="16"/>
    <x v="1013"/>
    <x v="54"/>
    <x v="7"/>
    <x v="130"/>
    <x v="2"/>
  </r>
  <r>
    <x v="1495"/>
    <x v="254"/>
    <x v="1014"/>
    <x v="17"/>
    <x v="23"/>
    <x v="468"/>
    <x v="1"/>
  </r>
  <r>
    <x v="73"/>
    <x v="34"/>
    <x v="1015"/>
    <x v="38"/>
    <x v="6"/>
    <x v="1226"/>
    <x v="0"/>
  </r>
  <r>
    <x v="324"/>
    <x v="0"/>
    <x v="1016"/>
    <x v="212"/>
    <x v="15"/>
    <x v="1800"/>
    <x v="1"/>
  </r>
  <r>
    <x v="1072"/>
    <x v="290"/>
    <x v="1017"/>
    <x v="32"/>
    <x v="21"/>
    <x v="1069"/>
    <x v="3"/>
  </r>
  <r>
    <x v="610"/>
    <x v="198"/>
    <x v="1018"/>
    <x v="41"/>
    <x v="2"/>
    <x v="112"/>
    <x v="1"/>
  </r>
  <r>
    <x v="1473"/>
    <x v="264"/>
    <x v="1019"/>
    <x v="1"/>
    <x v="18"/>
    <x v="90"/>
    <x v="1"/>
  </r>
  <r>
    <x v="440"/>
    <x v="96"/>
    <x v="1020"/>
    <x v="10"/>
    <x v="15"/>
    <x v="158"/>
    <x v="1"/>
  </r>
  <r>
    <x v="151"/>
    <x v="232"/>
    <x v="1021"/>
    <x v="0"/>
    <x v="49"/>
    <x v="633"/>
    <x v="2"/>
  </r>
  <r>
    <x v="253"/>
    <x v="4"/>
    <x v="1022"/>
    <x v="35"/>
    <x v="25"/>
    <x v="309"/>
    <x v="0"/>
  </r>
  <r>
    <x v="709"/>
    <x v="286"/>
    <x v="1023"/>
    <x v="80"/>
    <x v="29"/>
    <x v="1103"/>
    <x v="2"/>
  </r>
  <r>
    <x v="819"/>
    <x v="257"/>
    <x v="1024"/>
    <x v="7"/>
    <x v="1"/>
    <x v="502"/>
    <x v="0"/>
  </r>
  <r>
    <x v="1538"/>
    <x v="150"/>
    <x v="1025"/>
    <x v="88"/>
    <x v="26"/>
    <x v="1158"/>
    <x v="1"/>
  </r>
  <r>
    <x v="289"/>
    <x v="278"/>
    <x v="1026"/>
    <x v="63"/>
    <x v="16"/>
    <x v="1633"/>
    <x v="3"/>
  </r>
  <r>
    <x v="1577"/>
    <x v="59"/>
    <x v="1027"/>
    <x v="46"/>
    <x v="0"/>
    <x v="56"/>
    <x v="2"/>
  </r>
  <r>
    <x v="454"/>
    <x v="62"/>
    <x v="1028"/>
    <x v="3"/>
    <x v="11"/>
    <x v="77"/>
    <x v="1"/>
  </r>
  <r>
    <x v="483"/>
    <x v="343"/>
    <x v="1029"/>
    <x v="88"/>
    <x v="45"/>
    <x v="1364"/>
    <x v="3"/>
  </r>
  <r>
    <x v="415"/>
    <x v="48"/>
    <x v="1030"/>
    <x v="209"/>
    <x v="30"/>
    <x v="1665"/>
    <x v="1"/>
  </r>
  <r>
    <x v="1742"/>
    <x v="180"/>
    <x v="1031"/>
    <x v="47"/>
    <x v="31"/>
    <x v="664"/>
    <x v="0"/>
  </r>
  <r>
    <x v="1755"/>
    <x v="260"/>
    <x v="1032"/>
    <x v="52"/>
    <x v="19"/>
    <x v="1132"/>
    <x v="1"/>
  </r>
  <r>
    <x v="28"/>
    <x v="204"/>
    <x v="1033"/>
    <x v="51"/>
    <x v="37"/>
    <x v="837"/>
    <x v="2"/>
  </r>
  <r>
    <x v="1086"/>
    <x v="73"/>
    <x v="1034"/>
    <x v="133"/>
    <x v="5"/>
    <x v="537"/>
    <x v="2"/>
  </r>
  <r>
    <x v="754"/>
    <x v="202"/>
    <x v="1035"/>
    <x v="12"/>
    <x v="38"/>
    <x v="873"/>
    <x v="3"/>
  </r>
  <r>
    <x v="877"/>
    <x v="196"/>
    <x v="1036"/>
    <x v="14"/>
    <x v="43"/>
    <x v="255"/>
    <x v="1"/>
  </r>
  <r>
    <x v="226"/>
    <x v="272"/>
    <x v="1037"/>
    <x v="21"/>
    <x v="42"/>
    <x v="300"/>
    <x v="1"/>
  </r>
  <r>
    <x v="979"/>
    <x v="10"/>
    <x v="1038"/>
    <x v="14"/>
    <x v="22"/>
    <x v="122"/>
    <x v="2"/>
  </r>
  <r>
    <x v="50"/>
    <x v="250"/>
    <x v="1039"/>
    <x v="124"/>
    <x v="47"/>
    <x v="1795"/>
    <x v="0"/>
  </r>
  <r>
    <x v="637"/>
    <x v="249"/>
    <x v="1040"/>
    <x v="127"/>
    <x v="30"/>
    <x v="1232"/>
    <x v="2"/>
  </r>
  <r>
    <x v="90"/>
    <x v="278"/>
    <x v="1041"/>
    <x v="88"/>
    <x v="36"/>
    <x v="1584"/>
    <x v="2"/>
  </r>
  <r>
    <x v="1370"/>
    <x v="339"/>
    <x v="1042"/>
    <x v="60"/>
    <x v="38"/>
    <x v="1058"/>
    <x v="2"/>
  </r>
  <r>
    <x v="688"/>
    <x v="48"/>
    <x v="1043"/>
    <x v="14"/>
    <x v="38"/>
    <x v="1105"/>
    <x v="0"/>
  </r>
  <r>
    <x v="270"/>
    <x v="221"/>
    <x v="1044"/>
    <x v="50"/>
    <x v="43"/>
    <x v="1609"/>
    <x v="3"/>
  </r>
  <r>
    <x v="571"/>
    <x v="257"/>
    <x v="1045"/>
    <x v="38"/>
    <x v="32"/>
    <x v="1798"/>
    <x v="1"/>
  </r>
  <r>
    <x v="1276"/>
    <x v="342"/>
    <x v="1046"/>
    <x v="0"/>
    <x v="9"/>
    <x v="239"/>
    <x v="3"/>
  </r>
  <r>
    <x v="707"/>
    <x v="21"/>
    <x v="1047"/>
    <x v="68"/>
    <x v="43"/>
    <x v="1070"/>
    <x v="3"/>
  </r>
  <r>
    <x v="262"/>
    <x v="26"/>
    <x v="1048"/>
    <x v="75"/>
    <x v="2"/>
    <x v="879"/>
    <x v="1"/>
  </r>
  <r>
    <x v="883"/>
    <x v="133"/>
    <x v="1049"/>
    <x v="88"/>
    <x v="10"/>
    <x v="1353"/>
    <x v="2"/>
  </r>
  <r>
    <x v="321"/>
    <x v="236"/>
    <x v="1050"/>
    <x v="45"/>
    <x v="36"/>
    <x v="1654"/>
    <x v="1"/>
  </r>
  <r>
    <x v="997"/>
    <x v="176"/>
    <x v="1051"/>
    <x v="25"/>
    <x v="39"/>
    <x v="1453"/>
    <x v="1"/>
  </r>
  <r>
    <x v="1248"/>
    <x v="52"/>
    <x v="1052"/>
    <x v="29"/>
    <x v="26"/>
    <x v="868"/>
    <x v="2"/>
  </r>
  <r>
    <x v="537"/>
    <x v="351"/>
    <x v="1053"/>
    <x v="10"/>
    <x v="28"/>
    <x v="1262"/>
    <x v="1"/>
  </r>
  <r>
    <x v="189"/>
    <x v="240"/>
    <x v="1054"/>
    <x v="50"/>
    <x v="5"/>
    <x v="79"/>
    <x v="1"/>
  </r>
  <r>
    <x v="1949"/>
    <x v="151"/>
    <x v="1055"/>
    <x v="5"/>
    <x v="23"/>
    <x v="1536"/>
    <x v="3"/>
  </r>
  <r>
    <x v="1012"/>
    <x v="318"/>
    <x v="1056"/>
    <x v="154"/>
    <x v="8"/>
    <x v="1502"/>
    <x v="2"/>
  </r>
  <r>
    <x v="1355"/>
    <x v="85"/>
    <x v="1057"/>
    <x v="0"/>
    <x v="6"/>
    <x v="61"/>
    <x v="1"/>
  </r>
  <r>
    <x v="1913"/>
    <x v="162"/>
    <x v="1058"/>
    <x v="78"/>
    <x v="43"/>
    <x v="1026"/>
    <x v="3"/>
  </r>
  <r>
    <x v="277"/>
    <x v="141"/>
    <x v="1059"/>
    <x v="0"/>
    <x v="40"/>
    <x v="593"/>
    <x v="1"/>
  </r>
  <r>
    <x v="1530"/>
    <x v="40"/>
    <x v="1060"/>
    <x v="194"/>
    <x v="34"/>
    <x v="1802"/>
    <x v="2"/>
  </r>
  <r>
    <x v="283"/>
    <x v="145"/>
    <x v="1061"/>
    <x v="88"/>
    <x v="12"/>
    <x v="1227"/>
    <x v="1"/>
  </r>
  <r>
    <x v="1175"/>
    <x v="60"/>
    <x v="1062"/>
    <x v="187"/>
    <x v="49"/>
    <x v="1925"/>
    <x v="1"/>
  </r>
  <r>
    <x v="1313"/>
    <x v="127"/>
    <x v="1063"/>
    <x v="55"/>
    <x v="8"/>
    <x v="285"/>
    <x v="3"/>
  </r>
  <r>
    <x v="729"/>
    <x v="17"/>
    <x v="1064"/>
    <x v="150"/>
    <x v="4"/>
    <x v="1078"/>
    <x v="0"/>
  </r>
  <r>
    <x v="145"/>
    <x v="322"/>
    <x v="1065"/>
    <x v="25"/>
    <x v="39"/>
    <x v="1525"/>
    <x v="3"/>
  </r>
  <r>
    <x v="129"/>
    <x v="51"/>
    <x v="1066"/>
    <x v="10"/>
    <x v="26"/>
    <x v="933"/>
    <x v="0"/>
  </r>
  <r>
    <x v="896"/>
    <x v="147"/>
    <x v="1067"/>
    <x v="107"/>
    <x v="2"/>
    <x v="262"/>
    <x v="3"/>
  </r>
  <r>
    <x v="1826"/>
    <x v="295"/>
    <x v="1068"/>
    <x v="44"/>
    <x v="19"/>
    <x v="178"/>
    <x v="2"/>
  </r>
  <r>
    <x v="62"/>
    <x v="244"/>
    <x v="1069"/>
    <x v="3"/>
    <x v="25"/>
    <x v="457"/>
    <x v="3"/>
  </r>
  <r>
    <x v="638"/>
    <x v="330"/>
    <x v="1070"/>
    <x v="88"/>
    <x v="7"/>
    <x v="653"/>
    <x v="0"/>
  </r>
  <r>
    <x v="363"/>
    <x v="152"/>
    <x v="1071"/>
    <x v="32"/>
    <x v="20"/>
    <x v="392"/>
    <x v="1"/>
  </r>
  <r>
    <x v="1615"/>
    <x v="263"/>
    <x v="1072"/>
    <x v="89"/>
    <x v="37"/>
    <x v="1200"/>
    <x v="2"/>
  </r>
  <r>
    <x v="1512"/>
    <x v="34"/>
    <x v="1073"/>
    <x v="55"/>
    <x v="31"/>
    <x v="1166"/>
    <x v="0"/>
  </r>
  <r>
    <x v="297"/>
    <x v="328"/>
    <x v="1074"/>
    <x v="174"/>
    <x v="17"/>
    <x v="1509"/>
    <x v="0"/>
  </r>
  <r>
    <x v="844"/>
    <x v="107"/>
    <x v="1075"/>
    <x v="44"/>
    <x v="17"/>
    <x v="917"/>
    <x v="1"/>
  </r>
  <r>
    <x v="1224"/>
    <x v="302"/>
    <x v="1076"/>
    <x v="93"/>
    <x v="39"/>
    <x v="1189"/>
    <x v="2"/>
  </r>
  <r>
    <x v="1225"/>
    <x v="302"/>
    <x v="1077"/>
    <x v="174"/>
    <x v="37"/>
    <x v="1788"/>
    <x v="2"/>
  </r>
  <r>
    <x v="1706"/>
    <x v="47"/>
    <x v="1078"/>
    <x v="70"/>
    <x v="12"/>
    <x v="1403"/>
    <x v="3"/>
  </r>
  <r>
    <x v="197"/>
    <x v="230"/>
    <x v="1079"/>
    <x v="58"/>
    <x v="42"/>
    <x v="895"/>
    <x v="2"/>
  </r>
  <r>
    <x v="765"/>
    <x v="97"/>
    <x v="1080"/>
    <x v="107"/>
    <x v="7"/>
    <x v="615"/>
    <x v="3"/>
  </r>
  <r>
    <x v="1489"/>
    <x v="224"/>
    <x v="1081"/>
    <x v="52"/>
    <x v="22"/>
    <x v="1408"/>
    <x v="3"/>
  </r>
  <r>
    <x v="1695"/>
    <x v="293"/>
    <x v="1082"/>
    <x v="19"/>
    <x v="13"/>
    <x v="116"/>
    <x v="1"/>
  </r>
  <r>
    <x v="1786"/>
    <x v="211"/>
    <x v="1083"/>
    <x v="142"/>
    <x v="42"/>
    <x v="1529"/>
    <x v="0"/>
  </r>
  <r>
    <x v="1192"/>
    <x v="83"/>
    <x v="1084"/>
    <x v="133"/>
    <x v="44"/>
    <x v="1319"/>
    <x v="2"/>
  </r>
  <r>
    <x v="1172"/>
    <x v="184"/>
    <x v="1085"/>
    <x v="77"/>
    <x v="22"/>
    <x v="514"/>
    <x v="0"/>
  </r>
  <r>
    <x v="1967"/>
    <x v="258"/>
    <x v="1086"/>
    <x v="24"/>
    <x v="47"/>
    <x v="993"/>
    <x v="2"/>
  </r>
  <r>
    <x v="1004"/>
    <x v="329"/>
    <x v="1087"/>
    <x v="138"/>
    <x v="38"/>
    <x v="1964"/>
    <x v="1"/>
  </r>
  <r>
    <x v="1524"/>
    <x v="9"/>
    <x v="1088"/>
    <x v="14"/>
    <x v="40"/>
    <x v="1488"/>
    <x v="2"/>
  </r>
  <r>
    <x v="307"/>
    <x v="195"/>
    <x v="1089"/>
    <x v="76"/>
    <x v="13"/>
    <x v="302"/>
    <x v="0"/>
  </r>
  <r>
    <x v="1013"/>
    <x v="318"/>
    <x v="1090"/>
    <x v="95"/>
    <x v="27"/>
    <x v="1016"/>
    <x v="2"/>
  </r>
  <r>
    <x v="1405"/>
    <x v="235"/>
    <x v="1091"/>
    <x v="59"/>
    <x v="44"/>
    <x v="1082"/>
    <x v="2"/>
  </r>
  <r>
    <x v="824"/>
    <x v="22"/>
    <x v="1092"/>
    <x v="96"/>
    <x v="17"/>
    <x v="1194"/>
    <x v="0"/>
  </r>
  <r>
    <x v="245"/>
    <x v="168"/>
    <x v="1093"/>
    <x v="150"/>
    <x v="46"/>
    <x v="1655"/>
    <x v="1"/>
  </r>
  <r>
    <x v="287"/>
    <x v="331"/>
    <x v="1094"/>
    <x v="23"/>
    <x v="35"/>
    <x v="804"/>
    <x v="0"/>
  </r>
  <r>
    <x v="1620"/>
    <x v="41"/>
    <x v="1095"/>
    <x v="9"/>
    <x v="7"/>
    <x v="164"/>
    <x v="1"/>
  </r>
  <r>
    <x v="143"/>
    <x v="134"/>
    <x v="1096"/>
    <x v="88"/>
    <x v="11"/>
    <x v="887"/>
    <x v="0"/>
  </r>
  <r>
    <x v="134"/>
    <x v="154"/>
    <x v="1097"/>
    <x v="14"/>
    <x v="21"/>
    <x v="1167"/>
    <x v="2"/>
  </r>
  <r>
    <x v="288"/>
    <x v="153"/>
    <x v="1098"/>
    <x v="60"/>
    <x v="22"/>
    <x v="852"/>
    <x v="3"/>
  </r>
  <r>
    <x v="712"/>
    <x v="29"/>
    <x v="1099"/>
    <x v="88"/>
    <x v="1"/>
    <x v="425"/>
    <x v="0"/>
  </r>
  <r>
    <x v="508"/>
    <x v="97"/>
    <x v="1100"/>
    <x v="16"/>
    <x v="3"/>
    <x v="83"/>
    <x v="2"/>
  </r>
  <r>
    <x v="716"/>
    <x v="337"/>
    <x v="1101"/>
    <x v="231"/>
    <x v="20"/>
    <x v="1575"/>
    <x v="3"/>
  </r>
  <r>
    <x v="1952"/>
    <x v="154"/>
    <x v="1102"/>
    <x v="99"/>
    <x v="19"/>
    <x v="477"/>
    <x v="3"/>
  </r>
  <r>
    <x v="1134"/>
    <x v="287"/>
    <x v="1103"/>
    <x v="36"/>
    <x v="26"/>
    <x v="1464"/>
    <x v="3"/>
  </r>
  <r>
    <x v="327"/>
    <x v="166"/>
    <x v="1104"/>
    <x v="128"/>
    <x v="9"/>
    <x v="1225"/>
    <x v="1"/>
  </r>
  <r>
    <x v="132"/>
    <x v="71"/>
    <x v="1105"/>
    <x v="107"/>
    <x v="23"/>
    <x v="948"/>
    <x v="3"/>
  </r>
  <r>
    <x v="63"/>
    <x v="244"/>
    <x v="1106"/>
    <x v="49"/>
    <x v="9"/>
    <x v="1100"/>
    <x v="3"/>
  </r>
  <r>
    <x v="453"/>
    <x v="273"/>
    <x v="1107"/>
    <x v="14"/>
    <x v="45"/>
    <x v="1554"/>
    <x v="0"/>
  </r>
  <r>
    <x v="703"/>
    <x v="27"/>
    <x v="1108"/>
    <x v="49"/>
    <x v="8"/>
    <x v="245"/>
    <x v="2"/>
  </r>
  <r>
    <x v="1195"/>
    <x v="209"/>
    <x v="1109"/>
    <x v="39"/>
    <x v="6"/>
    <x v="123"/>
    <x v="0"/>
  </r>
  <r>
    <x v="1201"/>
    <x v="46"/>
    <x v="1110"/>
    <x v="63"/>
    <x v="7"/>
    <x v="237"/>
    <x v="3"/>
  </r>
  <r>
    <x v="1928"/>
    <x v="36"/>
    <x v="1111"/>
    <x v="83"/>
    <x v="49"/>
    <x v="922"/>
    <x v="1"/>
  </r>
  <r>
    <x v="887"/>
    <x v="44"/>
    <x v="1112"/>
    <x v="51"/>
    <x v="1"/>
    <x v="74"/>
    <x v="2"/>
  </r>
  <r>
    <x v="1213"/>
    <x v="159"/>
    <x v="1113"/>
    <x v="6"/>
    <x v="42"/>
    <x v="458"/>
    <x v="2"/>
  </r>
  <r>
    <x v="1575"/>
    <x v="313"/>
    <x v="1114"/>
    <x v="50"/>
    <x v="39"/>
    <x v="348"/>
    <x v="0"/>
  </r>
  <r>
    <x v="580"/>
    <x v="247"/>
    <x v="1115"/>
    <x v="150"/>
    <x v="17"/>
    <x v="1282"/>
    <x v="1"/>
  </r>
  <r>
    <x v="950"/>
    <x v="88"/>
    <x v="1116"/>
    <x v="43"/>
    <x v="45"/>
    <x v="1065"/>
    <x v="1"/>
  </r>
  <r>
    <x v="559"/>
    <x v="247"/>
    <x v="1117"/>
    <x v="47"/>
    <x v="27"/>
    <x v="962"/>
    <x v="0"/>
  </r>
  <r>
    <x v="1025"/>
    <x v="95"/>
    <x v="1118"/>
    <x v="6"/>
    <x v="20"/>
    <x v="160"/>
    <x v="3"/>
  </r>
  <r>
    <x v="1034"/>
    <x v="290"/>
    <x v="1119"/>
    <x v="116"/>
    <x v="48"/>
    <x v="1463"/>
    <x v="3"/>
  </r>
  <r>
    <x v="1650"/>
    <x v="143"/>
    <x v="1120"/>
    <x v="162"/>
    <x v="2"/>
    <x v="252"/>
    <x v="3"/>
  </r>
  <r>
    <x v="1256"/>
    <x v="329"/>
    <x v="1121"/>
    <x v="59"/>
    <x v="44"/>
    <x v="920"/>
    <x v="3"/>
  </r>
  <r>
    <x v="1232"/>
    <x v="87"/>
    <x v="1122"/>
    <x v="44"/>
    <x v="46"/>
    <x v="1080"/>
    <x v="2"/>
  </r>
  <r>
    <x v="1148"/>
    <x v="122"/>
    <x v="1123"/>
    <x v="44"/>
    <x v="15"/>
    <x v="101"/>
    <x v="3"/>
  </r>
  <r>
    <x v="1938"/>
    <x v="255"/>
    <x v="1124"/>
    <x v="77"/>
    <x v="13"/>
    <x v="325"/>
    <x v="2"/>
  </r>
  <r>
    <x v="1087"/>
    <x v="73"/>
    <x v="1125"/>
    <x v="7"/>
    <x v="46"/>
    <x v="1398"/>
    <x v="2"/>
  </r>
  <r>
    <x v="1528"/>
    <x v="224"/>
    <x v="1126"/>
    <x v="10"/>
    <x v="22"/>
    <x v="303"/>
    <x v="0"/>
  </r>
  <r>
    <x v="1039"/>
    <x v="256"/>
    <x v="1127"/>
    <x v="88"/>
    <x v="34"/>
    <x v="1130"/>
    <x v="2"/>
  </r>
  <r>
    <x v="1497"/>
    <x v="256"/>
    <x v="1128"/>
    <x v="101"/>
    <x v="27"/>
    <x v="1368"/>
    <x v="0"/>
  </r>
  <r>
    <x v="1420"/>
    <x v="135"/>
    <x v="1129"/>
    <x v="71"/>
    <x v="45"/>
    <x v="1172"/>
    <x v="1"/>
  </r>
  <r>
    <x v="1376"/>
    <x v="116"/>
    <x v="1130"/>
    <x v="8"/>
    <x v="23"/>
    <x v="137"/>
    <x v="0"/>
  </r>
  <r>
    <x v="1992"/>
    <x v="165"/>
    <x v="1131"/>
    <x v="46"/>
    <x v="1"/>
    <x v="91"/>
    <x v="0"/>
  </r>
  <r>
    <x v="1797"/>
    <x v="202"/>
    <x v="1132"/>
    <x v="143"/>
    <x v="40"/>
    <x v="1912"/>
    <x v="1"/>
  </r>
  <r>
    <x v="1595"/>
    <x v="97"/>
    <x v="1133"/>
    <x v="88"/>
    <x v="40"/>
    <x v="1197"/>
    <x v="2"/>
  </r>
  <r>
    <x v="1361"/>
    <x v="235"/>
    <x v="1134"/>
    <x v="149"/>
    <x v="48"/>
    <x v="1706"/>
    <x v="1"/>
  </r>
  <r>
    <x v="1196"/>
    <x v="209"/>
    <x v="1135"/>
    <x v="57"/>
    <x v="5"/>
    <x v="214"/>
    <x v="0"/>
  </r>
  <r>
    <x v="1089"/>
    <x v="247"/>
    <x v="1136"/>
    <x v="12"/>
    <x v="22"/>
    <x v="571"/>
    <x v="1"/>
  </r>
  <r>
    <x v="192"/>
    <x v="345"/>
    <x v="1137"/>
    <x v="64"/>
    <x v="17"/>
    <x v="971"/>
    <x v="3"/>
  </r>
  <r>
    <x v="715"/>
    <x v="351"/>
    <x v="1138"/>
    <x v="73"/>
    <x v="38"/>
    <x v="696"/>
    <x v="1"/>
  </r>
  <r>
    <x v="744"/>
    <x v="343"/>
    <x v="1139"/>
    <x v="174"/>
    <x v="28"/>
    <x v="1517"/>
    <x v="1"/>
  </r>
  <r>
    <x v="699"/>
    <x v="30"/>
    <x v="1140"/>
    <x v="90"/>
    <x v="2"/>
    <x v="451"/>
    <x v="2"/>
  </r>
  <r>
    <x v="174"/>
    <x v="72"/>
    <x v="1141"/>
    <x v="156"/>
    <x v="1"/>
    <x v="1272"/>
    <x v="3"/>
  </r>
  <r>
    <x v="1555"/>
    <x v="332"/>
    <x v="1142"/>
    <x v="51"/>
    <x v="30"/>
    <x v="630"/>
    <x v="2"/>
  </r>
  <r>
    <x v="55"/>
    <x v="218"/>
    <x v="1143"/>
    <x v="183"/>
    <x v="43"/>
    <x v="1749"/>
    <x v="3"/>
  </r>
  <r>
    <x v="1212"/>
    <x v="231"/>
    <x v="1144"/>
    <x v="88"/>
    <x v="27"/>
    <x v="1457"/>
    <x v="1"/>
  </r>
  <r>
    <x v="1816"/>
    <x v="182"/>
    <x v="1145"/>
    <x v="62"/>
    <x v="23"/>
    <x v="925"/>
    <x v="2"/>
  </r>
  <r>
    <x v="342"/>
    <x v="314"/>
    <x v="1146"/>
    <x v="211"/>
    <x v="44"/>
    <x v="1789"/>
    <x v="0"/>
  </r>
  <r>
    <x v="690"/>
    <x v="134"/>
    <x v="1147"/>
    <x v="25"/>
    <x v="6"/>
    <x v="641"/>
    <x v="2"/>
  </r>
  <r>
    <x v="368"/>
    <x v="173"/>
    <x v="1148"/>
    <x v="59"/>
    <x v="14"/>
    <x v="490"/>
    <x v="1"/>
  </r>
  <r>
    <x v="111"/>
    <x v="352"/>
    <x v="1149"/>
    <x v="143"/>
    <x v="44"/>
    <x v="1927"/>
    <x v="2"/>
  </r>
  <r>
    <x v="367"/>
    <x v="231"/>
    <x v="1150"/>
    <x v="44"/>
    <x v="24"/>
    <x v="822"/>
    <x v="1"/>
  </r>
  <r>
    <x v="382"/>
    <x v="33"/>
    <x v="1151"/>
    <x v="85"/>
    <x v="16"/>
    <x v="1023"/>
    <x v="2"/>
  </r>
  <r>
    <x v="890"/>
    <x v="323"/>
    <x v="1152"/>
    <x v="170"/>
    <x v="28"/>
    <x v="1692"/>
    <x v="2"/>
  </r>
  <r>
    <x v="1449"/>
    <x v="329"/>
    <x v="1153"/>
    <x v="65"/>
    <x v="23"/>
    <x v="963"/>
    <x v="1"/>
  </r>
  <r>
    <x v="1408"/>
    <x v="220"/>
    <x v="1154"/>
    <x v="25"/>
    <x v="10"/>
    <x v="435"/>
    <x v="0"/>
  </r>
  <r>
    <x v="1894"/>
    <x v="201"/>
    <x v="1155"/>
    <x v="70"/>
    <x v="43"/>
    <x v="1740"/>
    <x v="1"/>
  </r>
  <r>
    <x v="791"/>
    <x v="81"/>
    <x v="1156"/>
    <x v="0"/>
    <x v="43"/>
    <x v="683"/>
    <x v="0"/>
  </r>
  <r>
    <x v="17"/>
    <x v="292"/>
    <x v="1157"/>
    <x v="50"/>
    <x v="5"/>
    <x v="136"/>
    <x v="3"/>
  </r>
  <r>
    <x v="622"/>
    <x v="292"/>
    <x v="1158"/>
    <x v="48"/>
    <x v="8"/>
    <x v="886"/>
    <x v="1"/>
  </r>
  <r>
    <x v="69"/>
    <x v="119"/>
    <x v="1159"/>
    <x v="4"/>
    <x v="22"/>
    <x v="226"/>
    <x v="2"/>
  </r>
  <r>
    <x v="800"/>
    <x v="69"/>
    <x v="1160"/>
    <x v="46"/>
    <x v="31"/>
    <x v="807"/>
    <x v="1"/>
  </r>
  <r>
    <x v="1226"/>
    <x v="302"/>
    <x v="1161"/>
    <x v="88"/>
    <x v="20"/>
    <x v="1642"/>
    <x v="2"/>
  </r>
  <r>
    <x v="1305"/>
    <x v="271"/>
    <x v="1162"/>
    <x v="128"/>
    <x v="3"/>
    <x v="670"/>
    <x v="0"/>
  </r>
  <r>
    <x v="986"/>
    <x v="102"/>
    <x v="1163"/>
    <x v="19"/>
    <x v="7"/>
    <x v="55"/>
    <x v="1"/>
  </r>
  <r>
    <x v="1503"/>
    <x v="42"/>
    <x v="1164"/>
    <x v="176"/>
    <x v="0"/>
    <x v="450"/>
    <x v="0"/>
  </r>
  <r>
    <x v="1638"/>
    <x v="19"/>
    <x v="1165"/>
    <x v="68"/>
    <x v="3"/>
    <x v="121"/>
    <x v="1"/>
  </r>
  <r>
    <x v="343"/>
    <x v="314"/>
    <x v="1166"/>
    <x v="124"/>
    <x v="1"/>
    <x v="1577"/>
    <x v="0"/>
  </r>
  <r>
    <x v="1498"/>
    <x v="228"/>
    <x v="1167"/>
    <x v="5"/>
    <x v="38"/>
    <x v="1190"/>
    <x v="3"/>
  </r>
  <r>
    <x v="1878"/>
    <x v="295"/>
    <x v="1168"/>
    <x v="178"/>
    <x v="18"/>
    <x v="1344"/>
    <x v="3"/>
  </r>
  <r>
    <x v="1297"/>
    <x v="197"/>
    <x v="1169"/>
    <x v="150"/>
    <x v="0"/>
    <x v="623"/>
    <x v="1"/>
  </r>
  <r>
    <x v="1884"/>
    <x v="228"/>
    <x v="1170"/>
    <x v="54"/>
    <x v="10"/>
    <x v="289"/>
    <x v="1"/>
  </r>
  <r>
    <x v="1732"/>
    <x v="297"/>
    <x v="1171"/>
    <x v="59"/>
    <x v="47"/>
    <x v="1148"/>
    <x v="3"/>
  </r>
  <r>
    <x v="881"/>
    <x v="314"/>
    <x v="1172"/>
    <x v="76"/>
    <x v="37"/>
    <x v="818"/>
    <x v="2"/>
  </r>
  <r>
    <x v="215"/>
    <x v="114"/>
    <x v="1173"/>
    <x v="58"/>
    <x v="19"/>
    <x v="538"/>
    <x v="2"/>
  </r>
  <r>
    <x v="988"/>
    <x v="351"/>
    <x v="1174"/>
    <x v="80"/>
    <x v="28"/>
    <x v="536"/>
    <x v="3"/>
  </r>
  <r>
    <x v="439"/>
    <x v="288"/>
    <x v="1175"/>
    <x v="0"/>
    <x v="25"/>
    <x v="363"/>
    <x v="2"/>
  </r>
  <r>
    <x v="635"/>
    <x v="268"/>
    <x v="1176"/>
    <x v="50"/>
    <x v="42"/>
    <x v="1322"/>
    <x v="0"/>
  </r>
  <r>
    <x v="1204"/>
    <x v="178"/>
    <x v="1177"/>
    <x v="48"/>
    <x v="6"/>
    <x v="191"/>
    <x v="3"/>
  </r>
  <r>
    <x v="71"/>
    <x v="267"/>
    <x v="1178"/>
    <x v="41"/>
    <x v="8"/>
    <x v="415"/>
    <x v="1"/>
  </r>
  <r>
    <x v="755"/>
    <x v="178"/>
    <x v="1179"/>
    <x v="0"/>
    <x v="5"/>
    <x v="39"/>
    <x v="2"/>
  </r>
  <r>
    <x v="404"/>
    <x v="88"/>
    <x v="1180"/>
    <x v="49"/>
    <x v="3"/>
    <x v="115"/>
    <x v="1"/>
  </r>
  <r>
    <x v="1823"/>
    <x v="266"/>
    <x v="1181"/>
    <x v="20"/>
    <x v="2"/>
    <x v="505"/>
    <x v="1"/>
  </r>
  <r>
    <x v="600"/>
    <x v="61"/>
    <x v="1182"/>
    <x v="150"/>
    <x v="48"/>
    <x v="1947"/>
    <x v="2"/>
  </r>
  <r>
    <x v="514"/>
    <x v="121"/>
    <x v="1183"/>
    <x v="128"/>
    <x v="45"/>
    <x v="1658"/>
    <x v="1"/>
  </r>
  <r>
    <x v="360"/>
    <x v="266"/>
    <x v="1184"/>
    <x v="35"/>
    <x v="14"/>
    <x v="1064"/>
    <x v="3"/>
  </r>
  <r>
    <x v="1198"/>
    <x v="346"/>
    <x v="1185"/>
    <x v="191"/>
    <x v="44"/>
    <x v="1767"/>
    <x v="0"/>
  </r>
  <r>
    <x v="1872"/>
    <x v="313"/>
    <x v="1186"/>
    <x v="25"/>
    <x v="5"/>
    <x v="609"/>
    <x v="3"/>
  </r>
  <r>
    <x v="550"/>
    <x v="133"/>
    <x v="1187"/>
    <x v="20"/>
    <x v="40"/>
    <x v="1753"/>
    <x v="2"/>
  </r>
  <r>
    <x v="665"/>
    <x v="310"/>
    <x v="1188"/>
    <x v="63"/>
    <x v="18"/>
    <x v="657"/>
    <x v="1"/>
  </r>
  <r>
    <x v="736"/>
    <x v="332"/>
    <x v="1189"/>
    <x v="63"/>
    <x v="3"/>
    <x v="232"/>
    <x v="2"/>
  </r>
  <r>
    <x v="105"/>
    <x v="299"/>
    <x v="1190"/>
    <x v="150"/>
    <x v="40"/>
    <x v="1864"/>
    <x v="0"/>
  </r>
  <r>
    <x v="80"/>
    <x v="114"/>
    <x v="1191"/>
    <x v="146"/>
    <x v="30"/>
    <x v="1410"/>
    <x v="2"/>
  </r>
  <r>
    <x v="344"/>
    <x v="314"/>
    <x v="1192"/>
    <x v="128"/>
    <x v="37"/>
    <x v="1496"/>
    <x v="0"/>
  </r>
  <r>
    <x v="1893"/>
    <x v="114"/>
    <x v="1193"/>
    <x v="68"/>
    <x v="32"/>
    <x v="685"/>
    <x v="1"/>
  </r>
  <r>
    <x v="1656"/>
    <x v="340"/>
    <x v="1194"/>
    <x v="14"/>
    <x v="15"/>
    <x v="205"/>
    <x v="1"/>
  </r>
  <r>
    <x v="316"/>
    <x v="89"/>
    <x v="1195"/>
    <x v="36"/>
    <x v="20"/>
    <x v="1357"/>
    <x v="0"/>
  </r>
  <r>
    <x v="181"/>
    <x v="116"/>
    <x v="1196"/>
    <x v="25"/>
    <x v="39"/>
    <x v="1151"/>
    <x v="0"/>
  </r>
  <r>
    <x v="942"/>
    <x v="15"/>
    <x v="1197"/>
    <x v="150"/>
    <x v="26"/>
    <x v="1480"/>
    <x v="1"/>
  </r>
  <r>
    <x v="1739"/>
    <x v="28"/>
    <x v="1198"/>
    <x v="50"/>
    <x v="20"/>
    <x v="1259"/>
    <x v="1"/>
  </r>
  <r>
    <x v="236"/>
    <x v="55"/>
    <x v="1199"/>
    <x v="20"/>
    <x v="18"/>
    <x v="1558"/>
    <x v="3"/>
  </r>
  <r>
    <x v="141"/>
    <x v="284"/>
    <x v="1200"/>
    <x v="180"/>
    <x v="3"/>
    <x v="1161"/>
    <x v="1"/>
  </r>
  <r>
    <x v="606"/>
    <x v="167"/>
    <x v="1201"/>
    <x v="156"/>
    <x v="28"/>
    <x v="1942"/>
    <x v="2"/>
  </r>
  <r>
    <x v="1678"/>
    <x v="227"/>
    <x v="1202"/>
    <x v="73"/>
    <x v="43"/>
    <x v="573"/>
    <x v="0"/>
  </r>
  <r>
    <x v="120"/>
    <x v="5"/>
    <x v="1203"/>
    <x v="230"/>
    <x v="38"/>
    <x v="1758"/>
    <x v="2"/>
  </r>
  <r>
    <x v="1722"/>
    <x v="176"/>
    <x v="1204"/>
    <x v="2"/>
    <x v="4"/>
    <x v="32"/>
    <x v="1"/>
  </r>
  <r>
    <x v="1744"/>
    <x v="62"/>
    <x v="1205"/>
    <x v="226"/>
    <x v="7"/>
    <x v="1429"/>
    <x v="0"/>
  </r>
  <r>
    <x v="1562"/>
    <x v="101"/>
    <x v="1206"/>
    <x v="0"/>
    <x v="5"/>
    <x v="53"/>
    <x v="1"/>
  </r>
  <r>
    <x v="1961"/>
    <x v="351"/>
    <x v="1207"/>
    <x v="157"/>
    <x v="20"/>
    <x v="1919"/>
    <x v="3"/>
  </r>
  <r>
    <x v="272"/>
    <x v="28"/>
    <x v="1208"/>
    <x v="156"/>
    <x v="14"/>
    <x v="1544"/>
    <x v="3"/>
  </r>
  <r>
    <x v="369"/>
    <x v="280"/>
    <x v="1209"/>
    <x v="35"/>
    <x v="45"/>
    <x v="547"/>
    <x v="1"/>
  </r>
  <r>
    <x v="488"/>
    <x v="72"/>
    <x v="1210"/>
    <x v="90"/>
    <x v="41"/>
    <x v="1516"/>
    <x v="1"/>
  </r>
  <r>
    <x v="1553"/>
    <x v="248"/>
    <x v="1211"/>
    <x v="73"/>
    <x v="41"/>
    <x v="1162"/>
    <x v="1"/>
  </r>
  <r>
    <x v="441"/>
    <x v="96"/>
    <x v="1212"/>
    <x v="70"/>
    <x v="12"/>
    <x v="1119"/>
    <x v="1"/>
  </r>
  <r>
    <x v="1490"/>
    <x v="224"/>
    <x v="1213"/>
    <x v="47"/>
    <x v="25"/>
    <x v="566"/>
    <x v="3"/>
  </r>
  <r>
    <x v="6"/>
    <x v="295"/>
    <x v="1214"/>
    <x v="38"/>
    <x v="45"/>
    <x v="1615"/>
    <x v="2"/>
  </r>
  <r>
    <x v="256"/>
    <x v="122"/>
    <x v="1215"/>
    <x v="101"/>
    <x v="21"/>
    <x v="1416"/>
    <x v="1"/>
  </r>
  <r>
    <x v="1471"/>
    <x v="116"/>
    <x v="1216"/>
    <x v="83"/>
    <x v="15"/>
    <x v="386"/>
    <x v="0"/>
  </r>
  <r>
    <x v="467"/>
    <x v="167"/>
    <x v="1217"/>
    <x v="55"/>
    <x v="43"/>
    <x v="1254"/>
    <x v="0"/>
  </r>
  <r>
    <x v="1861"/>
    <x v="262"/>
    <x v="1218"/>
    <x v="79"/>
    <x v="15"/>
    <x v="1499"/>
    <x v="3"/>
  </r>
  <r>
    <x v="1461"/>
    <x v="331"/>
    <x v="1219"/>
    <x v="77"/>
    <x v="49"/>
    <x v="908"/>
    <x v="2"/>
  </r>
  <r>
    <x v="700"/>
    <x v="30"/>
    <x v="1220"/>
    <x v="95"/>
    <x v="22"/>
    <x v="550"/>
    <x v="2"/>
  </r>
  <r>
    <x v="186"/>
    <x v="247"/>
    <x v="1221"/>
    <x v="215"/>
    <x v="20"/>
    <x v="1630"/>
    <x v="3"/>
  </r>
  <r>
    <x v="1326"/>
    <x v="31"/>
    <x v="1222"/>
    <x v="30"/>
    <x v="45"/>
    <x v="997"/>
    <x v="1"/>
  </r>
  <r>
    <x v="1186"/>
    <x v="208"/>
    <x v="1223"/>
    <x v="183"/>
    <x v="12"/>
    <x v="1414"/>
    <x v="1"/>
  </r>
  <r>
    <x v="1971"/>
    <x v="192"/>
    <x v="1224"/>
    <x v="5"/>
    <x v="5"/>
    <x v="49"/>
    <x v="3"/>
  </r>
  <r>
    <x v="282"/>
    <x v="130"/>
    <x v="1225"/>
    <x v="151"/>
    <x v="34"/>
    <x v="1681"/>
    <x v="0"/>
  </r>
  <r>
    <x v="34"/>
    <x v="159"/>
    <x v="1226"/>
    <x v="44"/>
    <x v="17"/>
    <x v="314"/>
    <x v="2"/>
  </r>
  <r>
    <x v="762"/>
    <x v="211"/>
    <x v="1227"/>
    <x v="89"/>
    <x v="21"/>
    <x v="1638"/>
    <x v="1"/>
  </r>
  <r>
    <x v="164"/>
    <x v="274"/>
    <x v="1228"/>
    <x v="50"/>
    <x v="7"/>
    <x v="915"/>
    <x v="2"/>
  </r>
  <r>
    <x v="757"/>
    <x v="68"/>
    <x v="1229"/>
    <x v="215"/>
    <x v="19"/>
    <x v="1449"/>
    <x v="2"/>
  </r>
  <r>
    <x v="545"/>
    <x v="220"/>
    <x v="1230"/>
    <x v="66"/>
    <x v="12"/>
    <x v="171"/>
    <x v="1"/>
  </r>
  <r>
    <x v="836"/>
    <x v="149"/>
    <x v="1231"/>
    <x v="95"/>
    <x v="17"/>
    <x v="446"/>
    <x v="1"/>
  </r>
  <r>
    <x v="1241"/>
    <x v="153"/>
    <x v="1232"/>
    <x v="41"/>
    <x v="43"/>
    <x v="1138"/>
    <x v="0"/>
  </r>
  <r>
    <x v="1998"/>
    <x v="307"/>
    <x v="1233"/>
    <x v="167"/>
    <x v="29"/>
    <x v="1778"/>
    <x v="3"/>
  </r>
  <r>
    <x v="1299"/>
    <x v="184"/>
    <x v="1234"/>
    <x v="150"/>
    <x v="10"/>
    <x v="976"/>
    <x v="1"/>
  </r>
  <r>
    <x v="1321"/>
    <x v="61"/>
    <x v="1235"/>
    <x v="180"/>
    <x v="49"/>
    <x v="1881"/>
    <x v="1"/>
  </r>
  <r>
    <x v="1265"/>
    <x v="77"/>
    <x v="1236"/>
    <x v="52"/>
    <x v="6"/>
    <x v="95"/>
    <x v="0"/>
  </r>
  <r>
    <x v="1559"/>
    <x v="327"/>
    <x v="1237"/>
    <x v="9"/>
    <x v="6"/>
    <x v="193"/>
    <x v="1"/>
  </r>
  <r>
    <x v="1944"/>
    <x v="174"/>
    <x v="1238"/>
    <x v="186"/>
    <x v="19"/>
    <x v="1827"/>
    <x v="2"/>
  </r>
  <r>
    <x v="1922"/>
    <x v="184"/>
    <x v="1239"/>
    <x v="42"/>
    <x v="29"/>
    <x v="488"/>
    <x v="2"/>
  </r>
  <r>
    <x v="1094"/>
    <x v="310"/>
    <x v="1240"/>
    <x v="233"/>
    <x v="26"/>
    <x v="1908"/>
    <x v="0"/>
  </r>
  <r>
    <x v="594"/>
    <x v="282"/>
    <x v="1241"/>
    <x v="76"/>
    <x v="28"/>
    <x v="738"/>
    <x v="2"/>
  </r>
  <r>
    <x v="67"/>
    <x v="222"/>
    <x v="1242"/>
    <x v="59"/>
    <x v="23"/>
    <x v="562"/>
    <x v="2"/>
  </r>
  <r>
    <x v="1880"/>
    <x v="217"/>
    <x v="1243"/>
    <x v="200"/>
    <x v="43"/>
    <x v="1295"/>
    <x v="0"/>
  </r>
  <r>
    <x v="813"/>
    <x v="24"/>
    <x v="1244"/>
    <x v="56"/>
    <x v="17"/>
    <x v="426"/>
    <x v="3"/>
  </r>
  <r>
    <x v="777"/>
    <x v="166"/>
    <x v="1245"/>
    <x v="51"/>
    <x v="23"/>
    <x v="956"/>
    <x v="1"/>
  </r>
  <r>
    <x v="1145"/>
    <x v="39"/>
    <x v="1246"/>
    <x v="106"/>
    <x v="39"/>
    <x v="854"/>
    <x v="2"/>
  </r>
  <r>
    <x v="1482"/>
    <x v="40"/>
    <x v="1247"/>
    <x v="0"/>
    <x v="13"/>
    <x v="601"/>
    <x v="2"/>
  </r>
  <r>
    <x v="652"/>
    <x v="61"/>
    <x v="1248"/>
    <x v="40"/>
    <x v="33"/>
    <x v="871"/>
    <x v="1"/>
  </r>
  <r>
    <x v="576"/>
    <x v="96"/>
    <x v="1249"/>
    <x v="150"/>
    <x v="44"/>
    <x v="1751"/>
    <x v="1"/>
  </r>
  <r>
    <x v="1783"/>
    <x v="95"/>
    <x v="1250"/>
    <x v="70"/>
    <x v="35"/>
    <x v="1492"/>
    <x v="0"/>
  </r>
  <r>
    <x v="1331"/>
    <x v="7"/>
    <x v="1251"/>
    <x v="230"/>
    <x v="44"/>
    <x v="1816"/>
    <x v="3"/>
  </r>
  <r>
    <x v="664"/>
    <x v="292"/>
    <x v="1252"/>
    <x v="53"/>
    <x v="32"/>
    <x v="1519"/>
    <x v="0"/>
  </r>
  <r>
    <x v="776"/>
    <x v="94"/>
    <x v="1253"/>
    <x v="197"/>
    <x v="19"/>
    <x v="480"/>
    <x v="2"/>
  </r>
  <r>
    <x v="1869"/>
    <x v="346"/>
    <x v="1254"/>
    <x v="150"/>
    <x v="3"/>
    <x v="1484"/>
    <x v="1"/>
  </r>
  <r>
    <x v="518"/>
    <x v="305"/>
    <x v="1255"/>
    <x v="186"/>
    <x v="46"/>
    <x v="1951"/>
    <x v="1"/>
  </r>
  <r>
    <x v="891"/>
    <x v="323"/>
    <x v="1256"/>
    <x v="25"/>
    <x v="0"/>
    <x v="26"/>
    <x v="2"/>
  </r>
  <r>
    <x v="590"/>
    <x v="118"/>
    <x v="1257"/>
    <x v="143"/>
    <x v="45"/>
    <x v="1857"/>
    <x v="0"/>
  </r>
  <r>
    <x v="1455"/>
    <x v="311"/>
    <x v="1258"/>
    <x v="88"/>
    <x v="48"/>
    <x v="1548"/>
    <x v="1"/>
  </r>
  <r>
    <x v="1295"/>
    <x v="239"/>
    <x v="1259"/>
    <x v="49"/>
    <x v="45"/>
    <x v="269"/>
    <x v="3"/>
  </r>
  <r>
    <x v="1935"/>
    <x v="48"/>
    <x v="1260"/>
    <x v="14"/>
    <x v="41"/>
    <x v="459"/>
    <x v="1"/>
  </r>
  <r>
    <x v="646"/>
    <x v="287"/>
    <x v="1261"/>
    <x v="238"/>
    <x v="31"/>
    <x v="1868"/>
    <x v="1"/>
  </r>
  <r>
    <x v="210"/>
    <x v="2"/>
    <x v="1262"/>
    <x v="175"/>
    <x v="36"/>
    <x v="1894"/>
    <x v="1"/>
  </r>
  <r>
    <x v="1238"/>
    <x v="146"/>
    <x v="1263"/>
    <x v="55"/>
    <x v="41"/>
    <x v="965"/>
    <x v="2"/>
  </r>
  <r>
    <x v="1422"/>
    <x v="268"/>
    <x v="1264"/>
    <x v="38"/>
    <x v="6"/>
    <x v="1347"/>
    <x v="1"/>
  </r>
  <r>
    <x v="1756"/>
    <x v="345"/>
    <x v="1265"/>
    <x v="117"/>
    <x v="7"/>
    <x v="893"/>
    <x v="0"/>
  </r>
  <r>
    <x v="1509"/>
    <x v="12"/>
    <x v="1266"/>
    <x v="221"/>
    <x v="11"/>
    <x v="1854"/>
    <x v="1"/>
  </r>
  <r>
    <x v="1411"/>
    <x v="342"/>
    <x v="1267"/>
    <x v="73"/>
    <x v="40"/>
    <x v="770"/>
    <x v="3"/>
  </r>
  <r>
    <x v="356"/>
    <x v="348"/>
    <x v="1268"/>
    <x v="1"/>
    <x v="32"/>
    <x v="518"/>
    <x v="3"/>
  </r>
  <r>
    <x v="682"/>
    <x v="185"/>
    <x v="1269"/>
    <x v="38"/>
    <x v="27"/>
    <x v="681"/>
    <x v="2"/>
  </r>
  <r>
    <x v="1131"/>
    <x v="30"/>
    <x v="1270"/>
    <x v="28"/>
    <x v="26"/>
    <x v="1044"/>
    <x v="3"/>
  </r>
  <r>
    <x v="1985"/>
    <x v="110"/>
    <x v="1271"/>
    <x v="121"/>
    <x v="39"/>
    <x v="1156"/>
    <x v="1"/>
  </r>
  <r>
    <x v="1700"/>
    <x v="144"/>
    <x v="1272"/>
    <x v="57"/>
    <x v="24"/>
    <x v="1052"/>
    <x v="0"/>
  </r>
  <r>
    <x v="389"/>
    <x v="99"/>
    <x v="1273"/>
    <x v="54"/>
    <x v="42"/>
    <x v="699"/>
    <x v="2"/>
  </r>
  <r>
    <x v="221"/>
    <x v="191"/>
    <x v="1274"/>
    <x v="145"/>
    <x v="8"/>
    <x v="1093"/>
    <x v="3"/>
  </r>
  <r>
    <x v="1696"/>
    <x v="353"/>
    <x v="1275"/>
    <x v="25"/>
    <x v="49"/>
    <x v="634"/>
    <x v="1"/>
  </r>
  <r>
    <x v="582"/>
    <x v="160"/>
    <x v="1276"/>
    <x v="99"/>
    <x v="27"/>
    <x v="669"/>
    <x v="0"/>
  </r>
  <r>
    <x v="694"/>
    <x v="92"/>
    <x v="1277"/>
    <x v="174"/>
    <x v="19"/>
    <x v="1594"/>
    <x v="0"/>
  </r>
  <r>
    <x v="1793"/>
    <x v="165"/>
    <x v="1278"/>
    <x v="36"/>
    <x v="11"/>
    <x v="1570"/>
    <x v="1"/>
  </r>
  <r>
    <x v="474"/>
    <x v="7"/>
    <x v="1279"/>
    <x v="62"/>
    <x v="38"/>
    <x v="806"/>
    <x v="1"/>
  </r>
  <r>
    <x v="1300"/>
    <x v="184"/>
    <x v="1280"/>
    <x v="126"/>
    <x v="25"/>
    <x v="1446"/>
    <x v="1"/>
  </r>
  <r>
    <x v="351"/>
    <x v="115"/>
    <x v="1281"/>
    <x v="20"/>
    <x v="38"/>
    <x v="1843"/>
    <x v="1"/>
  </r>
  <r>
    <x v="1640"/>
    <x v="133"/>
    <x v="1282"/>
    <x v="110"/>
    <x v="33"/>
    <x v="1569"/>
    <x v="3"/>
  </r>
  <r>
    <x v="1525"/>
    <x v="298"/>
    <x v="1283"/>
    <x v="7"/>
    <x v="25"/>
    <x v="1361"/>
    <x v="3"/>
  </r>
  <r>
    <x v="489"/>
    <x v="72"/>
    <x v="1284"/>
    <x v="187"/>
    <x v="17"/>
    <x v="1752"/>
    <x v="1"/>
  </r>
  <r>
    <x v="1233"/>
    <x v="87"/>
    <x v="1285"/>
    <x v="50"/>
    <x v="28"/>
    <x v="1210"/>
    <x v="2"/>
  </r>
  <r>
    <x v="1452"/>
    <x v="142"/>
    <x v="1286"/>
    <x v="4"/>
    <x v="49"/>
    <x v="830"/>
    <x v="0"/>
  </r>
  <r>
    <x v="309"/>
    <x v="19"/>
    <x v="1287"/>
    <x v="5"/>
    <x v="42"/>
    <x v="397"/>
    <x v="0"/>
  </r>
  <r>
    <x v="290"/>
    <x v="278"/>
    <x v="1288"/>
    <x v="71"/>
    <x v="28"/>
    <x v="544"/>
    <x v="3"/>
  </r>
  <r>
    <x v="1854"/>
    <x v="341"/>
    <x v="1289"/>
    <x v="124"/>
    <x v="30"/>
    <x v="1650"/>
    <x v="1"/>
  </r>
  <r>
    <x v="1389"/>
    <x v="334"/>
    <x v="1290"/>
    <x v="60"/>
    <x v="21"/>
    <x v="944"/>
    <x v="2"/>
  </r>
  <r>
    <x v="235"/>
    <x v="48"/>
    <x v="1291"/>
    <x v="52"/>
    <x v="2"/>
    <x v="249"/>
    <x v="3"/>
  </r>
  <r>
    <x v="567"/>
    <x v="98"/>
    <x v="1292"/>
    <x v="170"/>
    <x v="3"/>
    <x v="1056"/>
    <x v="2"/>
  </r>
  <r>
    <x v="1617"/>
    <x v="21"/>
    <x v="1293"/>
    <x v="60"/>
    <x v="44"/>
    <x v="1329"/>
    <x v="1"/>
  </r>
  <r>
    <x v="685"/>
    <x v="117"/>
    <x v="1294"/>
    <x v="14"/>
    <x v="42"/>
    <x v="353"/>
    <x v="0"/>
  </r>
  <r>
    <x v="1101"/>
    <x v="115"/>
    <x v="1295"/>
    <x v="44"/>
    <x v="12"/>
    <x v="521"/>
    <x v="1"/>
  </r>
  <r>
    <x v="1395"/>
    <x v="8"/>
    <x v="1296"/>
    <x v="87"/>
    <x v="25"/>
    <x v="1458"/>
    <x v="3"/>
  </r>
  <r>
    <x v="1400"/>
    <x v="333"/>
    <x v="1297"/>
    <x v="156"/>
    <x v="37"/>
    <x v="1810"/>
    <x v="0"/>
  </r>
  <r>
    <x v="1344"/>
    <x v="101"/>
    <x v="1298"/>
    <x v="58"/>
    <x v="18"/>
    <x v="713"/>
    <x v="2"/>
  </r>
  <r>
    <x v="1360"/>
    <x v="104"/>
    <x v="1299"/>
    <x v="14"/>
    <x v="18"/>
    <x v="204"/>
    <x v="2"/>
  </r>
  <r>
    <x v="1518"/>
    <x v="54"/>
    <x v="1300"/>
    <x v="82"/>
    <x v="14"/>
    <x v="294"/>
    <x v="0"/>
  </r>
  <r>
    <x v="1260"/>
    <x v="90"/>
    <x v="1301"/>
    <x v="174"/>
    <x v="45"/>
    <x v="1694"/>
    <x v="2"/>
  </r>
  <r>
    <x v="1058"/>
    <x v="281"/>
    <x v="1302"/>
    <x v="155"/>
    <x v="31"/>
    <x v="1853"/>
    <x v="3"/>
  </r>
  <r>
    <x v="1646"/>
    <x v="66"/>
    <x v="1303"/>
    <x v="174"/>
    <x v="28"/>
    <x v="1415"/>
    <x v="3"/>
  </r>
  <r>
    <x v="1685"/>
    <x v="339"/>
    <x v="1304"/>
    <x v="73"/>
    <x v="3"/>
    <x v="86"/>
    <x v="1"/>
  </r>
  <r>
    <x v="1079"/>
    <x v="175"/>
    <x v="1305"/>
    <x v="129"/>
    <x v="3"/>
    <x v="1900"/>
    <x v="0"/>
  </r>
  <r>
    <x v="1828"/>
    <x v="78"/>
    <x v="1306"/>
    <x v="71"/>
    <x v="30"/>
    <x v="848"/>
    <x v="3"/>
  </r>
  <r>
    <x v="1781"/>
    <x v="284"/>
    <x v="1307"/>
    <x v="10"/>
    <x v="26"/>
    <x v="1460"/>
    <x v="1"/>
  </r>
  <r>
    <x v="1443"/>
    <x v="4"/>
    <x v="1308"/>
    <x v="49"/>
    <x v="15"/>
    <x v="368"/>
    <x v="3"/>
  </r>
  <r>
    <x v="631"/>
    <x v="7"/>
    <x v="1309"/>
    <x v="65"/>
    <x v="7"/>
    <x v="961"/>
    <x v="2"/>
  </r>
  <r>
    <x v="419"/>
    <x v="50"/>
    <x v="1310"/>
    <x v="56"/>
    <x v="24"/>
    <x v="1186"/>
    <x v="2"/>
  </r>
  <r>
    <x v="1215"/>
    <x v="251"/>
    <x v="1311"/>
    <x v="75"/>
    <x v="24"/>
    <x v="1628"/>
    <x v="1"/>
  </r>
  <r>
    <x v="1995"/>
    <x v="143"/>
    <x v="1312"/>
    <x v="62"/>
    <x v="44"/>
    <x v="1089"/>
    <x v="2"/>
  </r>
  <r>
    <x v="541"/>
    <x v="222"/>
    <x v="1313"/>
    <x v="55"/>
    <x v="33"/>
    <x v="1187"/>
    <x v="1"/>
  </r>
  <r>
    <x v="1335"/>
    <x v="46"/>
    <x v="1314"/>
    <x v="0"/>
    <x v="27"/>
    <x v="1653"/>
    <x v="3"/>
  </r>
  <r>
    <x v="258"/>
    <x v="230"/>
    <x v="1315"/>
    <x v="223"/>
    <x v="3"/>
    <x v="1387"/>
    <x v="1"/>
  </r>
  <r>
    <x v="412"/>
    <x v="182"/>
    <x v="1316"/>
    <x v="14"/>
    <x v="36"/>
    <x v="1213"/>
    <x v="1"/>
  </r>
  <r>
    <x v="577"/>
    <x v="96"/>
    <x v="1317"/>
    <x v="87"/>
    <x v="11"/>
    <x v="979"/>
    <x v="1"/>
  </r>
  <r>
    <x v="432"/>
    <x v="316"/>
    <x v="1318"/>
    <x v="41"/>
    <x v="48"/>
    <x v="1349"/>
    <x v="1"/>
  </r>
  <r>
    <x v="1003"/>
    <x v="229"/>
    <x v="1319"/>
    <x v="202"/>
    <x v="33"/>
    <x v="1880"/>
    <x v="1"/>
  </r>
  <r>
    <x v="1843"/>
    <x v="80"/>
    <x v="1320"/>
    <x v="36"/>
    <x v="25"/>
    <x v="1009"/>
    <x v="1"/>
  </r>
  <r>
    <x v="1170"/>
    <x v="76"/>
    <x v="1321"/>
    <x v="36"/>
    <x v="6"/>
    <x v="991"/>
    <x v="1"/>
  </r>
  <r>
    <x v="273"/>
    <x v="223"/>
    <x v="1322"/>
    <x v="60"/>
    <x v="14"/>
    <x v="576"/>
    <x v="0"/>
  </r>
  <r>
    <x v="841"/>
    <x v="13"/>
    <x v="1323"/>
    <x v="0"/>
    <x v="11"/>
    <x v="149"/>
    <x v="3"/>
  </r>
  <r>
    <x v="1747"/>
    <x v="157"/>
    <x v="1324"/>
    <x v="36"/>
    <x v="13"/>
    <x v="1578"/>
    <x v="2"/>
  </r>
  <r>
    <x v="1125"/>
    <x v="38"/>
    <x v="1325"/>
    <x v="150"/>
    <x v="3"/>
    <x v="1108"/>
    <x v="3"/>
  </r>
  <r>
    <x v="593"/>
    <x v="113"/>
    <x v="1326"/>
    <x v="36"/>
    <x v="32"/>
    <x v="918"/>
    <x v="1"/>
  </r>
  <r>
    <x v="464"/>
    <x v="139"/>
    <x v="1327"/>
    <x v="33"/>
    <x v="43"/>
    <x v="1242"/>
    <x v="1"/>
  </r>
  <r>
    <x v="905"/>
    <x v="28"/>
    <x v="1328"/>
    <x v="124"/>
    <x v="2"/>
    <x v="889"/>
    <x v="3"/>
  </r>
  <r>
    <x v="1754"/>
    <x v="255"/>
    <x v="1329"/>
    <x v="88"/>
    <x v="40"/>
    <x v="1216"/>
    <x v="2"/>
  </r>
  <r>
    <x v="1458"/>
    <x v="274"/>
    <x v="1330"/>
    <x v="60"/>
    <x v="14"/>
    <x v="1137"/>
    <x v="2"/>
  </r>
  <r>
    <x v="702"/>
    <x v="318"/>
    <x v="1331"/>
    <x v="197"/>
    <x v="25"/>
    <x v="1479"/>
    <x v="1"/>
  </r>
  <r>
    <x v="1271"/>
    <x v="143"/>
    <x v="1332"/>
    <x v="54"/>
    <x v="16"/>
    <x v="411"/>
    <x v="2"/>
  </r>
  <r>
    <x v="745"/>
    <x v="247"/>
    <x v="1333"/>
    <x v="150"/>
    <x v="7"/>
    <x v="921"/>
    <x v="0"/>
  </r>
  <r>
    <x v="481"/>
    <x v="130"/>
    <x v="1334"/>
    <x v="19"/>
    <x v="25"/>
    <x v="219"/>
    <x v="2"/>
  </r>
  <r>
    <x v="491"/>
    <x v="309"/>
    <x v="1335"/>
    <x v="150"/>
    <x v="2"/>
    <x v="1697"/>
    <x v="2"/>
  </r>
  <r>
    <x v="947"/>
    <x v="56"/>
    <x v="1336"/>
    <x v="29"/>
    <x v="4"/>
    <x v="204"/>
    <x v="3"/>
  </r>
  <r>
    <x v="112"/>
    <x v="186"/>
    <x v="1337"/>
    <x v="36"/>
    <x v="5"/>
    <x v="323"/>
    <x v="2"/>
  </r>
  <r>
    <x v="907"/>
    <x v="215"/>
    <x v="1338"/>
    <x v="124"/>
    <x v="15"/>
    <x v="1631"/>
    <x v="1"/>
  </r>
  <r>
    <x v="125"/>
    <x v="73"/>
    <x v="1339"/>
    <x v="124"/>
    <x v="17"/>
    <x v="1469"/>
    <x v="2"/>
  </r>
  <r>
    <x v="529"/>
    <x v="263"/>
    <x v="1340"/>
    <x v="188"/>
    <x v="25"/>
    <x v="1862"/>
    <x v="2"/>
  </r>
  <r>
    <x v="855"/>
    <x v="188"/>
    <x v="1341"/>
    <x v="5"/>
    <x v="41"/>
    <x v="246"/>
    <x v="1"/>
  </r>
  <r>
    <x v="1247"/>
    <x v="349"/>
    <x v="1342"/>
    <x v="55"/>
    <x v="31"/>
    <x v="1303"/>
    <x v="1"/>
  </r>
  <r>
    <x v="957"/>
    <x v="302"/>
    <x v="1343"/>
    <x v="20"/>
    <x v="34"/>
    <x v="1674"/>
    <x v="1"/>
  </r>
  <r>
    <x v="1881"/>
    <x v="217"/>
    <x v="1344"/>
    <x v="45"/>
    <x v="8"/>
    <x v="251"/>
    <x v="0"/>
  </r>
  <r>
    <x v="691"/>
    <x v="134"/>
    <x v="1345"/>
    <x v="14"/>
    <x v="39"/>
    <x v="826"/>
    <x v="2"/>
  </r>
  <r>
    <x v="487"/>
    <x v="24"/>
    <x v="1346"/>
    <x v="6"/>
    <x v="34"/>
    <x v="296"/>
    <x v="2"/>
  </r>
  <r>
    <x v="1748"/>
    <x v="157"/>
    <x v="1347"/>
    <x v="45"/>
    <x v="14"/>
    <x v="1222"/>
    <x v="2"/>
  </r>
  <r>
    <x v="839"/>
    <x v="61"/>
    <x v="1348"/>
    <x v="130"/>
    <x v="22"/>
    <x v="1267"/>
    <x v="1"/>
  </r>
  <r>
    <x v="809"/>
    <x v="78"/>
    <x v="1349"/>
    <x v="88"/>
    <x v="5"/>
    <x v="503"/>
    <x v="1"/>
  </r>
  <r>
    <x v="194"/>
    <x v="97"/>
    <x v="1350"/>
    <x v="36"/>
    <x v="43"/>
    <x v="1612"/>
    <x v="2"/>
  </r>
  <r>
    <x v="588"/>
    <x v="67"/>
    <x v="1351"/>
    <x v="48"/>
    <x v="41"/>
    <x v="1037"/>
    <x v="1"/>
  </r>
  <r>
    <x v="535"/>
    <x v="105"/>
    <x v="1352"/>
    <x v="67"/>
    <x v="43"/>
    <x v="862"/>
    <x v="2"/>
  </r>
  <r>
    <x v="52"/>
    <x v="131"/>
    <x v="1353"/>
    <x v="53"/>
    <x v="43"/>
    <x v="1095"/>
    <x v="0"/>
  </r>
  <r>
    <x v="429"/>
    <x v="266"/>
    <x v="1354"/>
    <x v="43"/>
    <x v="45"/>
    <x v="1040"/>
    <x v="3"/>
  </r>
  <r>
    <x v="38"/>
    <x v="2"/>
    <x v="1355"/>
    <x v="93"/>
    <x v="1"/>
    <x v="118"/>
    <x v="1"/>
  </r>
  <r>
    <x v="99"/>
    <x v="224"/>
    <x v="1356"/>
    <x v="14"/>
    <x v="8"/>
    <x v="937"/>
    <x v="0"/>
  </r>
  <r>
    <x v="676"/>
    <x v="150"/>
    <x v="1357"/>
    <x v="97"/>
    <x v="45"/>
    <x v="982"/>
    <x v="0"/>
  </r>
  <r>
    <x v="557"/>
    <x v="224"/>
    <x v="1358"/>
    <x v="18"/>
    <x v="32"/>
    <x v="772"/>
    <x v="3"/>
  </r>
  <r>
    <x v="509"/>
    <x v="332"/>
    <x v="1359"/>
    <x v="178"/>
    <x v="14"/>
    <x v="1296"/>
    <x v="0"/>
  </r>
  <r>
    <x v="1839"/>
    <x v="70"/>
    <x v="1360"/>
    <x v="116"/>
    <x v="49"/>
    <x v="1846"/>
    <x v="2"/>
  </r>
  <r>
    <x v="238"/>
    <x v="94"/>
    <x v="1361"/>
    <x v="150"/>
    <x v="31"/>
    <x v="1346"/>
    <x v="3"/>
  </r>
  <r>
    <x v="1315"/>
    <x v="339"/>
    <x v="1362"/>
    <x v="90"/>
    <x v="32"/>
    <x v="1396"/>
    <x v="3"/>
  </r>
  <r>
    <x v="1367"/>
    <x v="271"/>
    <x v="1363"/>
    <x v="119"/>
    <x v="20"/>
    <x v="1375"/>
    <x v="0"/>
  </r>
  <r>
    <x v="1042"/>
    <x v="105"/>
    <x v="1364"/>
    <x v="100"/>
    <x v="3"/>
    <x v="142"/>
    <x v="3"/>
  </r>
  <r>
    <x v="908"/>
    <x v="215"/>
    <x v="1365"/>
    <x v="237"/>
    <x v="47"/>
    <x v="1961"/>
    <x v="1"/>
  </r>
  <r>
    <x v="991"/>
    <x v="317"/>
    <x v="1366"/>
    <x v="150"/>
    <x v="48"/>
    <x v="1962"/>
    <x v="3"/>
  </r>
  <r>
    <x v="680"/>
    <x v="11"/>
    <x v="1367"/>
    <x v="216"/>
    <x v="34"/>
    <x v="1804"/>
    <x v="1"/>
  </r>
  <r>
    <x v="358"/>
    <x v="304"/>
    <x v="1368"/>
    <x v="84"/>
    <x v="8"/>
    <x v="621"/>
    <x v="3"/>
  </r>
  <r>
    <x v="1565"/>
    <x v="220"/>
    <x v="1369"/>
    <x v="10"/>
    <x v="9"/>
    <x v="663"/>
    <x v="2"/>
  </r>
  <r>
    <x v="1545"/>
    <x v="265"/>
    <x v="1370"/>
    <x v="170"/>
    <x v="10"/>
    <x v="1455"/>
    <x v="1"/>
  </r>
  <r>
    <x v="505"/>
    <x v="99"/>
    <x v="1371"/>
    <x v="2"/>
    <x v="18"/>
    <x v="248"/>
    <x v="1"/>
  </r>
  <r>
    <x v="772"/>
    <x v="118"/>
    <x v="1372"/>
    <x v="25"/>
    <x v="5"/>
    <x v="767"/>
    <x v="0"/>
  </r>
  <r>
    <x v="1348"/>
    <x v="333"/>
    <x v="1373"/>
    <x v="70"/>
    <x v="42"/>
    <x v="1938"/>
    <x v="1"/>
  </r>
  <r>
    <x v="804"/>
    <x v="100"/>
    <x v="1374"/>
    <x v="1"/>
    <x v="20"/>
    <x v="208"/>
    <x v="3"/>
  </r>
  <r>
    <x v="1404"/>
    <x v="137"/>
    <x v="1375"/>
    <x v="23"/>
    <x v="45"/>
    <x v="1124"/>
    <x v="2"/>
  </r>
  <r>
    <x v="743"/>
    <x v="113"/>
    <x v="1376"/>
    <x v="36"/>
    <x v="3"/>
    <x v="360"/>
    <x v="2"/>
  </r>
  <r>
    <x v="919"/>
    <x v="234"/>
    <x v="1377"/>
    <x v="177"/>
    <x v="33"/>
    <x v="1770"/>
    <x v="1"/>
  </r>
  <r>
    <x v="1663"/>
    <x v="155"/>
    <x v="1378"/>
    <x v="109"/>
    <x v="23"/>
    <x v="637"/>
    <x v="3"/>
  </r>
  <r>
    <x v="906"/>
    <x v="28"/>
    <x v="1379"/>
    <x v="18"/>
    <x v="11"/>
    <x v="297"/>
    <x v="3"/>
  </r>
  <r>
    <x v="1441"/>
    <x v="299"/>
    <x v="1380"/>
    <x v="156"/>
    <x v="25"/>
    <x v="1945"/>
    <x v="0"/>
  </r>
  <r>
    <x v="269"/>
    <x v="173"/>
    <x v="1381"/>
    <x v="5"/>
    <x v="37"/>
    <x v="288"/>
    <x v="2"/>
  </r>
  <r>
    <x v="1257"/>
    <x v="329"/>
    <x v="1382"/>
    <x v="131"/>
    <x v="40"/>
    <x v="1231"/>
    <x v="3"/>
  </r>
  <r>
    <x v="1309"/>
    <x v="102"/>
    <x v="1383"/>
    <x v="54"/>
    <x v="39"/>
    <x v="582"/>
    <x v="1"/>
  </r>
  <r>
    <x v="1453"/>
    <x v="2"/>
    <x v="1384"/>
    <x v="28"/>
    <x v="34"/>
    <x v="1153"/>
    <x v="2"/>
  </r>
  <r>
    <x v="1958"/>
    <x v="225"/>
    <x v="1385"/>
    <x v="1"/>
    <x v="24"/>
    <x v="316"/>
    <x v="2"/>
  </r>
  <r>
    <x v="497"/>
    <x v="171"/>
    <x v="1386"/>
    <x v="170"/>
    <x v="8"/>
    <x v="1439"/>
    <x v="1"/>
  </r>
  <r>
    <x v="443"/>
    <x v="103"/>
    <x v="1387"/>
    <x v="69"/>
    <x v="45"/>
    <x v="1538"/>
    <x v="0"/>
  </r>
  <r>
    <x v="1298"/>
    <x v="229"/>
    <x v="1388"/>
    <x v="2"/>
    <x v="4"/>
    <x v="66"/>
    <x v="2"/>
  </r>
  <r>
    <x v="1803"/>
    <x v="2"/>
    <x v="1389"/>
    <x v="24"/>
    <x v="7"/>
    <x v="311"/>
    <x v="0"/>
  </r>
  <r>
    <x v="1676"/>
    <x v="343"/>
    <x v="1390"/>
    <x v="193"/>
    <x v="48"/>
    <x v="1975"/>
    <x v="2"/>
  </r>
  <r>
    <x v="1602"/>
    <x v="228"/>
    <x v="1391"/>
    <x v="59"/>
    <x v="39"/>
    <x v="845"/>
    <x v="1"/>
  </r>
  <r>
    <x v="1200"/>
    <x v="299"/>
    <x v="1392"/>
    <x v="14"/>
    <x v="31"/>
    <x v="1145"/>
    <x v="1"/>
  </r>
  <r>
    <x v="859"/>
    <x v="211"/>
    <x v="1393"/>
    <x v="52"/>
    <x v="11"/>
    <x v="811"/>
    <x v="2"/>
  </r>
  <r>
    <x v="1734"/>
    <x v="342"/>
    <x v="1394"/>
    <x v="43"/>
    <x v="4"/>
    <x v="85"/>
    <x v="2"/>
  </r>
  <r>
    <x v="1176"/>
    <x v="60"/>
    <x v="1395"/>
    <x v="3"/>
    <x v="1"/>
    <x v="12"/>
    <x v="1"/>
  </r>
  <r>
    <x v="798"/>
    <x v="107"/>
    <x v="1396"/>
    <x v="23"/>
    <x v="2"/>
    <x v="84"/>
    <x v="0"/>
  </r>
  <r>
    <x v="1986"/>
    <x v="307"/>
    <x v="1397"/>
    <x v="36"/>
    <x v="39"/>
    <x v="1202"/>
    <x v="0"/>
  </r>
  <r>
    <x v="726"/>
    <x v="36"/>
    <x v="1398"/>
    <x v="53"/>
    <x v="12"/>
    <x v="412"/>
    <x v="0"/>
  </r>
  <r>
    <x v="68"/>
    <x v="279"/>
    <x v="1399"/>
    <x v="150"/>
    <x v="18"/>
    <x v="1815"/>
    <x v="1"/>
  </r>
  <r>
    <x v="214"/>
    <x v="214"/>
    <x v="1400"/>
    <x v="49"/>
    <x v="12"/>
    <x v="1605"/>
    <x v="1"/>
  </r>
  <r>
    <x v="1009"/>
    <x v="34"/>
    <x v="1401"/>
    <x v="87"/>
    <x v="33"/>
    <x v="1196"/>
    <x v="1"/>
  </r>
  <r>
    <x v="222"/>
    <x v="308"/>
    <x v="1402"/>
    <x v="209"/>
    <x v="4"/>
    <x v="1111"/>
    <x v="1"/>
  </r>
  <r>
    <x v="544"/>
    <x v="112"/>
    <x v="1403"/>
    <x v="202"/>
    <x v="48"/>
    <x v="1926"/>
    <x v="0"/>
  </r>
  <r>
    <x v="608"/>
    <x v="172"/>
    <x v="1404"/>
    <x v="25"/>
    <x v="15"/>
    <x v="211"/>
    <x v="1"/>
  </r>
  <r>
    <x v="667"/>
    <x v="70"/>
    <x v="1405"/>
    <x v="156"/>
    <x v="49"/>
    <x v="1978"/>
    <x v="3"/>
  </r>
  <r>
    <x v="75"/>
    <x v="244"/>
    <x v="1406"/>
    <x v="2"/>
    <x v="2"/>
    <x v="35"/>
    <x v="2"/>
  </r>
  <r>
    <x v="449"/>
    <x v="96"/>
    <x v="1407"/>
    <x v="119"/>
    <x v="29"/>
    <x v="1074"/>
    <x v="3"/>
  </r>
  <r>
    <x v="653"/>
    <x v="61"/>
    <x v="1408"/>
    <x v="1"/>
    <x v="41"/>
    <x v="565"/>
    <x v="1"/>
  </r>
  <r>
    <x v="1535"/>
    <x v="350"/>
    <x v="1409"/>
    <x v="64"/>
    <x v="7"/>
    <x v="195"/>
    <x v="2"/>
  </r>
  <r>
    <x v="595"/>
    <x v="282"/>
    <x v="1410"/>
    <x v="104"/>
    <x v="30"/>
    <x v="1081"/>
    <x v="2"/>
  </r>
  <r>
    <x v="1221"/>
    <x v="70"/>
    <x v="1411"/>
    <x v="220"/>
    <x v="43"/>
    <x v="1907"/>
    <x v="1"/>
  </r>
  <r>
    <x v="892"/>
    <x v="323"/>
    <x v="1412"/>
    <x v="9"/>
    <x v="49"/>
    <x v="1102"/>
    <x v="2"/>
  </r>
  <r>
    <x v="931"/>
    <x v="180"/>
    <x v="1413"/>
    <x v="7"/>
    <x v="22"/>
    <x v="1314"/>
    <x v="0"/>
  </r>
  <r>
    <x v="5"/>
    <x v="284"/>
    <x v="1414"/>
    <x v="88"/>
    <x v="13"/>
    <x v="1549"/>
    <x v="1"/>
  </r>
  <r>
    <x v="1015"/>
    <x v="174"/>
    <x v="1415"/>
    <x v="94"/>
    <x v="33"/>
    <x v="728"/>
    <x v="3"/>
  </r>
  <r>
    <x v="761"/>
    <x v="44"/>
    <x v="1416"/>
    <x v="14"/>
    <x v="44"/>
    <x v="1309"/>
    <x v="0"/>
  </r>
  <r>
    <x v="677"/>
    <x v="52"/>
    <x v="1417"/>
    <x v="97"/>
    <x v="29"/>
    <x v="827"/>
    <x v="1"/>
  </r>
  <r>
    <x v="1240"/>
    <x v="324"/>
    <x v="1418"/>
    <x v="62"/>
    <x v="30"/>
    <x v="1054"/>
    <x v="0"/>
  </r>
  <r>
    <x v="961"/>
    <x v="33"/>
    <x v="1419"/>
    <x v="129"/>
    <x v="42"/>
    <x v="1954"/>
    <x v="1"/>
  </r>
  <r>
    <x v="1702"/>
    <x v="95"/>
    <x v="1420"/>
    <x v="150"/>
    <x v="37"/>
    <x v="1779"/>
    <x v="2"/>
  </r>
  <r>
    <x v="1440"/>
    <x v="221"/>
    <x v="1421"/>
    <x v="41"/>
    <x v="33"/>
    <x v="1229"/>
    <x v="2"/>
  </r>
  <r>
    <x v="1294"/>
    <x v="288"/>
    <x v="1422"/>
    <x v="78"/>
    <x v="46"/>
    <x v="1004"/>
    <x v="1"/>
  </r>
  <r>
    <x v="835"/>
    <x v="340"/>
    <x v="1423"/>
    <x v="75"/>
    <x v="47"/>
    <x v="1707"/>
    <x v="1"/>
  </r>
  <r>
    <x v="1749"/>
    <x v="6"/>
    <x v="1424"/>
    <x v="49"/>
    <x v="28"/>
    <x v="1459"/>
    <x v="2"/>
  </r>
  <r>
    <x v="1036"/>
    <x v="152"/>
    <x v="1425"/>
    <x v="128"/>
    <x v="5"/>
    <x v="781"/>
    <x v="2"/>
  </r>
  <r>
    <x v="1846"/>
    <x v="42"/>
    <x v="1426"/>
    <x v="230"/>
    <x v="5"/>
    <x v="1247"/>
    <x v="2"/>
  </r>
  <r>
    <x v="1177"/>
    <x v="60"/>
    <x v="1427"/>
    <x v="46"/>
    <x v="14"/>
    <x v="247"/>
    <x v="1"/>
  </r>
  <r>
    <x v="1812"/>
    <x v="193"/>
    <x v="1428"/>
    <x v="26"/>
    <x v="16"/>
    <x v="402"/>
    <x v="3"/>
  </r>
  <r>
    <x v="383"/>
    <x v="33"/>
    <x v="1429"/>
    <x v="227"/>
    <x v="2"/>
    <x v="1478"/>
    <x v="2"/>
  </r>
  <r>
    <x v="719"/>
    <x v="269"/>
    <x v="1430"/>
    <x v="13"/>
    <x v="40"/>
    <x v="787"/>
    <x v="1"/>
  </r>
  <r>
    <x v="903"/>
    <x v="133"/>
    <x v="1431"/>
    <x v="10"/>
    <x v="24"/>
    <x v="263"/>
    <x v="1"/>
  </r>
  <r>
    <x v="784"/>
    <x v="70"/>
    <x v="1432"/>
    <x v="1"/>
    <x v="47"/>
    <x v="850"/>
    <x v="1"/>
  </r>
  <r>
    <x v="152"/>
    <x v="232"/>
    <x v="1433"/>
    <x v="62"/>
    <x v="2"/>
    <x v="168"/>
    <x v="2"/>
  </r>
  <r>
    <x v="1882"/>
    <x v="217"/>
    <x v="1434"/>
    <x v="217"/>
    <x v="28"/>
    <x v="1889"/>
    <x v="0"/>
  </r>
  <r>
    <x v="1729"/>
    <x v="213"/>
    <x v="1435"/>
    <x v="150"/>
    <x v="18"/>
    <x v="1433"/>
    <x v="2"/>
  </r>
  <r>
    <x v="275"/>
    <x v="171"/>
    <x v="1436"/>
    <x v="215"/>
    <x v="47"/>
    <x v="1754"/>
    <x v="3"/>
  </r>
  <r>
    <x v="1824"/>
    <x v="227"/>
    <x v="1437"/>
    <x v="88"/>
    <x v="48"/>
    <x v="1844"/>
    <x v="3"/>
  </r>
  <r>
    <x v="823"/>
    <x v="340"/>
    <x v="1438"/>
    <x v="70"/>
    <x v="19"/>
    <x v="1290"/>
    <x v="2"/>
  </r>
  <r>
    <x v="1616"/>
    <x v="263"/>
    <x v="1439"/>
    <x v="56"/>
    <x v="12"/>
    <x v="1395"/>
    <x v="2"/>
  </r>
  <r>
    <x v="1541"/>
    <x v="265"/>
    <x v="1440"/>
    <x v="150"/>
    <x v="39"/>
    <x v="1581"/>
    <x v="2"/>
  </r>
  <r>
    <x v="1627"/>
    <x v="45"/>
    <x v="1441"/>
    <x v="59"/>
    <x v="0"/>
    <x v="41"/>
    <x v="3"/>
  </r>
  <r>
    <x v="252"/>
    <x v="169"/>
    <x v="1442"/>
    <x v="47"/>
    <x v="15"/>
    <x v="1228"/>
    <x v="0"/>
  </r>
  <r>
    <x v="1879"/>
    <x v="295"/>
    <x v="1443"/>
    <x v="202"/>
    <x v="29"/>
    <x v="1875"/>
    <x v="3"/>
  </r>
  <r>
    <x v="749"/>
    <x v="95"/>
    <x v="1444"/>
    <x v="23"/>
    <x v="2"/>
    <x v="96"/>
    <x v="3"/>
  </r>
  <r>
    <x v="31"/>
    <x v="79"/>
    <x v="1445"/>
    <x v="174"/>
    <x v="20"/>
    <x v="1646"/>
    <x v="1"/>
  </r>
  <r>
    <x v="455"/>
    <x v="207"/>
    <x v="1446"/>
    <x v="234"/>
    <x v="21"/>
    <x v="1892"/>
    <x v="2"/>
  </r>
  <r>
    <x v="717"/>
    <x v="255"/>
    <x v="1447"/>
    <x v="7"/>
    <x v="46"/>
    <x v="645"/>
    <x v="3"/>
  </r>
  <r>
    <x v="212"/>
    <x v="134"/>
    <x v="1448"/>
    <x v="14"/>
    <x v="20"/>
    <x v="1214"/>
    <x v="1"/>
  </r>
  <r>
    <x v="766"/>
    <x v="97"/>
    <x v="1449"/>
    <x v="52"/>
    <x v="18"/>
    <x v="1652"/>
    <x v="3"/>
  </r>
  <r>
    <x v="1146"/>
    <x v="39"/>
    <x v="1450"/>
    <x v="174"/>
    <x v="34"/>
    <x v="1386"/>
    <x v="2"/>
  </r>
  <r>
    <x v="310"/>
    <x v="19"/>
    <x v="1451"/>
    <x v="41"/>
    <x v="38"/>
    <x v="1557"/>
    <x v="0"/>
  </r>
  <r>
    <x v="1"/>
    <x v="187"/>
    <x v="1452"/>
    <x v="47"/>
    <x v="22"/>
    <x v="555"/>
    <x v="1"/>
  </r>
  <r>
    <x v="1286"/>
    <x v="208"/>
    <x v="1453"/>
    <x v="47"/>
    <x v="21"/>
    <x v="284"/>
    <x v="0"/>
  </r>
  <r>
    <x v="863"/>
    <x v="247"/>
    <x v="1454"/>
    <x v="46"/>
    <x v="22"/>
    <x v="1358"/>
    <x v="1"/>
  </r>
  <r>
    <x v="1306"/>
    <x v="145"/>
    <x v="1455"/>
    <x v="230"/>
    <x v="39"/>
    <x v="1771"/>
    <x v="2"/>
  </r>
  <r>
    <x v="1267"/>
    <x v="108"/>
    <x v="1456"/>
    <x v="150"/>
    <x v="8"/>
    <x v="1365"/>
    <x v="0"/>
  </r>
  <r>
    <x v="1007"/>
    <x v="79"/>
    <x v="1457"/>
    <x v="21"/>
    <x v="20"/>
    <x v="600"/>
    <x v="2"/>
  </r>
  <r>
    <x v="165"/>
    <x v="274"/>
    <x v="1458"/>
    <x v="5"/>
    <x v="10"/>
    <x v="106"/>
    <x v="2"/>
  </r>
  <r>
    <x v="1330"/>
    <x v="58"/>
    <x v="1459"/>
    <x v="41"/>
    <x v="49"/>
    <x v="1006"/>
    <x v="0"/>
  </r>
  <r>
    <x v="1546"/>
    <x v="41"/>
    <x v="1460"/>
    <x v="217"/>
    <x v="18"/>
    <x v="1806"/>
    <x v="1"/>
  </r>
  <r>
    <x v="1576"/>
    <x v="217"/>
    <x v="1461"/>
    <x v="7"/>
    <x v="2"/>
    <x v="48"/>
    <x v="2"/>
  </r>
  <r>
    <x v="35"/>
    <x v="325"/>
    <x v="1462"/>
    <x v="197"/>
    <x v="16"/>
    <x v="429"/>
    <x v="3"/>
  </r>
  <r>
    <x v="1625"/>
    <x v="38"/>
    <x v="1463"/>
    <x v="197"/>
    <x v="25"/>
    <x v="590"/>
    <x v="1"/>
  </r>
  <r>
    <x v="1643"/>
    <x v="81"/>
    <x v="1464"/>
    <x v="98"/>
    <x v="17"/>
    <x v="1710"/>
    <x v="1"/>
  </r>
  <r>
    <x v="336"/>
    <x v="186"/>
    <x v="1465"/>
    <x v="124"/>
    <x v="8"/>
    <x v="1236"/>
    <x v="1"/>
  </r>
  <r>
    <x v="1130"/>
    <x v="116"/>
    <x v="1466"/>
    <x v="150"/>
    <x v="46"/>
    <x v="1456"/>
    <x v="2"/>
  </r>
  <r>
    <x v="1954"/>
    <x v="226"/>
    <x v="1467"/>
    <x v="46"/>
    <x v="41"/>
    <x v="1608"/>
    <x v="0"/>
  </r>
  <r>
    <x v="733"/>
    <x v="271"/>
    <x v="1468"/>
    <x v="5"/>
    <x v="38"/>
    <x v="1607"/>
    <x v="2"/>
  </r>
  <r>
    <x v="1210"/>
    <x v="228"/>
    <x v="1469"/>
    <x v="81"/>
    <x v="14"/>
    <x v="932"/>
    <x v="1"/>
  </r>
  <r>
    <x v="864"/>
    <x v="247"/>
    <x v="1470"/>
    <x v="63"/>
    <x v="37"/>
    <x v="1381"/>
    <x v="1"/>
  </r>
  <r>
    <x v="1652"/>
    <x v="188"/>
    <x v="1471"/>
    <x v="98"/>
    <x v="1"/>
    <x v="1008"/>
    <x v="3"/>
  </r>
  <r>
    <x v="1543"/>
    <x v="309"/>
    <x v="1472"/>
    <x v="56"/>
    <x v="25"/>
    <x v="1604"/>
    <x v="1"/>
  </r>
  <r>
    <x v="1456"/>
    <x v="311"/>
    <x v="1473"/>
    <x v="55"/>
    <x v="16"/>
    <x v="391"/>
    <x v="1"/>
  </r>
  <r>
    <x v="23"/>
    <x v="347"/>
    <x v="1474"/>
    <x v="13"/>
    <x v="41"/>
    <x v="745"/>
    <x v="3"/>
  </r>
  <r>
    <x v="1060"/>
    <x v="203"/>
    <x v="1475"/>
    <x v="1"/>
    <x v="30"/>
    <x v="119"/>
    <x v="3"/>
  </r>
  <r>
    <x v="1460"/>
    <x v="243"/>
    <x v="1476"/>
    <x v="74"/>
    <x v="3"/>
    <x v="355"/>
    <x v="2"/>
  </r>
  <r>
    <x v="843"/>
    <x v="52"/>
    <x v="1477"/>
    <x v="73"/>
    <x v="37"/>
    <x v="470"/>
    <x v="1"/>
  </r>
  <r>
    <x v="108"/>
    <x v="306"/>
    <x v="1478"/>
    <x v="1"/>
    <x v="30"/>
    <x v="501"/>
    <x v="1"/>
  </r>
  <r>
    <x v="1532"/>
    <x v="165"/>
    <x v="1479"/>
    <x v="174"/>
    <x v="7"/>
    <x v="1121"/>
    <x v="2"/>
  </r>
  <r>
    <x v="397"/>
    <x v="332"/>
    <x v="1480"/>
    <x v="192"/>
    <x v="44"/>
    <x v="1370"/>
    <x v="2"/>
  </r>
  <r>
    <x v="66"/>
    <x v="35"/>
    <x v="1481"/>
    <x v="88"/>
    <x v="46"/>
    <x v="1419"/>
    <x v="1"/>
  </r>
  <r>
    <x v="44"/>
    <x v="57"/>
    <x v="1482"/>
    <x v="36"/>
    <x v="20"/>
    <x v="1374"/>
    <x v="0"/>
  </r>
  <r>
    <x v="1043"/>
    <x v="75"/>
    <x v="1483"/>
    <x v="10"/>
    <x v="49"/>
    <x v="870"/>
    <x v="2"/>
  </r>
  <r>
    <x v="810"/>
    <x v="223"/>
    <x v="1484"/>
    <x v="18"/>
    <x v="36"/>
    <x v="776"/>
    <x v="2"/>
  </r>
  <r>
    <x v="875"/>
    <x v="251"/>
    <x v="1485"/>
    <x v="55"/>
    <x v="24"/>
    <x v="1337"/>
    <x v="3"/>
  </r>
  <r>
    <x v="239"/>
    <x v="105"/>
    <x v="1486"/>
    <x v="168"/>
    <x v="11"/>
    <x v="1701"/>
    <x v="1"/>
  </r>
  <r>
    <x v="166"/>
    <x v="151"/>
    <x v="1487"/>
    <x v="14"/>
    <x v="47"/>
    <x v="1418"/>
    <x v="1"/>
  </r>
  <r>
    <x v="1098"/>
    <x v="164"/>
    <x v="1488"/>
    <x v="49"/>
    <x v="32"/>
    <x v="721"/>
    <x v="2"/>
  </r>
  <r>
    <x v="413"/>
    <x v="182"/>
    <x v="1489"/>
    <x v="5"/>
    <x v="11"/>
    <x v="969"/>
    <x v="1"/>
  </r>
  <r>
    <x v="1487"/>
    <x v="89"/>
    <x v="1490"/>
    <x v="10"/>
    <x v="46"/>
    <x v="322"/>
    <x v="2"/>
  </r>
  <r>
    <x v="1983"/>
    <x v="293"/>
    <x v="1491"/>
    <x v="67"/>
    <x v="10"/>
    <x v="188"/>
    <x v="2"/>
  </r>
  <r>
    <x v="548"/>
    <x v="91"/>
    <x v="1492"/>
    <x v="108"/>
    <x v="10"/>
    <x v="1750"/>
    <x v="2"/>
  </r>
  <r>
    <x v="478"/>
    <x v="259"/>
    <x v="1493"/>
    <x v="45"/>
    <x v="5"/>
    <x v="1057"/>
    <x v="1"/>
  </r>
  <r>
    <x v="575"/>
    <x v="150"/>
    <x v="1494"/>
    <x v="47"/>
    <x v="40"/>
    <x v="1530"/>
    <x v="1"/>
  </r>
  <r>
    <x v="534"/>
    <x v="163"/>
    <x v="1495"/>
    <x v="150"/>
    <x v="14"/>
    <x v="1428"/>
    <x v="2"/>
  </r>
  <r>
    <x v="401"/>
    <x v="342"/>
    <x v="1496"/>
    <x v="162"/>
    <x v="34"/>
    <x v="1107"/>
    <x v="1"/>
  </r>
  <r>
    <x v="746"/>
    <x v="247"/>
    <x v="1497"/>
    <x v="72"/>
    <x v="38"/>
    <x v="1126"/>
    <x v="0"/>
  </r>
  <r>
    <x v="1887"/>
    <x v="165"/>
    <x v="1498"/>
    <x v="88"/>
    <x v="22"/>
    <x v="1097"/>
    <x v="1"/>
  </r>
  <r>
    <x v="450"/>
    <x v="96"/>
    <x v="1499"/>
    <x v="47"/>
    <x v="22"/>
    <x v="820"/>
    <x v="3"/>
  </r>
  <r>
    <x v="687"/>
    <x v="100"/>
    <x v="1500"/>
    <x v="1"/>
    <x v="16"/>
    <x v="109"/>
    <x v="1"/>
  </r>
  <r>
    <x v="259"/>
    <x v="261"/>
    <x v="1501"/>
    <x v="68"/>
    <x v="23"/>
    <x v="524"/>
    <x v="3"/>
  </r>
  <r>
    <x v="1020"/>
    <x v="123"/>
    <x v="1502"/>
    <x v="139"/>
    <x v="5"/>
    <x v="817"/>
    <x v="1"/>
  </r>
  <r>
    <x v="1328"/>
    <x v="271"/>
    <x v="1503"/>
    <x v="14"/>
    <x v="42"/>
    <x v="1450"/>
    <x v="3"/>
  </r>
  <r>
    <x v="814"/>
    <x v="24"/>
    <x v="1504"/>
    <x v="38"/>
    <x v="34"/>
    <x v="1822"/>
    <x v="3"/>
  </r>
  <r>
    <x v="885"/>
    <x v="352"/>
    <x v="1505"/>
    <x v="119"/>
    <x v="23"/>
    <x v="1417"/>
    <x v="2"/>
  </r>
  <r>
    <x v="1264"/>
    <x v="153"/>
    <x v="1506"/>
    <x v="137"/>
    <x v="26"/>
    <x v="1363"/>
    <x v="0"/>
  </r>
  <r>
    <x v="519"/>
    <x v="94"/>
    <x v="1507"/>
    <x v="148"/>
    <x v="30"/>
    <x v="1276"/>
    <x v="0"/>
  </r>
  <r>
    <x v="1830"/>
    <x v="105"/>
    <x v="1508"/>
    <x v="5"/>
    <x v="23"/>
    <x v="229"/>
    <x v="1"/>
  </r>
  <r>
    <x v="1759"/>
    <x v="94"/>
    <x v="1509"/>
    <x v="5"/>
    <x v="19"/>
    <x v="281"/>
    <x v="3"/>
  </r>
  <r>
    <x v="1140"/>
    <x v="241"/>
    <x v="1510"/>
    <x v="88"/>
    <x v="25"/>
    <x v="1729"/>
    <x v="1"/>
  </r>
  <r>
    <x v="223"/>
    <x v="308"/>
    <x v="1511"/>
    <x v="103"/>
    <x v="40"/>
    <x v="1255"/>
    <x v="1"/>
  </r>
  <r>
    <x v="599"/>
    <x v="254"/>
    <x v="1512"/>
    <x v="70"/>
    <x v="22"/>
    <x v="1855"/>
    <x v="1"/>
  </r>
  <r>
    <x v="85"/>
    <x v="272"/>
    <x v="1513"/>
    <x v="20"/>
    <x v="23"/>
    <x v="1012"/>
    <x v="1"/>
  </r>
  <r>
    <x v="650"/>
    <x v="190"/>
    <x v="1514"/>
    <x v="216"/>
    <x v="37"/>
    <x v="1756"/>
    <x v="3"/>
  </r>
  <r>
    <x v="1496"/>
    <x v="155"/>
    <x v="1515"/>
    <x v="57"/>
    <x v="12"/>
    <x v="432"/>
    <x v="0"/>
  </r>
  <r>
    <x v="53"/>
    <x v="131"/>
    <x v="1516"/>
    <x v="53"/>
    <x v="28"/>
    <x v="541"/>
    <x v="0"/>
  </r>
  <r>
    <x v="1728"/>
    <x v="106"/>
    <x v="1517"/>
    <x v="199"/>
    <x v="48"/>
    <x v="1916"/>
    <x v="2"/>
  </r>
  <r>
    <x v="13"/>
    <x v="146"/>
    <x v="1518"/>
    <x v="29"/>
    <x v="16"/>
    <x v="346"/>
    <x v="0"/>
  </r>
  <r>
    <x v="1536"/>
    <x v="350"/>
    <x v="1519"/>
    <x v="5"/>
    <x v="47"/>
    <x v="1684"/>
    <x v="2"/>
  </r>
  <r>
    <x v="1479"/>
    <x v="43"/>
    <x v="1520"/>
    <x v="50"/>
    <x v="43"/>
    <x v="620"/>
    <x v="1"/>
  </r>
  <r>
    <x v="1357"/>
    <x v="48"/>
    <x v="1521"/>
    <x v="88"/>
    <x v="29"/>
    <x v="1671"/>
    <x v="1"/>
  </r>
  <r>
    <x v="1425"/>
    <x v="107"/>
    <x v="1522"/>
    <x v="81"/>
    <x v="42"/>
    <x v="1443"/>
    <x v="2"/>
  </r>
  <r>
    <x v="1784"/>
    <x v="236"/>
    <x v="1523"/>
    <x v="150"/>
    <x v="20"/>
    <x v="1888"/>
    <x v="3"/>
  </r>
  <r>
    <x v="1284"/>
    <x v="31"/>
    <x v="1524"/>
    <x v="0"/>
    <x v="49"/>
    <x v="855"/>
    <x v="2"/>
  </r>
  <r>
    <x v="396"/>
    <x v="336"/>
    <x v="1525"/>
    <x v="69"/>
    <x v="49"/>
    <x v="1895"/>
    <x v="1"/>
  </r>
  <r>
    <x v="9"/>
    <x v="243"/>
    <x v="1526"/>
    <x v="88"/>
    <x v="9"/>
    <x v="1122"/>
    <x v="0"/>
  </r>
  <r>
    <x v="10"/>
    <x v="92"/>
    <x v="1527"/>
    <x v="27"/>
    <x v="22"/>
    <x v="880"/>
    <x v="2"/>
  </r>
  <r>
    <x v="876"/>
    <x v="112"/>
    <x v="1528"/>
    <x v="47"/>
    <x v="44"/>
    <x v="1073"/>
    <x v="2"/>
  </r>
  <r>
    <x v="674"/>
    <x v="150"/>
    <x v="1529"/>
    <x v="15"/>
    <x v="4"/>
    <x v="51"/>
    <x v="0"/>
  </r>
  <r>
    <x v="1969"/>
    <x v="28"/>
    <x v="1530"/>
    <x v="48"/>
    <x v="27"/>
    <x v="1385"/>
    <x v="1"/>
  </r>
  <r>
    <x v="662"/>
    <x v="8"/>
    <x v="1531"/>
    <x v="1"/>
    <x v="11"/>
    <x v="148"/>
    <x v="2"/>
  </r>
  <r>
    <x v="1931"/>
    <x v="2"/>
    <x v="1532"/>
    <x v="50"/>
    <x v="25"/>
    <x v="209"/>
    <x v="0"/>
  </r>
  <r>
    <x v="220"/>
    <x v="174"/>
    <x v="1533"/>
    <x v="14"/>
    <x v="37"/>
    <x v="1475"/>
    <x v="0"/>
  </r>
  <r>
    <x v="747"/>
    <x v="247"/>
    <x v="1534"/>
    <x v="55"/>
    <x v="17"/>
    <x v="577"/>
    <x v="0"/>
  </r>
  <r>
    <x v="1533"/>
    <x v="165"/>
    <x v="1535"/>
    <x v="88"/>
    <x v="49"/>
    <x v="1237"/>
    <x v="2"/>
  </r>
  <r>
    <x v="619"/>
    <x v="95"/>
    <x v="1536"/>
    <x v="6"/>
    <x v="36"/>
    <x v="1342"/>
    <x v="3"/>
  </r>
  <r>
    <x v="831"/>
    <x v="134"/>
    <x v="1537"/>
    <x v="25"/>
    <x v="15"/>
    <x v="613"/>
    <x v="1"/>
  </r>
  <r>
    <x v="759"/>
    <x v="103"/>
    <x v="1538"/>
    <x v="49"/>
    <x v="2"/>
    <x v="59"/>
    <x v="1"/>
  </r>
  <r>
    <x v="1658"/>
    <x v="338"/>
    <x v="1539"/>
    <x v="27"/>
    <x v="49"/>
    <x v="1136"/>
    <x v="2"/>
  </r>
  <r>
    <x v="1421"/>
    <x v="135"/>
    <x v="1540"/>
    <x v="70"/>
    <x v="37"/>
    <x v="1050"/>
    <x v="1"/>
  </r>
  <r>
    <x v="482"/>
    <x v="194"/>
    <x v="1541"/>
    <x v="43"/>
    <x v="45"/>
    <x v="741"/>
    <x v="1"/>
  </r>
  <r>
    <x v="935"/>
    <x v="226"/>
    <x v="1542"/>
    <x v="150"/>
    <x v="14"/>
    <x v="1793"/>
    <x v="2"/>
  </r>
  <r>
    <x v="405"/>
    <x v="30"/>
    <x v="1543"/>
    <x v="210"/>
    <x v="3"/>
    <x v="421"/>
    <x v="3"/>
  </r>
  <r>
    <x v="300"/>
    <x v="41"/>
    <x v="1544"/>
    <x v="224"/>
    <x v="5"/>
    <x v="1279"/>
    <x v="3"/>
  </r>
  <r>
    <x v="596"/>
    <x v="351"/>
    <x v="1545"/>
    <x v="14"/>
    <x v="35"/>
    <x v="833"/>
    <x v="1"/>
  </r>
  <r>
    <x v="532"/>
    <x v="112"/>
    <x v="1546"/>
    <x v="42"/>
    <x v="48"/>
    <x v="1560"/>
    <x v="3"/>
  </r>
  <r>
    <x v="379"/>
    <x v="302"/>
    <x v="1547"/>
    <x v="52"/>
    <x v="34"/>
    <x v="1351"/>
    <x v="2"/>
  </r>
  <r>
    <x v="1688"/>
    <x v="299"/>
    <x v="1548"/>
    <x v="36"/>
    <x v="17"/>
    <x v="939"/>
    <x v="2"/>
  </r>
  <r>
    <x v="1437"/>
    <x v="237"/>
    <x v="1549"/>
    <x v="213"/>
    <x v="34"/>
    <x v="1939"/>
    <x v="2"/>
  </r>
  <r>
    <x v="1654"/>
    <x v="239"/>
    <x v="1550"/>
    <x v="30"/>
    <x v="47"/>
    <x v="970"/>
    <x v="1"/>
  </r>
  <r>
    <x v="329"/>
    <x v="345"/>
    <x v="1551"/>
    <x v="44"/>
    <x v="11"/>
    <x v="87"/>
    <x v="0"/>
  </r>
  <r>
    <x v="126"/>
    <x v="73"/>
    <x v="1552"/>
    <x v="36"/>
    <x v="20"/>
    <x v="1473"/>
    <x v="2"/>
  </r>
  <r>
    <x v="1862"/>
    <x v="262"/>
    <x v="1553"/>
    <x v="32"/>
    <x v="25"/>
    <x v="1235"/>
    <x v="3"/>
  </r>
  <r>
    <x v="1430"/>
    <x v="71"/>
    <x v="1554"/>
    <x v="10"/>
    <x v="13"/>
    <x v="812"/>
    <x v="2"/>
  </r>
  <r>
    <x v="1770"/>
    <x v="124"/>
    <x v="1555"/>
    <x v="25"/>
    <x v="49"/>
    <x v="1550"/>
    <x v="0"/>
  </r>
  <r>
    <x v="276"/>
    <x v="171"/>
    <x v="1556"/>
    <x v="36"/>
    <x v="14"/>
    <x v="1154"/>
    <x v="3"/>
  </r>
  <r>
    <x v="311"/>
    <x v="330"/>
    <x v="1557"/>
    <x v="110"/>
    <x v="22"/>
    <x v="1215"/>
    <x v="0"/>
  </r>
  <r>
    <x v="1163"/>
    <x v="280"/>
    <x v="1558"/>
    <x v="14"/>
    <x v="48"/>
    <x v="1441"/>
    <x v="1"/>
  </r>
  <r>
    <x v="20"/>
    <x v="191"/>
    <x v="1559"/>
    <x v="49"/>
    <x v="44"/>
    <x v="936"/>
    <x v="1"/>
  </r>
  <r>
    <x v="1234"/>
    <x v="87"/>
    <x v="1560"/>
    <x v="9"/>
    <x v="41"/>
    <x v="518"/>
    <x v="2"/>
  </r>
  <r>
    <x v="1950"/>
    <x v="151"/>
    <x v="1561"/>
    <x v="65"/>
    <x v="4"/>
    <x v="552"/>
    <x v="3"/>
  </r>
  <r>
    <x v="1703"/>
    <x v="243"/>
    <x v="1562"/>
    <x v="50"/>
    <x v="41"/>
    <x v="771"/>
    <x v="3"/>
  </r>
  <r>
    <x v="386"/>
    <x v="176"/>
    <x v="1563"/>
    <x v="55"/>
    <x v="46"/>
    <x v="1780"/>
    <x v="2"/>
  </r>
  <r>
    <x v="19"/>
    <x v="223"/>
    <x v="1564"/>
    <x v="150"/>
    <x v="21"/>
    <x v="1354"/>
    <x v="1"/>
  </r>
  <r>
    <x v="1243"/>
    <x v="350"/>
    <x v="1565"/>
    <x v="0"/>
    <x v="48"/>
    <x v="624"/>
    <x v="1"/>
  </r>
  <r>
    <x v="1045"/>
    <x v="170"/>
    <x v="1566"/>
    <x v="36"/>
    <x v="25"/>
    <x v="1452"/>
    <x v="1"/>
  </r>
  <r>
    <x v="1926"/>
    <x v="184"/>
    <x v="1567"/>
    <x v="36"/>
    <x v="37"/>
    <x v="819"/>
    <x v="1"/>
  </r>
  <r>
    <x v="1745"/>
    <x v="110"/>
    <x v="1568"/>
    <x v="9"/>
    <x v="10"/>
    <x v="67"/>
    <x v="1"/>
  </r>
  <r>
    <x v="264"/>
    <x v="187"/>
    <x v="1569"/>
    <x v="84"/>
    <x v="8"/>
    <x v="564"/>
    <x v="3"/>
  </r>
  <r>
    <x v="1080"/>
    <x v="175"/>
    <x v="1570"/>
    <x v="87"/>
    <x v="19"/>
    <x v="445"/>
    <x v="0"/>
  </r>
  <r>
    <x v="204"/>
    <x v="302"/>
    <x v="1571"/>
    <x v="41"/>
    <x v="29"/>
    <x v="881"/>
    <x v="1"/>
  </r>
  <r>
    <x v="570"/>
    <x v="52"/>
    <x v="1572"/>
    <x v="158"/>
    <x v="37"/>
    <x v="1748"/>
    <x v="2"/>
  </r>
  <r>
    <x v="1968"/>
    <x v="258"/>
    <x v="1573"/>
    <x v="47"/>
    <x v="27"/>
    <x v="463"/>
    <x v="2"/>
  </r>
  <r>
    <x v="1788"/>
    <x v="214"/>
    <x v="1574"/>
    <x v="5"/>
    <x v="27"/>
    <x v="433"/>
    <x v="1"/>
  </r>
  <r>
    <x v="546"/>
    <x v="246"/>
    <x v="1575"/>
    <x v="129"/>
    <x v="3"/>
    <x v="1807"/>
    <x v="2"/>
  </r>
  <r>
    <x v="686"/>
    <x v="117"/>
    <x v="1576"/>
    <x v="174"/>
    <x v="45"/>
    <x v="1702"/>
    <x v="0"/>
  </r>
  <r>
    <x v="1406"/>
    <x v="235"/>
    <x v="1577"/>
    <x v="150"/>
    <x v="22"/>
    <x v="1598"/>
    <x v="2"/>
  </r>
  <r>
    <x v="1493"/>
    <x v="258"/>
    <x v="1578"/>
    <x v="57"/>
    <x v="46"/>
    <x v="1293"/>
    <x v="1"/>
  </r>
  <r>
    <x v="293"/>
    <x v="1"/>
    <x v="1579"/>
    <x v="150"/>
    <x v="24"/>
    <x v="1465"/>
    <x v="0"/>
  </r>
  <r>
    <x v="1415"/>
    <x v="112"/>
    <x v="1580"/>
    <x v="76"/>
    <x v="20"/>
    <x v="610"/>
    <x v="0"/>
  </r>
  <r>
    <x v="26"/>
    <x v="132"/>
    <x v="1581"/>
    <x v="104"/>
    <x v="47"/>
    <x v="1238"/>
    <x v="2"/>
  </r>
  <r>
    <x v="799"/>
    <x v="154"/>
    <x v="1582"/>
    <x v="53"/>
    <x v="21"/>
    <x v="438"/>
    <x v="0"/>
  </r>
  <r>
    <x v="1179"/>
    <x v="302"/>
    <x v="1583"/>
    <x v="54"/>
    <x v="42"/>
    <x v="694"/>
    <x v="0"/>
  </r>
  <r>
    <x v="211"/>
    <x v="18"/>
    <x v="1584"/>
    <x v="36"/>
    <x v="25"/>
    <x v="1028"/>
    <x v="0"/>
  </r>
  <r>
    <x v="201"/>
    <x v="210"/>
    <x v="1585"/>
    <x v="1"/>
    <x v="0"/>
    <x v="0"/>
    <x v="1"/>
  </r>
  <r>
    <x v="1282"/>
    <x v="157"/>
    <x v="1586"/>
    <x v="156"/>
    <x v="2"/>
    <x v="1593"/>
    <x v="2"/>
  </r>
  <r>
    <x v="1870"/>
    <x v="346"/>
    <x v="1587"/>
    <x v="0"/>
    <x v="40"/>
    <x v="588"/>
    <x v="1"/>
  </r>
  <r>
    <x v="1583"/>
    <x v="194"/>
    <x v="1588"/>
    <x v="204"/>
    <x v="24"/>
    <x v="1673"/>
    <x v="0"/>
  </r>
  <r>
    <x v="689"/>
    <x v="48"/>
    <x v="1589"/>
    <x v="232"/>
    <x v="14"/>
    <x v="1776"/>
    <x v="0"/>
  </r>
  <r>
    <x v="704"/>
    <x v="104"/>
    <x v="1590"/>
    <x v="19"/>
    <x v="41"/>
    <x v="398"/>
    <x v="1"/>
  </r>
  <r>
    <x v="460"/>
    <x v="242"/>
    <x v="1591"/>
    <x v="124"/>
    <x v="4"/>
    <x v="1094"/>
    <x v="0"/>
  </r>
  <r>
    <x v="14"/>
    <x v="146"/>
    <x v="1592"/>
    <x v="46"/>
    <x v="33"/>
    <x v="714"/>
    <x v="0"/>
  </r>
  <r>
    <x v="1827"/>
    <x v="66"/>
    <x v="1593"/>
    <x v="185"/>
    <x v="15"/>
    <x v="1493"/>
    <x v="0"/>
  </r>
  <r>
    <x v="94"/>
    <x v="191"/>
    <x v="1594"/>
    <x v="27"/>
    <x v="41"/>
    <x v="1123"/>
    <x v="1"/>
  </r>
  <r>
    <x v="196"/>
    <x v="214"/>
    <x v="1595"/>
    <x v="64"/>
    <x v="29"/>
    <x v="671"/>
    <x v="1"/>
  </r>
  <r>
    <x v="1510"/>
    <x v="202"/>
    <x v="1596"/>
    <x v="55"/>
    <x v="29"/>
    <x v="856"/>
    <x v="0"/>
  </r>
  <r>
    <x v="1934"/>
    <x v="65"/>
    <x v="1597"/>
    <x v="68"/>
    <x v="26"/>
    <x v="529"/>
    <x v="1"/>
  </r>
  <r>
    <x v="996"/>
    <x v="4"/>
    <x v="1598"/>
    <x v="49"/>
    <x v="46"/>
    <x v="874"/>
    <x v="0"/>
  </r>
  <r>
    <x v="1570"/>
    <x v="59"/>
    <x v="1599"/>
    <x v="36"/>
    <x v="39"/>
    <x v="1173"/>
    <x v="3"/>
  </r>
  <r>
    <x v="195"/>
    <x v="186"/>
    <x v="1600"/>
    <x v="37"/>
    <x v="21"/>
    <x v="151"/>
    <x v="2"/>
  </r>
  <r>
    <x v="1660"/>
    <x v="293"/>
    <x v="1601"/>
    <x v="155"/>
    <x v="44"/>
    <x v="1905"/>
    <x v="1"/>
  </r>
  <r>
    <x v="1141"/>
    <x v="295"/>
    <x v="1602"/>
    <x v="14"/>
    <x v="20"/>
    <x v="847"/>
    <x v="1"/>
  </r>
  <r>
    <x v="1280"/>
    <x v="231"/>
    <x v="1603"/>
    <x v="71"/>
    <x v="18"/>
    <x v="580"/>
    <x v="2"/>
  </r>
  <r>
    <x v="1936"/>
    <x v="237"/>
    <x v="1604"/>
    <x v="54"/>
    <x v="2"/>
    <x v="124"/>
    <x v="3"/>
  </r>
  <r>
    <x v="381"/>
    <x v="346"/>
    <x v="1605"/>
    <x v="13"/>
    <x v="25"/>
    <x v="638"/>
    <x v="2"/>
  </r>
  <r>
    <x v="989"/>
    <x v="33"/>
    <x v="1606"/>
    <x v="5"/>
    <x v="47"/>
    <x v="1732"/>
    <x v="2"/>
  </r>
  <r>
    <x v="1587"/>
    <x v="206"/>
    <x v="1607"/>
    <x v="44"/>
    <x v="47"/>
    <x v="754"/>
    <x v="0"/>
  </r>
  <r>
    <x v="512"/>
    <x v="16"/>
    <x v="1608"/>
    <x v="5"/>
    <x v="8"/>
    <x v="139"/>
    <x v="0"/>
  </r>
  <r>
    <x v="251"/>
    <x v="54"/>
    <x v="1609"/>
    <x v="47"/>
    <x v="10"/>
    <x v="990"/>
    <x v="1"/>
  </r>
  <r>
    <x v="1735"/>
    <x v="283"/>
    <x v="1610"/>
    <x v="88"/>
    <x v="30"/>
    <x v="1177"/>
    <x v="1"/>
  </r>
  <r>
    <x v="21"/>
    <x v="60"/>
    <x v="1611"/>
    <x v="107"/>
    <x v="34"/>
    <x v="1110"/>
    <x v="0"/>
  </r>
  <r>
    <x v="175"/>
    <x v="149"/>
    <x v="1612"/>
    <x v="47"/>
    <x v="7"/>
    <x v="410"/>
    <x v="2"/>
  </r>
  <r>
    <x v="1782"/>
    <x v="229"/>
    <x v="1613"/>
    <x v="55"/>
    <x v="34"/>
    <x v="1343"/>
    <x v="3"/>
  </r>
  <r>
    <x v="1410"/>
    <x v="265"/>
    <x v="1614"/>
    <x v="57"/>
    <x v="47"/>
    <x v="1294"/>
    <x v="0"/>
  </r>
  <r>
    <x v="1635"/>
    <x v="146"/>
    <x v="1615"/>
    <x v="0"/>
    <x v="16"/>
    <x v="157"/>
    <x v="3"/>
  </r>
  <r>
    <x v="1483"/>
    <x v="40"/>
    <x v="1616"/>
    <x v="61"/>
    <x v="29"/>
    <x v="1180"/>
    <x v="2"/>
  </r>
  <r>
    <x v="1436"/>
    <x v="226"/>
    <x v="1617"/>
    <x v="11"/>
    <x v="3"/>
    <x v="7"/>
    <x v="1"/>
  </r>
  <r>
    <x v="1923"/>
    <x v="34"/>
    <x v="1618"/>
    <x v="35"/>
    <x v="11"/>
    <x v="929"/>
    <x v="1"/>
  </r>
  <r>
    <x v="815"/>
    <x v="24"/>
    <x v="1619"/>
    <x v="74"/>
    <x v="47"/>
    <x v="1522"/>
    <x v="3"/>
  </r>
  <r>
    <x v="730"/>
    <x v="17"/>
    <x v="1620"/>
    <x v="88"/>
    <x v="6"/>
    <x v="444"/>
    <x v="0"/>
  </r>
  <r>
    <x v="190"/>
    <x v="240"/>
    <x v="1621"/>
    <x v="104"/>
    <x v="42"/>
    <x v="1165"/>
    <x v="1"/>
  </r>
  <r>
    <x v="1609"/>
    <x v="20"/>
    <x v="1622"/>
    <x v="45"/>
    <x v="40"/>
    <x v="977"/>
    <x v="2"/>
  </r>
  <r>
    <x v="159"/>
    <x v="53"/>
    <x v="1623"/>
    <x v="223"/>
    <x v="29"/>
    <x v="1897"/>
    <x v="1"/>
  </r>
  <r>
    <x v="1040"/>
    <x v="256"/>
    <x v="1624"/>
    <x v="226"/>
    <x v="18"/>
    <x v="1736"/>
    <x v="2"/>
  </r>
  <r>
    <x v="416"/>
    <x v="159"/>
    <x v="1625"/>
    <x v="14"/>
    <x v="4"/>
    <x v="242"/>
    <x v="2"/>
  </r>
  <r>
    <x v="639"/>
    <x v="330"/>
    <x v="1626"/>
    <x v="93"/>
    <x v="10"/>
    <x v="625"/>
    <x v="0"/>
  </r>
  <r>
    <x v="572"/>
    <x v="257"/>
    <x v="1627"/>
    <x v="182"/>
    <x v="22"/>
    <x v="1890"/>
    <x v="1"/>
  </r>
  <r>
    <x v="420"/>
    <x v="50"/>
    <x v="1628"/>
    <x v="69"/>
    <x v="23"/>
    <x v="1704"/>
    <x v="2"/>
  </r>
  <r>
    <x v="1349"/>
    <x v="333"/>
    <x v="1629"/>
    <x v="50"/>
    <x v="27"/>
    <x v="510"/>
    <x v="1"/>
  </r>
  <r>
    <x v="373"/>
    <x v="177"/>
    <x v="1630"/>
    <x v="189"/>
    <x v="5"/>
    <x v="1299"/>
    <x v="1"/>
  </r>
  <r>
    <x v="1876"/>
    <x v="94"/>
    <x v="1631"/>
    <x v="55"/>
    <x v="32"/>
    <x v="1170"/>
    <x v="2"/>
  </r>
  <r>
    <x v="1637"/>
    <x v="54"/>
    <x v="1632"/>
    <x v="32"/>
    <x v="17"/>
    <x v="901"/>
    <x v="1"/>
  </r>
  <r>
    <x v="526"/>
    <x v="46"/>
    <x v="1633"/>
    <x v="119"/>
    <x v="49"/>
    <x v="1666"/>
    <x v="1"/>
  </r>
  <r>
    <x v="614"/>
    <x v="261"/>
    <x v="1634"/>
    <x v="10"/>
    <x v="22"/>
    <x v="367"/>
    <x v="0"/>
  </r>
  <r>
    <x v="1126"/>
    <x v="38"/>
    <x v="1635"/>
    <x v="18"/>
    <x v="30"/>
    <x v="730"/>
    <x v="3"/>
  </r>
  <r>
    <x v="1178"/>
    <x v="116"/>
    <x v="1636"/>
    <x v="93"/>
    <x v="14"/>
    <x v="517"/>
    <x v="1"/>
  </r>
  <r>
    <x v="920"/>
    <x v="234"/>
    <x v="1637"/>
    <x v="132"/>
    <x v="0"/>
    <x v="742"/>
    <x v="1"/>
  </r>
  <r>
    <x v="61"/>
    <x v="64"/>
    <x v="1638"/>
    <x v="119"/>
    <x v="32"/>
    <x v="1086"/>
    <x v="1"/>
  </r>
  <r>
    <x v="284"/>
    <x v="234"/>
    <x v="1639"/>
    <x v="5"/>
    <x v="29"/>
    <x v="1288"/>
    <x v="0"/>
  </r>
  <r>
    <x v="549"/>
    <x v="91"/>
    <x v="1640"/>
    <x v="124"/>
    <x v="37"/>
    <x v="1821"/>
    <x v="2"/>
  </r>
  <r>
    <x v="461"/>
    <x v="242"/>
    <x v="1641"/>
    <x v="88"/>
    <x v="36"/>
    <x v="1372"/>
    <x v="0"/>
  </r>
  <r>
    <x v="447"/>
    <x v="185"/>
    <x v="1642"/>
    <x v="4"/>
    <x v="30"/>
    <x v="422"/>
    <x v="2"/>
  </r>
  <r>
    <x v="1207"/>
    <x v="260"/>
    <x v="1643"/>
    <x v="24"/>
    <x v="39"/>
    <x v="1244"/>
    <x v="3"/>
  </r>
  <r>
    <x v="1723"/>
    <x v="176"/>
    <x v="1644"/>
    <x v="79"/>
    <x v="5"/>
    <x v="1157"/>
    <x v="1"/>
  </r>
  <r>
    <x v="117"/>
    <x v="176"/>
    <x v="1645"/>
    <x v="36"/>
    <x v="6"/>
    <x v="439"/>
    <x v="0"/>
  </r>
  <r>
    <x v="1160"/>
    <x v="314"/>
    <x v="1646"/>
    <x v="52"/>
    <x v="14"/>
    <x v="366"/>
    <x v="2"/>
  </r>
  <r>
    <x v="301"/>
    <x v="202"/>
    <x v="1647"/>
    <x v="70"/>
    <x v="39"/>
    <x v="1017"/>
    <x v="1"/>
  </r>
  <r>
    <x v="347"/>
    <x v="0"/>
    <x v="1648"/>
    <x v="5"/>
    <x v="23"/>
    <x v="483"/>
    <x v="1"/>
  </r>
  <r>
    <x v="1607"/>
    <x v="144"/>
    <x v="1649"/>
    <x v="215"/>
    <x v="22"/>
    <x v="1491"/>
    <x v="2"/>
  </r>
  <r>
    <x v="1281"/>
    <x v="291"/>
    <x v="1650"/>
    <x v="7"/>
    <x v="22"/>
    <x v="1182"/>
    <x v="3"/>
  </r>
  <r>
    <x v="1193"/>
    <x v="223"/>
    <x v="1651"/>
    <x v="86"/>
    <x v="5"/>
    <x v="443"/>
    <x v="0"/>
  </r>
  <r>
    <x v="1563"/>
    <x v="101"/>
    <x v="1652"/>
    <x v="10"/>
    <x v="6"/>
    <x v="81"/>
    <x v="1"/>
  </r>
  <r>
    <x v="1809"/>
    <x v="52"/>
    <x v="1653"/>
    <x v="140"/>
    <x v="6"/>
    <x v="584"/>
    <x v="2"/>
  </r>
  <r>
    <x v="922"/>
    <x v="247"/>
    <x v="1654"/>
    <x v="20"/>
    <x v="46"/>
    <x v="619"/>
    <x v="3"/>
  </r>
  <r>
    <x v="737"/>
    <x v="332"/>
    <x v="1655"/>
    <x v="170"/>
    <x v="44"/>
    <x v="1823"/>
    <x v="2"/>
  </r>
  <r>
    <x v="294"/>
    <x v="1"/>
    <x v="1656"/>
    <x v="197"/>
    <x v="8"/>
    <x v="287"/>
    <x v="0"/>
  </r>
  <r>
    <x v="1580"/>
    <x v="136"/>
    <x v="1657"/>
    <x v="88"/>
    <x v="38"/>
    <x v="1830"/>
    <x v="2"/>
  </r>
  <r>
    <x v="1102"/>
    <x v="115"/>
    <x v="1658"/>
    <x v="9"/>
    <x v="7"/>
    <x v="145"/>
    <x v="1"/>
  </r>
  <r>
    <x v="706"/>
    <x v="310"/>
    <x v="1659"/>
    <x v="54"/>
    <x v="41"/>
    <x v="984"/>
    <x v="1"/>
  </r>
  <r>
    <x v="923"/>
    <x v="60"/>
    <x v="1660"/>
    <x v="119"/>
    <x v="3"/>
    <x v="258"/>
    <x v="3"/>
  </r>
  <r>
    <x v="312"/>
    <x v="330"/>
    <x v="1661"/>
    <x v="0"/>
    <x v="3"/>
    <x v="42"/>
    <x v="0"/>
  </r>
  <r>
    <x v="1432"/>
    <x v="182"/>
    <x v="1662"/>
    <x v="156"/>
    <x v="32"/>
    <x v="1824"/>
    <x v="0"/>
  </r>
  <r>
    <x v="1366"/>
    <x v="8"/>
    <x v="1663"/>
    <x v="55"/>
    <x v="16"/>
    <x v="1531"/>
    <x v="1"/>
  </r>
  <r>
    <x v="1835"/>
    <x v="120"/>
    <x v="1664"/>
    <x v="57"/>
    <x v="42"/>
    <x v="1101"/>
    <x v="3"/>
  </r>
  <r>
    <x v="254"/>
    <x v="4"/>
    <x v="1665"/>
    <x v="106"/>
    <x v="4"/>
    <x v="174"/>
    <x v="0"/>
  </r>
  <r>
    <x v="325"/>
    <x v="0"/>
    <x v="1666"/>
    <x v="170"/>
    <x v="0"/>
    <x v="647"/>
    <x v="1"/>
  </r>
  <r>
    <x v="616"/>
    <x v="178"/>
    <x v="1667"/>
    <x v="4"/>
    <x v="40"/>
    <x v="768"/>
    <x v="2"/>
  </r>
  <r>
    <x v="39"/>
    <x v="2"/>
    <x v="1668"/>
    <x v="53"/>
    <x v="32"/>
    <x v="958"/>
    <x v="1"/>
  </r>
  <r>
    <x v="208"/>
    <x v="223"/>
    <x v="1669"/>
    <x v="48"/>
    <x v="29"/>
    <x v="872"/>
    <x v="2"/>
  </r>
  <r>
    <x v="1402"/>
    <x v="76"/>
    <x v="1670"/>
    <x v="0"/>
    <x v="45"/>
    <x v="380"/>
    <x v="3"/>
  </r>
  <r>
    <x v="725"/>
    <x v="59"/>
    <x v="1671"/>
    <x v="5"/>
    <x v="43"/>
    <x v="1234"/>
    <x v="2"/>
  </r>
  <r>
    <x v="1689"/>
    <x v="299"/>
    <x v="1672"/>
    <x v="81"/>
    <x v="45"/>
    <x v="1451"/>
    <x v="2"/>
  </r>
  <r>
    <x v="1596"/>
    <x v="182"/>
    <x v="1673"/>
    <x v="170"/>
    <x v="32"/>
    <x v="1817"/>
    <x v="1"/>
  </r>
  <r>
    <x v="1860"/>
    <x v="241"/>
    <x v="1674"/>
    <x v="54"/>
    <x v="48"/>
    <x v="799"/>
    <x v="2"/>
  </r>
  <r>
    <x v="1433"/>
    <x v="182"/>
    <x v="1675"/>
    <x v="72"/>
    <x v="14"/>
    <x v="370"/>
    <x v="0"/>
  </r>
  <r>
    <x v="391"/>
    <x v="34"/>
    <x v="1676"/>
    <x v="79"/>
    <x v="26"/>
    <x v="1746"/>
    <x v="3"/>
  </r>
  <r>
    <x v="1574"/>
    <x v="339"/>
    <x v="1677"/>
    <x v="0"/>
    <x v="34"/>
    <x v="597"/>
    <x v="0"/>
  </r>
  <r>
    <x v="1214"/>
    <x v="159"/>
    <x v="1678"/>
    <x v="38"/>
    <x v="18"/>
    <x v="241"/>
    <x v="2"/>
  </r>
  <r>
    <x v="1222"/>
    <x v="135"/>
    <x v="1679"/>
    <x v="87"/>
    <x v="44"/>
    <x v="1618"/>
    <x v="1"/>
  </r>
  <r>
    <x v="436"/>
    <x v="281"/>
    <x v="1680"/>
    <x v="156"/>
    <x v="42"/>
    <x v="1974"/>
    <x v="0"/>
  </r>
  <r>
    <x v="1633"/>
    <x v="16"/>
    <x v="1681"/>
    <x v="199"/>
    <x v="3"/>
    <x v="1284"/>
    <x v="0"/>
  </r>
  <r>
    <x v="1945"/>
    <x v="174"/>
    <x v="1682"/>
    <x v="170"/>
    <x v="10"/>
    <x v="1572"/>
    <x v="2"/>
  </r>
  <r>
    <x v="1653"/>
    <x v="188"/>
    <x v="1683"/>
    <x v="75"/>
    <x v="19"/>
    <x v="1591"/>
    <x v="3"/>
  </r>
  <r>
    <x v="1132"/>
    <x v="30"/>
    <x v="1684"/>
    <x v="50"/>
    <x v="13"/>
    <x v="911"/>
    <x v="3"/>
  </r>
  <r>
    <x v="568"/>
    <x v="98"/>
    <x v="1685"/>
    <x v="28"/>
    <x v="49"/>
    <x v="1260"/>
    <x v="2"/>
  </r>
  <r>
    <x v="902"/>
    <x v="280"/>
    <x v="1686"/>
    <x v="64"/>
    <x v="15"/>
    <x v="898"/>
    <x v="3"/>
  </r>
  <r>
    <x v="696"/>
    <x v="19"/>
    <x v="1687"/>
    <x v="52"/>
    <x v="42"/>
    <x v="1424"/>
    <x v="3"/>
  </r>
  <r>
    <x v="802"/>
    <x v="26"/>
    <x v="1688"/>
    <x v="170"/>
    <x v="11"/>
    <x v="1425"/>
    <x v="2"/>
  </r>
  <r>
    <x v="1092"/>
    <x v="338"/>
    <x v="1689"/>
    <x v="174"/>
    <x v="37"/>
    <x v="1791"/>
    <x v="0"/>
  </r>
  <r>
    <x v="1905"/>
    <x v="78"/>
    <x v="1690"/>
    <x v="52"/>
    <x v="36"/>
    <x v="782"/>
    <x v="1"/>
  </r>
  <r>
    <x v="1796"/>
    <x v="79"/>
    <x v="1691"/>
    <x v="20"/>
    <x v="4"/>
    <x v="299"/>
    <x v="1"/>
  </r>
  <r>
    <x v="224"/>
    <x v="308"/>
    <x v="1692"/>
    <x v="14"/>
    <x v="31"/>
    <x v="1405"/>
    <x v="1"/>
  </r>
  <r>
    <x v="57"/>
    <x v="7"/>
    <x v="1693"/>
    <x v="150"/>
    <x v="2"/>
    <x v="1412"/>
    <x v="1"/>
  </r>
  <r>
    <x v="1412"/>
    <x v="342"/>
    <x v="1694"/>
    <x v="86"/>
    <x v="41"/>
    <x v="824"/>
    <x v="3"/>
  </r>
  <r>
    <x v="779"/>
    <x v="0"/>
    <x v="1695"/>
    <x v="134"/>
    <x v="49"/>
    <x v="1380"/>
    <x v="0"/>
  </r>
  <r>
    <x v="982"/>
    <x v="100"/>
    <x v="1696"/>
    <x v="184"/>
    <x v="21"/>
    <x v="1836"/>
    <x v="2"/>
  </r>
  <r>
    <x v="1273"/>
    <x v="220"/>
    <x v="1697"/>
    <x v="0"/>
    <x v="36"/>
    <x v="381"/>
    <x v="1"/>
  </r>
  <r>
    <x v="1485"/>
    <x v="101"/>
    <x v="1698"/>
    <x v="48"/>
    <x v="37"/>
    <x v="530"/>
    <x v="1"/>
  </r>
  <r>
    <x v="127"/>
    <x v="73"/>
    <x v="1699"/>
    <x v="30"/>
    <x v="41"/>
    <x v="952"/>
    <x v="2"/>
  </r>
  <r>
    <x v="371"/>
    <x v="165"/>
    <x v="1700"/>
    <x v="60"/>
    <x v="28"/>
    <x v="1062"/>
    <x v="0"/>
  </r>
  <r>
    <x v="87"/>
    <x v="335"/>
    <x v="1701"/>
    <x v="190"/>
    <x v="12"/>
    <x v="1930"/>
    <x v="1"/>
  </r>
  <r>
    <x v="1760"/>
    <x v="94"/>
    <x v="1702"/>
    <x v="7"/>
    <x v="18"/>
    <x v="183"/>
    <x v="3"/>
  </r>
  <r>
    <x v="998"/>
    <x v="156"/>
    <x v="1703"/>
    <x v="205"/>
    <x v="43"/>
    <x v="1882"/>
    <x v="2"/>
  </r>
  <r>
    <x v="1450"/>
    <x v="329"/>
    <x v="1704"/>
    <x v="75"/>
    <x v="24"/>
    <x v="1625"/>
    <x v="1"/>
  </r>
  <r>
    <x v="1825"/>
    <x v="227"/>
    <x v="1705"/>
    <x v="174"/>
    <x v="32"/>
    <x v="1667"/>
    <x v="3"/>
  </r>
  <r>
    <x v="820"/>
    <x v="257"/>
    <x v="1706"/>
    <x v="48"/>
    <x v="35"/>
    <x v="1533"/>
    <x v="0"/>
  </r>
  <r>
    <x v="193"/>
    <x v="345"/>
    <x v="1707"/>
    <x v="48"/>
    <x v="49"/>
    <x v="1085"/>
    <x v="3"/>
  </r>
  <r>
    <x v="1693"/>
    <x v="319"/>
    <x v="1708"/>
    <x v="54"/>
    <x v="12"/>
    <x v="259"/>
    <x v="3"/>
  </r>
  <r>
    <x v="1393"/>
    <x v="340"/>
    <x v="1709"/>
    <x v="44"/>
    <x v="17"/>
    <x v="1239"/>
    <x v="1"/>
  </r>
  <r>
    <x v="1029"/>
    <x v="165"/>
    <x v="1710"/>
    <x v="47"/>
    <x v="31"/>
    <x v="1113"/>
    <x v="0"/>
  </r>
  <r>
    <x v="649"/>
    <x v="65"/>
    <x v="1711"/>
    <x v="59"/>
    <x v="22"/>
    <x v="1034"/>
    <x v="2"/>
  </r>
  <r>
    <x v="1409"/>
    <x v="118"/>
    <x v="1712"/>
    <x v="215"/>
    <x v="3"/>
    <x v="1362"/>
    <x v="0"/>
  </r>
  <r>
    <x v="503"/>
    <x v="178"/>
    <x v="1713"/>
    <x v="150"/>
    <x v="49"/>
    <x v="1620"/>
    <x v="2"/>
  </r>
  <r>
    <x v="967"/>
    <x v="156"/>
    <x v="1714"/>
    <x v="156"/>
    <x v="11"/>
    <x v="1669"/>
    <x v="1"/>
  </r>
  <r>
    <x v="992"/>
    <x v="186"/>
    <x v="1715"/>
    <x v="56"/>
    <x v="34"/>
    <x v="1285"/>
    <x v="0"/>
  </r>
  <r>
    <x v="1067"/>
    <x v="199"/>
    <x v="1716"/>
    <x v="36"/>
    <x v="46"/>
    <x v="942"/>
    <x v="0"/>
  </r>
  <r>
    <x v="1907"/>
    <x v="308"/>
    <x v="1717"/>
    <x v="38"/>
    <x v="2"/>
    <x v="1077"/>
    <x v="0"/>
  </r>
  <r>
    <x v="12"/>
    <x v="137"/>
    <x v="1718"/>
    <x v="1"/>
    <x v="23"/>
    <x v="430"/>
    <x v="2"/>
  </r>
  <r>
    <x v="1054"/>
    <x v="223"/>
    <x v="1719"/>
    <x v="71"/>
    <x v="9"/>
    <x v="261"/>
    <x v="2"/>
  </r>
  <r>
    <x v="538"/>
    <x v="351"/>
    <x v="1720"/>
    <x v="54"/>
    <x v="25"/>
    <x v="594"/>
    <x v="1"/>
  </r>
  <r>
    <x v="865"/>
    <x v="247"/>
    <x v="1721"/>
    <x v="54"/>
    <x v="36"/>
    <x v="583"/>
    <x v="1"/>
  </r>
  <r>
    <x v="1362"/>
    <x v="235"/>
    <x v="1722"/>
    <x v="10"/>
    <x v="28"/>
    <x v="184"/>
    <x v="1"/>
  </r>
  <r>
    <x v="1955"/>
    <x v="226"/>
    <x v="1723"/>
    <x v="99"/>
    <x v="44"/>
    <x v="1760"/>
    <x v="0"/>
  </r>
  <r>
    <x v="1229"/>
    <x v="311"/>
    <x v="1724"/>
    <x v="18"/>
    <x v="0"/>
    <x v="15"/>
    <x v="1"/>
  </r>
  <r>
    <x v="1930"/>
    <x v="351"/>
    <x v="1725"/>
    <x v="56"/>
    <x v="47"/>
    <x v="1388"/>
    <x v="0"/>
  </r>
  <r>
    <x v="1068"/>
    <x v="168"/>
    <x v="1726"/>
    <x v="38"/>
    <x v="12"/>
    <x v="1462"/>
    <x v="3"/>
  </r>
  <r>
    <x v="1157"/>
    <x v="120"/>
    <x v="1727"/>
    <x v="150"/>
    <x v="8"/>
    <x v="1310"/>
    <x v="2"/>
  </r>
  <r>
    <x v="1477"/>
    <x v="31"/>
    <x v="1728"/>
    <x v="24"/>
    <x v="34"/>
    <x v="1413"/>
    <x v="0"/>
  </r>
  <r>
    <x v="1776"/>
    <x v="270"/>
    <x v="1729"/>
    <x v="0"/>
    <x v="2"/>
    <x v="47"/>
    <x v="0"/>
  </r>
  <r>
    <x v="867"/>
    <x v="333"/>
    <x v="1730"/>
    <x v="152"/>
    <x v="25"/>
    <x v="1393"/>
    <x v="1"/>
  </r>
  <r>
    <x v="1672"/>
    <x v="223"/>
    <x v="1731"/>
    <x v="42"/>
    <x v="19"/>
    <x v="809"/>
    <x v="0"/>
  </r>
  <r>
    <x v="407"/>
    <x v="141"/>
    <x v="1732"/>
    <x v="48"/>
    <x v="44"/>
    <x v="575"/>
    <x v="1"/>
  </r>
  <r>
    <x v="849"/>
    <x v="177"/>
    <x v="1733"/>
    <x v="54"/>
    <x v="17"/>
    <x v="344"/>
    <x v="1"/>
  </r>
  <r>
    <x v="1475"/>
    <x v="97"/>
    <x v="1734"/>
    <x v="10"/>
    <x v="25"/>
    <x v="256"/>
    <x v="1"/>
  </r>
  <r>
    <x v="484"/>
    <x v="343"/>
    <x v="1735"/>
    <x v="20"/>
    <x v="27"/>
    <x v="733"/>
    <x v="3"/>
  </r>
  <r>
    <x v="326"/>
    <x v="0"/>
    <x v="1736"/>
    <x v="175"/>
    <x v="23"/>
    <x v="1849"/>
    <x v="1"/>
  </r>
  <r>
    <x v="884"/>
    <x v="133"/>
    <x v="1737"/>
    <x v="145"/>
    <x v="27"/>
    <x v="1438"/>
    <x v="2"/>
  </r>
  <r>
    <x v="1549"/>
    <x v="287"/>
    <x v="1738"/>
    <x v="57"/>
    <x v="39"/>
    <x v="1856"/>
    <x v="2"/>
  </r>
  <r>
    <x v="1352"/>
    <x v="234"/>
    <x v="1739"/>
    <x v="12"/>
    <x v="20"/>
    <x v="534"/>
    <x v="1"/>
  </r>
  <r>
    <x v="1915"/>
    <x v="282"/>
    <x v="1740"/>
    <x v="199"/>
    <x v="2"/>
    <x v="1112"/>
    <x v="0"/>
  </r>
  <r>
    <x v="350"/>
    <x v="125"/>
    <x v="1741"/>
    <x v="66"/>
    <x v="44"/>
    <x v="834"/>
    <x v="2"/>
  </r>
  <r>
    <x v="1099"/>
    <x v="164"/>
    <x v="1742"/>
    <x v="88"/>
    <x v="7"/>
    <x v="611"/>
    <x v="2"/>
  </r>
  <r>
    <x v="2"/>
    <x v="187"/>
    <x v="1743"/>
    <x v="88"/>
    <x v="14"/>
    <x v="493"/>
    <x v="1"/>
  </r>
  <r>
    <x v="589"/>
    <x v="67"/>
    <x v="1744"/>
    <x v="3"/>
    <x v="11"/>
    <x v="275"/>
    <x v="1"/>
  </r>
  <r>
    <x v="408"/>
    <x v="141"/>
    <x v="1745"/>
    <x v="54"/>
    <x v="35"/>
    <x v="697"/>
    <x v="1"/>
  </r>
  <r>
    <x v="585"/>
    <x v="328"/>
    <x v="1746"/>
    <x v="36"/>
    <x v="28"/>
    <x v="1135"/>
    <x v="0"/>
  </r>
  <r>
    <x v="1901"/>
    <x v="144"/>
    <x v="1747"/>
    <x v="0"/>
    <x v="24"/>
    <x v="1613"/>
    <x v="1"/>
  </r>
  <r>
    <x v="1974"/>
    <x v="25"/>
    <x v="1748"/>
    <x v="64"/>
    <x v="25"/>
    <x v="390"/>
    <x v="1"/>
  </r>
  <r>
    <x v="88"/>
    <x v="335"/>
    <x v="1749"/>
    <x v="87"/>
    <x v="28"/>
    <x v="692"/>
    <x v="1"/>
  </r>
  <r>
    <x v="626"/>
    <x v="344"/>
    <x v="1750"/>
    <x v="7"/>
    <x v="41"/>
    <x v="401"/>
    <x v="1"/>
  </r>
  <r>
    <x v="913"/>
    <x v="247"/>
    <x v="1751"/>
    <x v="88"/>
    <x v="24"/>
    <x v="1049"/>
    <x v="1"/>
  </r>
  <r>
    <x v="1118"/>
    <x v="324"/>
    <x v="1752"/>
    <x v="49"/>
    <x v="41"/>
    <x v="803"/>
    <x v="1"/>
  </r>
  <r>
    <x v="601"/>
    <x v="61"/>
    <x v="1753"/>
    <x v="0"/>
    <x v="14"/>
    <x v="131"/>
    <x v="2"/>
  </r>
  <r>
    <x v="1719"/>
    <x v="23"/>
    <x v="1754"/>
    <x v="156"/>
    <x v="9"/>
    <x v="1397"/>
    <x v="3"/>
  </r>
  <r>
    <x v="1474"/>
    <x v="260"/>
    <x v="1755"/>
    <x v="45"/>
    <x v="45"/>
    <x v="312"/>
    <x v="0"/>
  </r>
  <r>
    <x v="781"/>
    <x v="163"/>
    <x v="1756"/>
    <x v="49"/>
    <x v="14"/>
    <x v="1277"/>
    <x v="1"/>
  </r>
  <r>
    <x v="1252"/>
    <x v="282"/>
    <x v="1757"/>
    <x v="64"/>
    <x v="23"/>
    <x v="563"/>
    <x v="3"/>
  </r>
  <r>
    <x v="1868"/>
    <x v="196"/>
    <x v="1758"/>
    <x v="15"/>
    <x v="25"/>
    <x v="453"/>
    <x v="0"/>
  </r>
  <r>
    <x v="173"/>
    <x v="49"/>
    <x v="1759"/>
    <x v="7"/>
    <x v="6"/>
    <x v="1099"/>
    <x v="1"/>
  </r>
  <r>
    <x v="1964"/>
    <x v="325"/>
    <x v="1760"/>
    <x v="10"/>
    <x v="6"/>
    <x v="33"/>
    <x v="2"/>
  </r>
  <r>
    <x v="924"/>
    <x v="60"/>
    <x v="1761"/>
    <x v="52"/>
    <x v="30"/>
    <x v="666"/>
    <x v="3"/>
  </r>
  <r>
    <x v="511"/>
    <x v="212"/>
    <x v="1762"/>
    <x v="11"/>
    <x v="2"/>
    <x v="11"/>
    <x v="3"/>
  </r>
  <r>
    <x v="628"/>
    <x v="239"/>
    <x v="1763"/>
    <x v="14"/>
    <x v="19"/>
    <x v="225"/>
    <x v="1"/>
  </r>
  <r>
    <x v="1055"/>
    <x v="132"/>
    <x v="1764"/>
    <x v="8"/>
    <x v="43"/>
    <x v="416"/>
    <x v="1"/>
  </r>
  <r>
    <x v="1027"/>
    <x v="199"/>
    <x v="1765"/>
    <x v="0"/>
    <x v="39"/>
    <x v="778"/>
    <x v="3"/>
  </r>
  <r>
    <x v="1120"/>
    <x v="273"/>
    <x v="1766"/>
    <x v="15"/>
    <x v="0"/>
    <x v="2"/>
    <x v="0"/>
  </r>
  <r>
    <x v="219"/>
    <x v="332"/>
    <x v="1767"/>
    <x v="57"/>
    <x v="13"/>
    <x v="851"/>
    <x v="3"/>
  </r>
  <r>
    <x v="536"/>
    <x v="105"/>
    <x v="1768"/>
    <x v="174"/>
    <x v="25"/>
    <x v="1640"/>
    <x v="2"/>
  </r>
  <r>
    <x v="767"/>
    <x v="97"/>
    <x v="1769"/>
    <x v="86"/>
    <x v="35"/>
    <x v="744"/>
    <x v="3"/>
  </r>
  <r>
    <x v="1083"/>
    <x v="190"/>
    <x v="1770"/>
    <x v="0"/>
    <x v="2"/>
    <x v="6"/>
    <x v="0"/>
  </r>
  <r>
    <x v="423"/>
    <x v="9"/>
    <x v="1771"/>
    <x v="64"/>
    <x v="14"/>
    <x v="227"/>
    <x v="1"/>
  </r>
  <r>
    <x v="1910"/>
    <x v="290"/>
    <x v="1772"/>
    <x v="14"/>
    <x v="10"/>
    <x v="1053"/>
    <x v="1"/>
  </r>
  <r>
    <x v="1149"/>
    <x v="232"/>
    <x v="1773"/>
    <x v="59"/>
    <x v="38"/>
    <x v="861"/>
    <x v="0"/>
  </r>
  <r>
    <x v="1552"/>
    <x v="21"/>
    <x v="1774"/>
    <x v="10"/>
    <x v="17"/>
    <x v="318"/>
    <x v="3"/>
  </r>
  <r>
    <x v="1814"/>
    <x v="230"/>
    <x v="1775"/>
    <x v="51"/>
    <x v="31"/>
    <x v="667"/>
    <x v="3"/>
  </r>
  <r>
    <x v="1978"/>
    <x v="26"/>
    <x v="1776"/>
    <x v="25"/>
    <x v="37"/>
    <x v="640"/>
    <x v="2"/>
  </r>
  <r>
    <x v="1216"/>
    <x v="251"/>
    <x v="1777"/>
    <x v="93"/>
    <x v="45"/>
    <x v="1160"/>
    <x v="1"/>
  </r>
  <r>
    <x v="1891"/>
    <x v="82"/>
    <x v="1778"/>
    <x v="45"/>
    <x v="23"/>
    <x v="413"/>
    <x v="2"/>
  </r>
  <r>
    <x v="724"/>
    <x v="93"/>
    <x v="1779"/>
    <x v="94"/>
    <x v="42"/>
    <x v="1240"/>
    <x v="1"/>
  </r>
  <r>
    <x v="734"/>
    <x v="176"/>
    <x v="1780"/>
    <x v="64"/>
    <x v="44"/>
    <x v="853"/>
    <x v="1"/>
  </r>
  <r>
    <x v="248"/>
    <x v="114"/>
    <x v="1781"/>
    <x v="207"/>
    <x v="49"/>
    <x v="1723"/>
    <x v="1"/>
  </r>
  <r>
    <x v="1939"/>
    <x v="6"/>
    <x v="1782"/>
    <x v="122"/>
    <x v="35"/>
    <x v="1556"/>
    <x v="1"/>
  </r>
  <r>
    <x v="1603"/>
    <x v="228"/>
    <x v="1783"/>
    <x v="52"/>
    <x v="12"/>
    <x v="341"/>
    <x v="1"/>
  </r>
  <r>
    <x v="1445"/>
    <x v="7"/>
    <x v="1784"/>
    <x v="17"/>
    <x v="46"/>
    <x v="673"/>
    <x v="1"/>
  </r>
  <r>
    <x v="1324"/>
    <x v="52"/>
    <x v="1785"/>
    <x v="36"/>
    <x v="45"/>
    <x v="1514"/>
    <x v="2"/>
  </r>
  <r>
    <x v="1365"/>
    <x v="185"/>
    <x v="1786"/>
    <x v="66"/>
    <x v="22"/>
    <x v="1407"/>
    <x v="0"/>
  </r>
  <r>
    <x v="1061"/>
    <x v="175"/>
    <x v="1787"/>
    <x v="224"/>
    <x v="13"/>
    <x v="1580"/>
    <x v="3"/>
  </r>
  <r>
    <x v="1845"/>
    <x v="282"/>
    <x v="1788"/>
    <x v="5"/>
    <x v="22"/>
    <x v="1000"/>
    <x v="0"/>
  </r>
  <r>
    <x v="553"/>
    <x v="326"/>
    <x v="1789"/>
    <x v="14"/>
    <x v="43"/>
    <x v="1340"/>
    <x v="1"/>
  </r>
  <r>
    <x v="313"/>
    <x v="236"/>
    <x v="1790"/>
    <x v="1"/>
    <x v="17"/>
    <x v="107"/>
    <x v="2"/>
  </r>
  <r>
    <x v="1757"/>
    <x v="44"/>
    <x v="1791"/>
    <x v="52"/>
    <x v="18"/>
    <x v="478"/>
    <x v="1"/>
  </r>
  <r>
    <x v="657"/>
    <x v="337"/>
    <x v="1792"/>
    <x v="80"/>
    <x v="38"/>
    <x v="740"/>
    <x v="0"/>
  </r>
  <r>
    <x v="742"/>
    <x v="42"/>
    <x v="1793"/>
    <x v="25"/>
    <x v="24"/>
    <x v="1743"/>
    <x v="1"/>
  </r>
  <r>
    <x v="551"/>
    <x v="133"/>
    <x v="1794"/>
    <x v="71"/>
    <x v="36"/>
    <x v="788"/>
    <x v="2"/>
  </r>
  <r>
    <x v="1589"/>
    <x v="129"/>
    <x v="1795"/>
    <x v="5"/>
    <x v="43"/>
    <x v="1248"/>
    <x v="3"/>
  </r>
  <r>
    <x v="562"/>
    <x v="247"/>
    <x v="1796"/>
    <x v="58"/>
    <x v="35"/>
    <x v="283"/>
    <x v="3"/>
  </r>
  <r>
    <x v="1129"/>
    <x v="58"/>
    <x v="1797"/>
    <x v="8"/>
    <x v="18"/>
    <x v="172"/>
    <x v="1"/>
  </r>
  <r>
    <x v="1417"/>
    <x v="164"/>
    <x v="1798"/>
    <x v="52"/>
    <x v="26"/>
    <x v="1241"/>
    <x v="2"/>
  </r>
  <r>
    <x v="1161"/>
    <x v="32"/>
    <x v="1799"/>
    <x v="66"/>
    <x v="48"/>
    <x v="569"/>
    <x v="0"/>
  </r>
  <r>
    <x v="32"/>
    <x v="240"/>
    <x v="1800"/>
    <x v="1"/>
    <x v="41"/>
    <x v="265"/>
    <x v="0"/>
  </r>
  <r>
    <x v="578"/>
    <x v="96"/>
    <x v="1801"/>
    <x v="199"/>
    <x v="44"/>
    <x v="1636"/>
    <x v="1"/>
  </r>
  <r>
    <x v="1761"/>
    <x v="94"/>
    <x v="1802"/>
    <x v="7"/>
    <x v="6"/>
    <x v="154"/>
    <x v="3"/>
  </r>
  <r>
    <x v="1505"/>
    <x v="58"/>
    <x v="1803"/>
    <x v="36"/>
    <x v="34"/>
    <x v="1188"/>
    <x v="3"/>
  </r>
  <r>
    <x v="1697"/>
    <x v="353"/>
    <x v="1804"/>
    <x v="150"/>
    <x v="44"/>
    <x v="1603"/>
    <x v="1"/>
  </r>
  <r>
    <x v="1515"/>
    <x v="197"/>
    <x v="1805"/>
    <x v="83"/>
    <x v="43"/>
    <x v="860"/>
    <x v="0"/>
  </r>
  <r>
    <x v="1564"/>
    <x v="160"/>
    <x v="1806"/>
    <x v="218"/>
    <x v="5"/>
    <x v="1402"/>
    <x v="1"/>
  </r>
  <r>
    <x v="1829"/>
    <x v="78"/>
    <x v="1807"/>
    <x v="45"/>
    <x v="21"/>
    <x v="175"/>
    <x v="3"/>
  </r>
  <r>
    <x v="1219"/>
    <x v="184"/>
    <x v="1808"/>
    <x v="0"/>
    <x v="31"/>
    <x v="397"/>
    <x v="3"/>
  </r>
  <r>
    <x v="1022"/>
    <x v="81"/>
    <x v="1809"/>
    <x v="156"/>
    <x v="34"/>
    <x v="1955"/>
    <x v="1"/>
  </r>
  <r>
    <x v="1551"/>
    <x v="243"/>
    <x v="1810"/>
    <x v="116"/>
    <x v="46"/>
    <x v="1837"/>
    <x v="3"/>
  </r>
  <r>
    <x v="177"/>
    <x v="352"/>
    <x v="1811"/>
    <x v="47"/>
    <x v="7"/>
    <x v="213"/>
    <x v="2"/>
  </r>
  <r>
    <x v="521"/>
    <x v="205"/>
    <x v="1812"/>
    <x v="41"/>
    <x v="5"/>
    <x v="548"/>
    <x v="1"/>
  </r>
  <r>
    <x v="1385"/>
    <x v="8"/>
    <x v="1813"/>
    <x v="156"/>
    <x v="7"/>
    <x v="1976"/>
    <x v="0"/>
  </r>
  <r>
    <x v="994"/>
    <x v="35"/>
    <x v="1814"/>
    <x v="70"/>
    <x v="41"/>
    <x v="1149"/>
    <x v="2"/>
  </r>
  <r>
    <x v="1979"/>
    <x v="244"/>
    <x v="1815"/>
    <x v="1"/>
    <x v="38"/>
    <x v="359"/>
    <x v="1"/>
  </r>
  <r>
    <x v="1292"/>
    <x v="111"/>
    <x v="1816"/>
    <x v="230"/>
    <x v="27"/>
    <x v="1698"/>
    <x v="1"/>
  </r>
  <r>
    <x v="3"/>
    <x v="187"/>
    <x v="1817"/>
    <x v="235"/>
    <x v="23"/>
    <x v="1523"/>
    <x v="1"/>
  </r>
  <r>
    <x v="1211"/>
    <x v="228"/>
    <x v="1818"/>
    <x v="124"/>
    <x v="31"/>
    <x v="1662"/>
    <x v="1"/>
  </r>
  <r>
    <x v="1167"/>
    <x v="304"/>
    <x v="1819"/>
    <x v="60"/>
    <x v="20"/>
    <x v="372"/>
    <x v="3"/>
  </r>
  <r>
    <x v="1520"/>
    <x v="6"/>
    <x v="1820"/>
    <x v="84"/>
    <x v="26"/>
    <x v="1246"/>
    <x v="0"/>
  </r>
  <r>
    <x v="1467"/>
    <x v="68"/>
    <x v="1821"/>
    <x v="7"/>
    <x v="5"/>
    <x v="1013"/>
    <x v="1"/>
  </r>
  <r>
    <x v="317"/>
    <x v="89"/>
    <x v="1822"/>
    <x v="69"/>
    <x v="25"/>
    <x v="1325"/>
    <x v="0"/>
  </r>
  <r>
    <x v="495"/>
    <x v="37"/>
    <x v="1823"/>
    <x v="36"/>
    <x v="49"/>
    <x v="1445"/>
    <x v="3"/>
  </r>
  <r>
    <x v="1674"/>
    <x v="310"/>
    <x v="1824"/>
    <x v="52"/>
    <x v="28"/>
    <x v="1487"/>
    <x v="3"/>
  </r>
  <r>
    <x v="1677"/>
    <x v="277"/>
    <x v="1825"/>
    <x v="14"/>
    <x v="42"/>
    <x v="924"/>
    <x v="2"/>
  </r>
  <r>
    <x v="1396"/>
    <x v="8"/>
    <x v="1826"/>
    <x v="54"/>
    <x v="35"/>
    <x v="635"/>
    <x v="3"/>
  </r>
  <r>
    <x v="539"/>
    <x v="18"/>
    <x v="1827"/>
    <x v="203"/>
    <x v="3"/>
    <x v="1305"/>
    <x v="0"/>
  </r>
  <r>
    <x v="463"/>
    <x v="43"/>
    <x v="1828"/>
    <x v="208"/>
    <x v="38"/>
    <x v="1765"/>
    <x v="1"/>
  </r>
  <r>
    <x v="1573"/>
    <x v="65"/>
    <x v="1829"/>
    <x v="183"/>
    <x v="28"/>
    <x v="1656"/>
    <x v="1"/>
  </r>
  <r>
    <x v="1254"/>
    <x v="91"/>
    <x v="1830"/>
    <x v="82"/>
    <x v="11"/>
    <x v="639"/>
    <x v="2"/>
  </r>
  <r>
    <x v="1762"/>
    <x v="94"/>
    <x v="1831"/>
    <x v="93"/>
    <x v="42"/>
    <x v="1195"/>
    <x v="3"/>
  </r>
  <r>
    <x v="1662"/>
    <x v="188"/>
    <x v="1832"/>
    <x v="54"/>
    <x v="46"/>
    <x v="783"/>
    <x v="2"/>
  </r>
  <r>
    <x v="1560"/>
    <x v="327"/>
    <x v="1833"/>
    <x v="110"/>
    <x v="46"/>
    <x v="1436"/>
    <x v="1"/>
  </r>
  <r>
    <x v="845"/>
    <x v="117"/>
    <x v="1834"/>
    <x v="82"/>
    <x v="9"/>
    <x v="585"/>
    <x v="1"/>
  </r>
  <r>
    <x v="274"/>
    <x v="162"/>
    <x v="1835"/>
    <x v="57"/>
    <x v="26"/>
    <x v="616"/>
    <x v="0"/>
  </r>
  <r>
    <x v="1951"/>
    <x v="151"/>
    <x v="1836"/>
    <x v="89"/>
    <x v="44"/>
    <x v="1263"/>
    <x v="3"/>
  </r>
  <r>
    <x v="388"/>
    <x v="71"/>
    <x v="1837"/>
    <x v="3"/>
    <x v="30"/>
    <x v="375"/>
    <x v="1"/>
  </r>
  <r>
    <x v="718"/>
    <x v="255"/>
    <x v="1838"/>
    <x v="5"/>
    <x v="16"/>
    <x v="162"/>
    <x v="3"/>
  </r>
  <r>
    <x v="1521"/>
    <x v="6"/>
    <x v="1839"/>
    <x v="124"/>
    <x v="28"/>
    <x v="1528"/>
    <x v="0"/>
  </r>
  <r>
    <x v="933"/>
    <x v="121"/>
    <x v="1840"/>
    <x v="49"/>
    <x v="18"/>
    <x v="955"/>
    <x v="2"/>
  </r>
  <r>
    <x v="1151"/>
    <x v="235"/>
    <x v="1841"/>
    <x v="54"/>
    <x v="3"/>
    <x v="65"/>
    <x v="2"/>
  </r>
  <r>
    <x v="1486"/>
    <x v="324"/>
    <x v="1842"/>
    <x v="237"/>
    <x v="18"/>
    <x v="1859"/>
    <x v="0"/>
  </r>
  <r>
    <x v="1600"/>
    <x v="49"/>
    <x v="1843"/>
    <x v="74"/>
    <x v="29"/>
    <x v="567"/>
    <x v="1"/>
  </r>
  <r>
    <x v="49"/>
    <x v="224"/>
    <x v="1844"/>
    <x v="44"/>
    <x v="27"/>
    <x v="499"/>
    <x v="0"/>
  </r>
  <r>
    <x v="7"/>
    <x v="72"/>
    <x v="1845"/>
    <x v="14"/>
    <x v="31"/>
    <x v="1712"/>
    <x v="1"/>
  </r>
  <r>
    <x v="1681"/>
    <x v="73"/>
    <x v="1846"/>
    <x v="54"/>
    <x v="13"/>
    <x v="272"/>
    <x v="1"/>
  </r>
  <r>
    <x v="1529"/>
    <x v="224"/>
    <x v="1847"/>
    <x v="58"/>
    <x v="1"/>
    <x v="46"/>
    <x v="0"/>
  </r>
  <r>
    <x v="58"/>
    <x v="7"/>
    <x v="1848"/>
    <x v="55"/>
    <x v="29"/>
    <x v="916"/>
    <x v="1"/>
  </r>
  <r>
    <x v="1789"/>
    <x v="65"/>
    <x v="1849"/>
    <x v="14"/>
    <x v="1"/>
    <x v="196"/>
    <x v="2"/>
  </r>
  <r>
    <x v="898"/>
    <x v="246"/>
    <x v="1850"/>
    <x v="147"/>
    <x v="7"/>
    <x v="859"/>
    <x v="1"/>
  </r>
  <r>
    <x v="1028"/>
    <x v="199"/>
    <x v="1851"/>
    <x v="69"/>
    <x v="15"/>
    <x v="135"/>
    <x v="3"/>
  </r>
  <r>
    <x v="1231"/>
    <x v="117"/>
    <x v="1852"/>
    <x v="57"/>
    <x v="20"/>
    <x v="700"/>
    <x v="2"/>
  </r>
  <r>
    <x v="109"/>
    <x v="71"/>
    <x v="1853"/>
    <x v="10"/>
    <x v="3"/>
    <x v="38"/>
    <x v="1"/>
  </r>
  <r>
    <x v="1319"/>
    <x v="213"/>
    <x v="1854"/>
    <x v="64"/>
    <x v="5"/>
    <x v="428"/>
    <x v="1"/>
  </r>
  <r>
    <x v="939"/>
    <x v="329"/>
    <x v="1855"/>
    <x v="3"/>
    <x v="35"/>
    <x v="607"/>
    <x v="2"/>
  </r>
  <r>
    <x v="1428"/>
    <x v="244"/>
    <x v="1856"/>
    <x v="150"/>
    <x v="26"/>
    <x v="1763"/>
    <x v="0"/>
  </r>
  <r>
    <x v="1855"/>
    <x v="341"/>
    <x v="1857"/>
    <x v="215"/>
    <x v="24"/>
    <x v="1725"/>
    <x v="1"/>
  </r>
  <r>
    <x v="1996"/>
    <x v="143"/>
    <x v="1858"/>
    <x v="88"/>
    <x v="25"/>
    <x v="1021"/>
    <x v="2"/>
  </r>
  <r>
    <x v="1164"/>
    <x v="280"/>
    <x v="1859"/>
    <x v="150"/>
    <x v="13"/>
    <x v="1937"/>
    <x v="1"/>
  </r>
  <r>
    <x v="136"/>
    <x v="141"/>
    <x v="1860"/>
    <x v="0"/>
    <x v="4"/>
    <x v="29"/>
    <x v="1"/>
  </r>
  <r>
    <x v="1568"/>
    <x v="152"/>
    <x v="1861"/>
    <x v="8"/>
    <x v="40"/>
    <x v="475"/>
    <x v="1"/>
  </r>
  <r>
    <x v="668"/>
    <x v="31"/>
    <x v="1862"/>
    <x v="14"/>
    <x v="27"/>
    <x v="1333"/>
    <x v="1"/>
  </r>
  <r>
    <x v="651"/>
    <x v="190"/>
    <x v="1863"/>
    <x v="47"/>
    <x v="38"/>
    <x v="1072"/>
    <x v="3"/>
  </r>
  <r>
    <x v="1478"/>
    <x v="31"/>
    <x v="1864"/>
    <x v="150"/>
    <x v="38"/>
    <x v="1683"/>
    <x v="0"/>
  </r>
  <r>
    <x v="1542"/>
    <x v="265"/>
    <x v="1865"/>
    <x v="0"/>
    <x v="39"/>
    <x v="354"/>
    <x v="2"/>
  </r>
  <r>
    <x v="787"/>
    <x v="29"/>
    <x v="1866"/>
    <x v="45"/>
    <x v="43"/>
    <x v="1702"/>
    <x v="2"/>
  </r>
  <r>
    <x v="1244"/>
    <x v="108"/>
    <x v="1867"/>
    <x v="59"/>
    <x v="44"/>
    <x v="903"/>
    <x v="0"/>
  </r>
  <r>
    <x v="1657"/>
    <x v="340"/>
    <x v="1868"/>
    <x v="135"/>
    <x v="48"/>
    <x v="1873"/>
    <x v="1"/>
  </r>
  <r>
    <x v="298"/>
    <x v="159"/>
    <x v="1869"/>
    <x v="0"/>
    <x v="16"/>
    <x v="182"/>
    <x v="2"/>
  </r>
  <r>
    <x v="978"/>
    <x v="310"/>
    <x v="1870"/>
    <x v="18"/>
    <x v="19"/>
    <x v="543"/>
    <x v="1"/>
  </r>
  <r>
    <x v="1223"/>
    <x v="135"/>
    <x v="1871"/>
    <x v="170"/>
    <x v="38"/>
    <x v="1755"/>
    <x v="1"/>
  </r>
  <r>
    <x v="1914"/>
    <x v="162"/>
    <x v="1872"/>
    <x v="50"/>
    <x v="5"/>
    <x v="905"/>
    <x v="3"/>
  </r>
  <r>
    <x v="147"/>
    <x v="54"/>
    <x v="1873"/>
    <x v="31"/>
    <x v="8"/>
    <x v="220"/>
    <x v="1"/>
  </r>
  <r>
    <x v="1078"/>
    <x v="311"/>
    <x v="1874"/>
    <x v="95"/>
    <x v="16"/>
    <x v="393"/>
    <x v="0"/>
  </r>
  <r>
    <x v="1807"/>
    <x v="155"/>
    <x v="1875"/>
    <x v="161"/>
    <x v="27"/>
    <x v="1563"/>
    <x v="3"/>
  </r>
  <r>
    <x v="825"/>
    <x v="22"/>
    <x v="1876"/>
    <x v="208"/>
    <x v="40"/>
    <x v="1747"/>
    <x v="0"/>
  </r>
  <r>
    <x v="399"/>
    <x v="345"/>
    <x v="1877"/>
    <x v="69"/>
    <x v="24"/>
    <x v="1660"/>
    <x v="1"/>
  </r>
  <r>
    <x v="1230"/>
    <x v="311"/>
    <x v="1878"/>
    <x v="150"/>
    <x v="49"/>
    <x v="1602"/>
    <x v="1"/>
  </r>
  <r>
    <x v="671"/>
    <x v="200"/>
    <x v="1879"/>
    <x v="230"/>
    <x v="3"/>
    <x v="1118"/>
    <x v="1"/>
  </r>
  <r>
    <x v="240"/>
    <x v="105"/>
    <x v="1880"/>
    <x v="148"/>
    <x v="16"/>
    <x v="1059"/>
    <x v="1"/>
  </r>
  <r>
    <x v="1582"/>
    <x v="73"/>
    <x v="1881"/>
    <x v="170"/>
    <x v="14"/>
    <x v="1583"/>
    <x v="2"/>
  </r>
  <r>
    <x v="255"/>
    <x v="4"/>
    <x v="1882"/>
    <x v="32"/>
    <x v="0"/>
    <x v="5"/>
    <x v="0"/>
  </r>
  <r>
    <x v="229"/>
    <x v="193"/>
    <x v="1883"/>
    <x v="0"/>
    <x v="35"/>
    <x v="454"/>
    <x v="1"/>
  </r>
  <r>
    <x v="1877"/>
    <x v="94"/>
    <x v="1884"/>
    <x v="88"/>
    <x v="7"/>
    <x v="1051"/>
    <x v="2"/>
  </r>
  <r>
    <x v="1127"/>
    <x v="38"/>
    <x v="1885"/>
    <x v="88"/>
    <x v="5"/>
    <x v="1315"/>
    <x v="3"/>
  </r>
  <r>
    <x v="909"/>
    <x v="65"/>
    <x v="1886"/>
    <x v="182"/>
    <x v="44"/>
    <x v="1936"/>
    <x v="3"/>
  </r>
  <r>
    <x v="1373"/>
    <x v="308"/>
    <x v="1887"/>
    <x v="128"/>
    <x v="45"/>
    <x v="1526"/>
    <x v="1"/>
  </r>
  <r>
    <x v="1047"/>
    <x v="169"/>
    <x v="1888"/>
    <x v="185"/>
    <x v="9"/>
    <x v="1313"/>
    <x v="3"/>
  </r>
  <r>
    <x v="70"/>
    <x v="68"/>
    <x v="1889"/>
    <x v="1"/>
    <x v="9"/>
    <x v="150"/>
    <x v="1"/>
  </r>
  <r>
    <x v="131"/>
    <x v="49"/>
    <x v="1890"/>
    <x v="124"/>
    <x v="42"/>
    <x v="1378"/>
    <x v="0"/>
  </r>
  <r>
    <x v="1771"/>
    <x v="226"/>
    <x v="1891"/>
    <x v="57"/>
    <x v="28"/>
    <x v="707"/>
    <x v="1"/>
  </r>
  <r>
    <x v="76"/>
    <x v="113"/>
    <x v="1892"/>
    <x v="156"/>
    <x v="40"/>
    <x v="1973"/>
    <x v="2"/>
  </r>
  <r>
    <x v="1387"/>
    <x v="33"/>
    <x v="1893"/>
    <x v="48"/>
    <x v="16"/>
    <x v="385"/>
    <x v="3"/>
  </r>
  <r>
    <x v="516"/>
    <x v="179"/>
    <x v="1894"/>
    <x v="44"/>
    <x v="0"/>
    <x v="9"/>
    <x v="1"/>
  </r>
  <r>
    <x v="56"/>
    <x v="212"/>
    <x v="1895"/>
    <x v="88"/>
    <x v="40"/>
    <x v="1205"/>
    <x v="3"/>
  </r>
  <r>
    <x v="1599"/>
    <x v="264"/>
    <x v="1896"/>
    <x v="71"/>
    <x v="23"/>
    <x v="752"/>
    <x v="1"/>
  </r>
  <r>
    <x v="169"/>
    <x v="294"/>
    <x v="1897"/>
    <x v="151"/>
    <x v="13"/>
    <x v="1641"/>
    <x v="0"/>
  </r>
  <r>
    <x v="763"/>
    <x v="211"/>
    <x v="1898"/>
    <x v="83"/>
    <x v="29"/>
    <x v="1027"/>
    <x v="1"/>
  </r>
  <r>
    <x v="444"/>
    <x v="262"/>
    <x v="1899"/>
    <x v="14"/>
    <x v="48"/>
    <x v="1191"/>
    <x v="0"/>
  </r>
  <r>
    <x v="1465"/>
    <x v="161"/>
    <x v="1900"/>
    <x v="1"/>
    <x v="36"/>
    <x v="212"/>
    <x v="3"/>
  </r>
  <r>
    <x v="914"/>
    <x v="247"/>
    <x v="1901"/>
    <x v="10"/>
    <x v="35"/>
    <x v="216"/>
    <x v="1"/>
  </r>
  <r>
    <x v="1800"/>
    <x v="294"/>
    <x v="1902"/>
    <x v="46"/>
    <x v="42"/>
    <x v="1497"/>
    <x v="3"/>
  </r>
  <r>
    <x v="1601"/>
    <x v="49"/>
    <x v="1903"/>
    <x v="55"/>
    <x v="18"/>
    <x v="1546"/>
    <x v="1"/>
  </r>
  <r>
    <x v="445"/>
    <x v="242"/>
    <x v="1904"/>
    <x v="73"/>
    <x v="5"/>
    <x v="695"/>
    <x v="3"/>
  </r>
  <r>
    <x v="642"/>
    <x v="67"/>
    <x v="1905"/>
    <x v="72"/>
    <x v="46"/>
    <x v="829"/>
    <x v="1"/>
  </r>
  <r>
    <x v="54"/>
    <x v="131"/>
    <x v="1906"/>
    <x v="73"/>
    <x v="39"/>
    <x v="648"/>
    <x v="0"/>
  </r>
  <r>
    <x v="232"/>
    <x v="172"/>
    <x v="1907"/>
    <x v="150"/>
    <x v="49"/>
    <x v="1838"/>
    <x v="3"/>
  </r>
  <r>
    <x v="675"/>
    <x v="253"/>
    <x v="1908"/>
    <x v="156"/>
    <x v="28"/>
    <x v="1968"/>
    <x v="3"/>
  </r>
  <r>
    <x v="1374"/>
    <x v="308"/>
    <x v="1909"/>
    <x v="156"/>
    <x v="16"/>
    <x v="1915"/>
    <x v="1"/>
  </r>
  <r>
    <x v="1557"/>
    <x v="189"/>
    <x v="1910"/>
    <x v="174"/>
    <x v="5"/>
    <x v="1042"/>
    <x v="0"/>
  </r>
  <r>
    <x v="162"/>
    <x v="228"/>
    <x v="1911"/>
    <x v="116"/>
    <x v="36"/>
    <x v="1774"/>
    <x v="2"/>
  </r>
  <r>
    <x v="1096"/>
    <x v="338"/>
    <x v="1912"/>
    <x v="43"/>
    <x v="48"/>
    <x v="950"/>
    <x v="1"/>
  </r>
  <r>
    <x v="1070"/>
    <x v="125"/>
    <x v="1913"/>
    <x v="50"/>
    <x v="14"/>
    <x v="988"/>
    <x v="3"/>
  </r>
  <r>
    <x v="1051"/>
    <x v="183"/>
    <x v="1914"/>
    <x v="10"/>
    <x v="13"/>
    <x v="985"/>
    <x v="1"/>
  </r>
  <r>
    <x v="951"/>
    <x v="88"/>
    <x v="1915"/>
    <x v="10"/>
    <x v="3"/>
    <x v="70"/>
    <x v="1"/>
  </r>
  <r>
    <x v="517"/>
    <x v="179"/>
    <x v="1916"/>
    <x v="18"/>
    <x v="47"/>
    <x v="909"/>
    <x v="1"/>
  </r>
  <r>
    <x v="1121"/>
    <x v="221"/>
    <x v="1917"/>
    <x v="76"/>
    <x v="9"/>
    <x v="203"/>
    <x v="1"/>
  </r>
  <r>
    <x v="1610"/>
    <x v="321"/>
    <x v="1918"/>
    <x v="55"/>
    <x v="8"/>
    <x v="271"/>
    <x v="1"/>
  </r>
  <r>
    <x v="1480"/>
    <x v="43"/>
    <x v="1919"/>
    <x v="14"/>
    <x v="34"/>
    <x v="383"/>
    <x v="1"/>
  </r>
  <r>
    <x v="303"/>
    <x v="47"/>
    <x v="1920"/>
    <x v="187"/>
    <x v="12"/>
    <x v="1676"/>
    <x v="1"/>
  </r>
  <r>
    <x v="188"/>
    <x v="276"/>
    <x v="1921"/>
    <x v="8"/>
    <x v="20"/>
    <x v="192"/>
    <x v="1"/>
  </r>
  <r>
    <x v="346"/>
    <x v="301"/>
    <x v="1922"/>
    <x v="88"/>
    <x v="22"/>
    <x v="1192"/>
    <x v="2"/>
  </r>
  <r>
    <x v="708"/>
    <x v="21"/>
    <x v="1923"/>
    <x v="4"/>
    <x v="26"/>
    <x v="293"/>
    <x v="3"/>
  </r>
  <r>
    <x v="1669"/>
    <x v="32"/>
    <x v="1924"/>
    <x v="87"/>
    <x v="45"/>
    <x v="1769"/>
    <x v="1"/>
  </r>
  <r>
    <x v="904"/>
    <x v="133"/>
    <x v="1925"/>
    <x v="36"/>
    <x v="28"/>
    <x v="1467"/>
    <x v="1"/>
  </r>
  <r>
    <x v="701"/>
    <x v="9"/>
    <x v="1926"/>
    <x v="150"/>
    <x v="23"/>
    <x v="1562"/>
    <x v="2"/>
  </r>
  <r>
    <x v="838"/>
    <x v="194"/>
    <x v="1927"/>
    <x v="6"/>
    <x v="18"/>
    <x v="651"/>
    <x v="3"/>
  </r>
  <r>
    <x v="850"/>
    <x v="177"/>
    <x v="1928"/>
    <x v="77"/>
    <x v="26"/>
    <x v="1209"/>
    <x v="1"/>
  </r>
  <r>
    <x v="1804"/>
    <x v="2"/>
    <x v="1929"/>
    <x v="4"/>
    <x v="14"/>
    <x v="324"/>
    <x v="0"/>
  </r>
  <r>
    <x v="623"/>
    <x v="292"/>
    <x v="1930"/>
    <x v="3"/>
    <x v="25"/>
    <x v="223"/>
    <x v="1"/>
  </r>
  <r>
    <x v="384"/>
    <x v="33"/>
    <x v="1931"/>
    <x v="88"/>
    <x v="29"/>
    <x v="1144"/>
    <x v="2"/>
  </r>
  <r>
    <x v="199"/>
    <x v="232"/>
    <x v="1932"/>
    <x v="234"/>
    <x v="0"/>
    <x v="1031"/>
    <x v="1"/>
  </r>
  <r>
    <x v="1801"/>
    <x v="326"/>
    <x v="1933"/>
    <x v="10"/>
    <x v="33"/>
    <x v="1183"/>
    <x v="2"/>
  </r>
  <r>
    <x v="91"/>
    <x v="278"/>
    <x v="1934"/>
    <x v="153"/>
    <x v="29"/>
    <x v="1896"/>
    <x v="2"/>
  </r>
  <r>
    <x v="1847"/>
    <x v="42"/>
    <x v="1935"/>
    <x v="44"/>
    <x v="44"/>
    <x v="1252"/>
    <x v="2"/>
  </r>
  <r>
    <x v="364"/>
    <x v="70"/>
    <x v="1936"/>
    <x v="12"/>
    <x v="17"/>
    <x v="448"/>
    <x v="0"/>
  </r>
  <r>
    <x v="602"/>
    <x v="61"/>
    <x v="1937"/>
    <x v="38"/>
    <x v="40"/>
    <x v="1726"/>
    <x v="2"/>
  </r>
  <r>
    <x v="1182"/>
    <x v="206"/>
    <x v="1938"/>
    <x v="124"/>
    <x v="9"/>
    <x v="1281"/>
    <x v="1"/>
  </r>
  <r>
    <x v="808"/>
    <x v="140"/>
    <x v="1939"/>
    <x v="93"/>
    <x v="19"/>
    <x v="701"/>
    <x v="2"/>
  </r>
  <r>
    <x v="18"/>
    <x v="292"/>
    <x v="1940"/>
    <x v="45"/>
    <x v="7"/>
    <x v="142"/>
    <x v="3"/>
  </r>
  <r>
    <x v="611"/>
    <x v="198"/>
    <x v="1941"/>
    <x v="42"/>
    <x v="42"/>
    <x v="1541"/>
    <x v="1"/>
  </r>
  <r>
    <x v="1611"/>
    <x v="199"/>
    <x v="1942"/>
    <x v="158"/>
    <x v="45"/>
    <x v="1814"/>
    <x v="0"/>
  </r>
  <r>
    <x v="981"/>
    <x v="157"/>
    <x v="1943"/>
    <x v="10"/>
    <x v="45"/>
    <x v="720"/>
    <x v="0"/>
  </r>
  <r>
    <x v="114"/>
    <x v="200"/>
    <x v="1944"/>
    <x v="14"/>
    <x v="39"/>
    <x v="1503"/>
    <x v="3"/>
  </r>
  <r>
    <x v="428"/>
    <x v="57"/>
    <x v="1945"/>
    <x v="7"/>
    <x v="1"/>
    <x v="8"/>
    <x v="0"/>
  </r>
  <r>
    <x v="1291"/>
    <x v="175"/>
    <x v="1946"/>
    <x v="36"/>
    <x v="29"/>
    <x v="842"/>
    <x v="3"/>
  </r>
  <r>
    <x v="1154"/>
    <x v="199"/>
    <x v="1947"/>
    <x v="174"/>
    <x v="13"/>
    <x v="1547"/>
    <x v="3"/>
  </r>
  <r>
    <x v="1332"/>
    <x v="7"/>
    <x v="1948"/>
    <x v="47"/>
    <x v="49"/>
    <x v="1253"/>
    <x v="3"/>
  </r>
  <r>
    <x v="1329"/>
    <x v="271"/>
    <x v="1949"/>
    <x v="41"/>
    <x v="9"/>
    <x v="373"/>
    <x v="3"/>
  </r>
  <r>
    <x v="1312"/>
    <x v="132"/>
    <x v="1950"/>
    <x v="66"/>
    <x v="0"/>
    <x v="13"/>
    <x v="1"/>
  </r>
  <r>
    <x v="1190"/>
    <x v="157"/>
    <x v="1951"/>
    <x v="29"/>
    <x v="30"/>
    <x v="927"/>
    <x v="1"/>
  </r>
  <r>
    <x v="260"/>
    <x v="261"/>
    <x v="1952"/>
    <x v="57"/>
    <x v="18"/>
    <x v="947"/>
    <x v="3"/>
  </r>
  <r>
    <x v="498"/>
    <x v="171"/>
    <x v="1953"/>
    <x v="8"/>
    <x v="35"/>
    <x v="417"/>
    <x v="1"/>
  </r>
  <r>
    <x v="22"/>
    <x v="60"/>
    <x v="1954"/>
    <x v="88"/>
    <x v="28"/>
    <x v="1307"/>
    <x v="0"/>
  </r>
  <r>
    <x v="1005"/>
    <x v="329"/>
    <x v="1955"/>
    <x v="41"/>
    <x v="24"/>
    <x v="1435"/>
    <x v="1"/>
  </r>
  <r>
    <x v="1023"/>
    <x v="245"/>
    <x v="1956"/>
    <x v="5"/>
    <x v="44"/>
    <x v="1668"/>
    <x v="1"/>
  </r>
  <r>
    <x v="1111"/>
    <x v="322"/>
    <x v="1957"/>
    <x v="7"/>
    <x v="5"/>
    <x v="63"/>
    <x v="2"/>
  </r>
  <r>
    <x v="304"/>
    <x v="47"/>
    <x v="1958"/>
    <x v="25"/>
    <x v="14"/>
    <x v="377"/>
    <x v="1"/>
  </r>
  <r>
    <x v="95"/>
    <x v="191"/>
    <x v="1959"/>
    <x v="231"/>
    <x v="38"/>
    <x v="1695"/>
    <x v="1"/>
  </r>
  <r>
    <x v="1683"/>
    <x v="165"/>
    <x v="1960"/>
    <x v="88"/>
    <x v="14"/>
    <x v="1003"/>
    <x v="3"/>
  </r>
  <r>
    <x v="921"/>
    <x v="234"/>
    <x v="1961"/>
    <x v="156"/>
    <x v="9"/>
    <x v="1845"/>
    <x v="1"/>
  </r>
  <r>
    <x v="792"/>
    <x v="81"/>
    <x v="1962"/>
    <x v="150"/>
    <x v="20"/>
    <x v="1727"/>
    <x v="0"/>
  </r>
  <r>
    <x v="974"/>
    <x v="265"/>
    <x v="1963"/>
    <x v="150"/>
    <x v="16"/>
    <x v="1781"/>
    <x v="0"/>
  </r>
  <r>
    <x v="1946"/>
    <x v="174"/>
    <x v="1964"/>
    <x v="55"/>
    <x v="29"/>
    <x v="1470"/>
    <x v="2"/>
  </r>
  <r>
    <x v="738"/>
    <x v="332"/>
    <x v="1965"/>
    <x v="197"/>
    <x v="19"/>
    <x v="492"/>
    <x v="2"/>
  </r>
  <r>
    <x v="1382"/>
    <x v="140"/>
    <x v="1966"/>
    <x v="86"/>
    <x v="47"/>
    <x v="1251"/>
    <x v="2"/>
  </r>
  <r>
    <x v="1343"/>
    <x v="91"/>
    <x v="1967"/>
    <x v="54"/>
    <x v="22"/>
    <x v="789"/>
    <x v="2"/>
  </r>
  <r>
    <x v="656"/>
    <x v="346"/>
    <x v="1968"/>
    <x v="177"/>
    <x v="9"/>
    <x v="1434"/>
    <x v="2"/>
  </r>
  <r>
    <x v="624"/>
    <x v="53"/>
    <x v="1969"/>
    <x v="8"/>
    <x v="1"/>
    <x v="4"/>
    <x v="1"/>
  </r>
  <r>
    <x v="1550"/>
    <x v="287"/>
    <x v="1970"/>
    <x v="36"/>
    <x v="36"/>
    <x v="1590"/>
    <x v="2"/>
  </r>
  <r>
    <x v="217"/>
    <x v="207"/>
    <x v="1971"/>
    <x v="4"/>
    <x v="40"/>
    <x v="440"/>
    <x v="3"/>
  </r>
  <r>
    <x v="89"/>
    <x v="239"/>
    <x v="1972"/>
    <x v="0"/>
    <x v="15"/>
    <x v="163"/>
    <x v="3"/>
  </r>
  <r>
    <x v="1811"/>
    <x v="34"/>
    <x v="1973"/>
    <x v="123"/>
    <x v="1"/>
    <x v="308"/>
    <x v="0"/>
  </r>
  <r>
    <x v="630"/>
    <x v="117"/>
    <x v="1974"/>
    <x v="192"/>
    <x v="35"/>
    <x v="1330"/>
    <x v="0"/>
  </r>
  <r>
    <x v="271"/>
    <x v="284"/>
    <x v="1975"/>
    <x v="47"/>
    <x v="4"/>
    <x v="716"/>
    <x v="2"/>
  </r>
  <r>
    <x v="1850"/>
    <x v="193"/>
    <x v="1976"/>
    <x v="224"/>
    <x v="28"/>
    <x v="1733"/>
    <x v="2"/>
  </r>
  <r>
    <x v="380"/>
    <x v="302"/>
    <x v="1977"/>
    <x v="88"/>
    <x v="0"/>
    <x v="210"/>
    <x v="2"/>
  </r>
  <r>
    <x v="945"/>
    <x v="265"/>
    <x v="1978"/>
    <x v="76"/>
    <x v="49"/>
    <x v="999"/>
    <x v="2"/>
  </r>
  <r>
    <x v="827"/>
    <x v="85"/>
    <x v="1979"/>
    <x v="20"/>
    <x v="41"/>
    <x v="1728"/>
    <x v="3"/>
  </r>
  <r>
    <x v="424"/>
    <x v="9"/>
    <x v="1980"/>
    <x v="77"/>
    <x v="18"/>
    <x v="449"/>
    <x v="1"/>
  </r>
  <r>
    <x v="1547"/>
    <x v="279"/>
    <x v="1981"/>
    <x v="176"/>
    <x v="41"/>
    <x v="1741"/>
    <x v="2"/>
  </r>
  <r>
    <x v="663"/>
    <x v="328"/>
    <x v="1982"/>
    <x v="46"/>
    <x v="18"/>
    <x v="775"/>
    <x v="1"/>
  </r>
  <r>
    <x v="1274"/>
    <x v="220"/>
    <x v="1983"/>
    <x v="72"/>
    <x v="14"/>
    <x v="361"/>
    <x v="1"/>
  </r>
  <r>
    <x v="846"/>
    <x v="159"/>
    <x v="1984"/>
    <x v="82"/>
    <x v="43"/>
    <x v="945"/>
    <x v="2"/>
  </r>
  <r>
    <x v="167"/>
    <x v="97"/>
    <x v="1985"/>
    <x v="57"/>
    <x v="37"/>
    <x v="1714"/>
    <x v="1"/>
  </r>
  <r>
    <x v="1780"/>
    <x v="153"/>
    <x v="1986"/>
    <x v="47"/>
    <x v="40"/>
    <x v="749"/>
    <x v="3"/>
  </r>
  <r>
    <x v="1713"/>
    <x v="130"/>
    <x v="1987"/>
    <x v="53"/>
    <x v="4"/>
    <x v="1076"/>
    <x v="1"/>
  </r>
  <r>
    <x v="591"/>
    <x v="118"/>
    <x v="1988"/>
    <x v="23"/>
    <x v="12"/>
    <x v="1286"/>
    <x v="0"/>
  </r>
  <r>
    <x v="51"/>
    <x v="298"/>
    <x v="1989"/>
    <x v="215"/>
    <x v="34"/>
    <x v="1693"/>
    <x v="2"/>
  </r>
  <r>
    <x v="1651"/>
    <x v="143"/>
    <x v="1990"/>
    <x v="174"/>
    <x v="31"/>
    <x v="1564"/>
    <x v="3"/>
  </r>
  <r>
    <x v="917"/>
    <x v="251"/>
    <x v="1991"/>
    <x v="60"/>
    <x v="11"/>
    <x v="335"/>
    <x v="0"/>
  </r>
  <r>
    <x v="77"/>
    <x v="113"/>
    <x v="1992"/>
    <x v="70"/>
    <x v="6"/>
    <x v="295"/>
    <x v="2"/>
  </r>
  <r>
    <x v="971"/>
    <x v="264"/>
    <x v="1993"/>
    <x v="136"/>
    <x v="19"/>
    <x v="1953"/>
    <x v="1"/>
  </r>
  <r>
    <x v="1279"/>
    <x v="327"/>
    <x v="1994"/>
    <x v="17"/>
    <x v="25"/>
    <x v="406"/>
    <x v="2"/>
  </r>
  <r>
    <x v="1325"/>
    <x v="65"/>
    <x v="1995"/>
    <x v="45"/>
    <x v="46"/>
    <x v="1139"/>
    <x v="0"/>
  </r>
  <r>
    <x v="1539"/>
    <x v="150"/>
    <x v="1996"/>
    <x v="128"/>
    <x v="31"/>
    <x v="1567"/>
    <x v="1"/>
  </r>
  <r>
    <x v="1338"/>
    <x v="190"/>
    <x v="1997"/>
    <x v="36"/>
    <x v="38"/>
    <x v="1589"/>
    <x v="0"/>
  </r>
  <r>
    <x v="465"/>
    <x v="139"/>
    <x v="1998"/>
    <x v="73"/>
    <x v="41"/>
    <x v="84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ella pivot5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3:F360" firstHeaderRow="1" firstDataRow="2" firstDataCol="1"/>
  <pivotFields count="7">
    <pivotField compact="0" showAll="0"/>
    <pivotField axis="axisRow" showAll="0" defaultSubtotal="0">
      <items count="355">
        <item x="0"/>
        <item x="30"/>
        <item x="58"/>
        <item x="88"/>
        <item x="115"/>
        <item x="145"/>
        <item x="175"/>
        <item x="205"/>
        <item x="234"/>
        <item x="264"/>
        <item x="295"/>
        <item x="324"/>
        <item x="1"/>
        <item x="31"/>
        <item x="59"/>
        <item x="89"/>
        <item x="116"/>
        <item x="146"/>
        <item x="176"/>
        <item x="206"/>
        <item x="235"/>
        <item x="265"/>
        <item x="296"/>
        <item x="325"/>
        <item x="2"/>
        <item x="32"/>
        <item x="60"/>
        <item x="90"/>
        <item x="117"/>
        <item x="147"/>
        <item x="177"/>
        <item x="207"/>
        <item x="236"/>
        <item x="266"/>
        <item x="326"/>
        <item x="3"/>
        <item x="33"/>
        <item x="61"/>
        <item x="91"/>
        <item x="118"/>
        <item x="148"/>
        <item x="178"/>
        <item x="208"/>
        <item x="237"/>
        <item x="267"/>
        <item x="297"/>
        <item x="327"/>
        <item x="4"/>
        <item x="34"/>
        <item x="92"/>
        <item x="119"/>
        <item x="149"/>
        <item x="179"/>
        <item x="209"/>
        <item x="238"/>
        <item x="268"/>
        <item x="298"/>
        <item x="328"/>
        <item x="5"/>
        <item x="35"/>
        <item x="62"/>
        <item x="93"/>
        <item x="120"/>
        <item x="150"/>
        <item x="180"/>
        <item x="210"/>
        <item x="239"/>
        <item x="269"/>
        <item x="299"/>
        <item x="329"/>
        <item x="6"/>
        <item x="36"/>
        <item x="63"/>
        <item x="94"/>
        <item x="121"/>
        <item x="151"/>
        <item x="181"/>
        <item x="211"/>
        <item x="240"/>
        <item x="270"/>
        <item x="300"/>
        <item x="330"/>
        <item x="7"/>
        <item x="37"/>
        <item x="64"/>
        <item x="95"/>
        <item x="122"/>
        <item x="152"/>
        <item x="212"/>
        <item x="241"/>
        <item x="271"/>
        <item x="301"/>
        <item x="331"/>
        <item x="8"/>
        <item x="38"/>
        <item x="65"/>
        <item x="96"/>
        <item x="123"/>
        <item x="153"/>
        <item x="182"/>
        <item x="213"/>
        <item x="242"/>
        <item x="272"/>
        <item x="302"/>
        <item x="332"/>
        <item x="9"/>
        <item x="39"/>
        <item x="66"/>
        <item x="97"/>
        <item x="124"/>
        <item x="154"/>
        <item x="183"/>
        <item x="214"/>
        <item x="243"/>
        <item x="273"/>
        <item x="303"/>
        <item x="333"/>
        <item x="40"/>
        <item x="67"/>
        <item x="98"/>
        <item x="125"/>
        <item x="155"/>
        <item x="184"/>
        <item x="215"/>
        <item x="244"/>
        <item x="274"/>
        <item x="304"/>
        <item x="334"/>
        <item x="10"/>
        <item x="41"/>
        <item x="68"/>
        <item x="99"/>
        <item x="126"/>
        <item x="156"/>
        <item x="185"/>
        <item x="216"/>
        <item x="245"/>
        <item x="275"/>
        <item x="305"/>
        <item x="335"/>
        <item x="11"/>
        <item x="42"/>
        <item x="69"/>
        <item x="127"/>
        <item x="157"/>
        <item x="186"/>
        <item x="217"/>
        <item x="246"/>
        <item x="276"/>
        <item x="306"/>
        <item x="336"/>
        <item x="12"/>
        <item x="43"/>
        <item x="70"/>
        <item x="100"/>
        <item x="128"/>
        <item x="158"/>
        <item x="187"/>
        <item x="218"/>
        <item x="247"/>
        <item x="277"/>
        <item x="307"/>
        <item x="337"/>
        <item x="13"/>
        <item x="44"/>
        <item x="71"/>
        <item x="101"/>
        <item x="129"/>
        <item x="159"/>
        <item x="188"/>
        <item x="219"/>
        <item x="248"/>
        <item x="278"/>
        <item x="308"/>
        <item x="338"/>
        <item x="14"/>
        <item x="45"/>
        <item x="72"/>
        <item x="102"/>
        <item x="130"/>
        <item x="160"/>
        <item x="189"/>
        <item x="220"/>
        <item x="249"/>
        <item x="279"/>
        <item x="309"/>
        <item x="339"/>
        <item x="15"/>
        <item x="46"/>
        <item x="73"/>
        <item x="103"/>
        <item x="131"/>
        <item x="161"/>
        <item x="190"/>
        <item x="221"/>
        <item x="250"/>
        <item x="280"/>
        <item x="310"/>
        <item x="340"/>
        <item x="16"/>
        <item x="47"/>
        <item x="74"/>
        <item x="104"/>
        <item x="132"/>
        <item x="162"/>
        <item x="191"/>
        <item x="222"/>
        <item x="251"/>
        <item x="281"/>
        <item x="311"/>
        <item x="341"/>
        <item x="17"/>
        <item x="48"/>
        <item x="75"/>
        <item x="105"/>
        <item x="133"/>
        <item x="163"/>
        <item x="192"/>
        <item x="223"/>
        <item x="252"/>
        <item x="282"/>
        <item x="312"/>
        <item x="342"/>
        <item x="18"/>
        <item x="49"/>
        <item x="76"/>
        <item x="106"/>
        <item x="134"/>
        <item x="164"/>
        <item x="193"/>
        <item x="224"/>
        <item x="253"/>
        <item x="283"/>
        <item x="313"/>
        <item x="343"/>
        <item x="19"/>
        <item x="50"/>
        <item x="77"/>
        <item x="107"/>
        <item x="135"/>
        <item x="165"/>
        <item x="194"/>
        <item x="225"/>
        <item x="254"/>
        <item x="284"/>
        <item x="314"/>
        <item x="344"/>
        <item x="20"/>
        <item x="51"/>
        <item x="78"/>
        <item x="108"/>
        <item x="136"/>
        <item x="166"/>
        <item x="195"/>
        <item x="226"/>
        <item x="255"/>
        <item x="285"/>
        <item x="315"/>
        <item x="21"/>
        <item x="52"/>
        <item x="79"/>
        <item x="109"/>
        <item x="137"/>
        <item x="167"/>
        <item x="196"/>
        <item x="227"/>
        <item x="256"/>
        <item x="286"/>
        <item x="316"/>
        <item x="345"/>
        <item x="22"/>
        <item x="53"/>
        <item x="80"/>
        <item x="110"/>
        <item x="138"/>
        <item x="168"/>
        <item x="197"/>
        <item x="228"/>
        <item x="257"/>
        <item x="287"/>
        <item x="317"/>
        <item x="346"/>
        <item x="23"/>
        <item x="54"/>
        <item x="81"/>
        <item x="139"/>
        <item x="169"/>
        <item x="198"/>
        <item x="229"/>
        <item x="258"/>
        <item x="288"/>
        <item x="318"/>
        <item x="347"/>
        <item x="24"/>
        <item x="55"/>
        <item x="82"/>
        <item x="140"/>
        <item x="170"/>
        <item x="199"/>
        <item x="259"/>
        <item x="289"/>
        <item x="319"/>
        <item x="348"/>
        <item x="25"/>
        <item x="56"/>
        <item x="83"/>
        <item x="111"/>
        <item x="141"/>
        <item x="171"/>
        <item x="200"/>
        <item x="230"/>
        <item x="260"/>
        <item x="290"/>
        <item x="320"/>
        <item x="349"/>
        <item x="26"/>
        <item x="57"/>
        <item x="84"/>
        <item x="112"/>
        <item x="172"/>
        <item x="201"/>
        <item x="261"/>
        <item x="291"/>
        <item x="321"/>
        <item x="350"/>
        <item x="27"/>
        <item x="85"/>
        <item x="113"/>
        <item x="142"/>
        <item x="173"/>
        <item x="202"/>
        <item x="231"/>
        <item x="262"/>
        <item x="292"/>
        <item x="322"/>
        <item x="351"/>
        <item x="28"/>
        <item x="86"/>
        <item x="114"/>
        <item x="143"/>
        <item x="174"/>
        <item x="203"/>
        <item x="232"/>
        <item x="263"/>
        <item x="293"/>
        <item x="323"/>
        <item x="352"/>
        <item x="29"/>
        <item x="87"/>
        <item x="144"/>
        <item x="204"/>
        <item x="233"/>
        <item x="294"/>
        <item x="353"/>
        <item x="354"/>
      </items>
    </pivotField>
    <pivotField compact="0" showAll="0"/>
    <pivotField compact="0" showAll="0"/>
    <pivotField compact="0" showAll="0"/>
    <pivotField dataField="1" showAll="0"/>
    <pivotField axis="axisCol" showAll="0" defaultSubtotal="0">
      <items count="4">
        <item x="0"/>
        <item x="1"/>
        <item x="2"/>
        <item x="3"/>
      </items>
    </pivotField>
  </pivotFields>
  <rowFields count="1">
    <field x="1"/>
  </rowFields>
  <rowItems count="3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Media di Sales" fld="5" subtotal="average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357" firstHeaderRow="1" firstDataRow="1" firstDataCol="1"/>
  <pivotFields count="7">
    <pivotField compact="0" showAll="0"/>
    <pivotField axis="axisRow" compact="0" outline="0" showAll="0" defaultSubtotal="0">
      <items count="355">
        <item x="0"/>
        <item x="30"/>
        <item x="58"/>
        <item x="88"/>
        <item x="115"/>
        <item x="145"/>
        <item x="175"/>
        <item x="205"/>
        <item x="234"/>
        <item x="264"/>
        <item x="295"/>
        <item x="324"/>
        <item x="1"/>
        <item x="31"/>
        <item x="59"/>
        <item x="89"/>
        <item x="116"/>
        <item x="146"/>
        <item x="176"/>
        <item x="206"/>
        <item x="235"/>
        <item x="265"/>
        <item x="296"/>
        <item x="325"/>
        <item x="2"/>
        <item x="32"/>
        <item x="60"/>
        <item x="90"/>
        <item x="117"/>
        <item x="147"/>
        <item x="177"/>
        <item x="207"/>
        <item x="236"/>
        <item x="266"/>
        <item x="326"/>
        <item x="3"/>
        <item x="33"/>
        <item x="61"/>
        <item x="91"/>
        <item x="118"/>
        <item x="148"/>
        <item x="178"/>
        <item x="208"/>
        <item x="237"/>
        <item x="267"/>
        <item x="297"/>
        <item x="327"/>
        <item x="4"/>
        <item x="34"/>
        <item x="92"/>
        <item x="119"/>
        <item x="149"/>
        <item x="179"/>
        <item x="209"/>
        <item x="238"/>
        <item x="268"/>
        <item x="298"/>
        <item x="328"/>
        <item x="5"/>
        <item x="35"/>
        <item x="62"/>
        <item x="93"/>
        <item x="120"/>
        <item x="150"/>
        <item x="180"/>
        <item x="210"/>
        <item x="239"/>
        <item x="269"/>
        <item x="299"/>
        <item x="329"/>
        <item x="6"/>
        <item x="36"/>
        <item x="63"/>
        <item x="94"/>
        <item x="121"/>
        <item x="151"/>
        <item x="181"/>
        <item x="211"/>
        <item x="240"/>
        <item x="270"/>
        <item x="300"/>
        <item x="330"/>
        <item x="7"/>
        <item x="37"/>
        <item x="64"/>
        <item x="95"/>
        <item x="122"/>
        <item x="152"/>
        <item x="212"/>
        <item x="241"/>
        <item x="271"/>
        <item x="301"/>
        <item x="331"/>
        <item x="8"/>
        <item x="38"/>
        <item x="65"/>
        <item x="96"/>
        <item x="123"/>
        <item x="153"/>
        <item x="182"/>
        <item x="213"/>
        <item x="242"/>
        <item x="272"/>
        <item x="302"/>
        <item x="332"/>
        <item x="9"/>
        <item x="39"/>
        <item x="66"/>
        <item x="97"/>
        <item x="124"/>
        <item x="154"/>
        <item x="183"/>
        <item x="214"/>
        <item x="243"/>
        <item x="273"/>
        <item x="303"/>
        <item x="333"/>
        <item x="40"/>
        <item x="67"/>
        <item x="98"/>
        <item x="125"/>
        <item x="155"/>
        <item x="184"/>
        <item x="215"/>
        <item x="244"/>
        <item x="274"/>
        <item x="304"/>
        <item x="334"/>
        <item x="10"/>
        <item x="41"/>
        <item x="68"/>
        <item x="99"/>
        <item x="126"/>
        <item x="156"/>
        <item x="185"/>
        <item x="216"/>
        <item x="245"/>
        <item x="275"/>
        <item x="305"/>
        <item x="335"/>
        <item x="11"/>
        <item x="42"/>
        <item x="69"/>
        <item x="127"/>
        <item x="157"/>
        <item x="186"/>
        <item x="217"/>
        <item x="246"/>
        <item x="276"/>
        <item x="306"/>
        <item x="336"/>
        <item x="12"/>
        <item x="43"/>
        <item x="70"/>
        <item x="100"/>
        <item x="128"/>
        <item x="158"/>
        <item x="187"/>
        <item x="218"/>
        <item x="247"/>
        <item x="277"/>
        <item x="307"/>
        <item x="337"/>
        <item x="13"/>
        <item x="44"/>
        <item x="71"/>
        <item x="101"/>
        <item x="129"/>
        <item x="159"/>
        <item x="188"/>
        <item x="219"/>
        <item x="248"/>
        <item x="278"/>
        <item x="308"/>
        <item x="338"/>
        <item x="14"/>
        <item x="45"/>
        <item x="72"/>
        <item x="102"/>
        <item x="130"/>
        <item x="160"/>
        <item x="189"/>
        <item x="220"/>
        <item x="249"/>
        <item x="279"/>
        <item x="309"/>
        <item x="339"/>
        <item x="15"/>
        <item x="46"/>
        <item x="73"/>
        <item x="103"/>
        <item x="131"/>
        <item x="161"/>
        <item x="190"/>
        <item x="221"/>
        <item x="250"/>
        <item x="280"/>
        <item x="310"/>
        <item x="340"/>
        <item x="16"/>
        <item x="47"/>
        <item x="74"/>
        <item x="104"/>
        <item x="132"/>
        <item x="162"/>
        <item x="191"/>
        <item x="222"/>
        <item x="251"/>
        <item x="281"/>
        <item x="311"/>
        <item x="341"/>
        <item x="17"/>
        <item x="48"/>
        <item x="75"/>
        <item x="105"/>
        <item x="133"/>
        <item x="163"/>
        <item x="192"/>
        <item x="223"/>
        <item x="252"/>
        <item x="282"/>
        <item x="312"/>
        <item x="342"/>
        <item x="18"/>
        <item x="49"/>
        <item x="76"/>
        <item x="106"/>
        <item x="134"/>
        <item x="164"/>
        <item x="193"/>
        <item x="224"/>
        <item x="253"/>
        <item x="283"/>
        <item x="313"/>
        <item x="343"/>
        <item x="19"/>
        <item x="50"/>
        <item x="77"/>
        <item x="107"/>
        <item x="135"/>
        <item x="165"/>
        <item x="194"/>
        <item x="225"/>
        <item x="254"/>
        <item x="284"/>
        <item x="314"/>
        <item x="344"/>
        <item x="20"/>
        <item x="51"/>
        <item x="78"/>
        <item x="108"/>
        <item x="136"/>
        <item x="166"/>
        <item x="195"/>
        <item x="226"/>
        <item x="255"/>
        <item x="285"/>
        <item x="315"/>
        <item x="21"/>
        <item x="52"/>
        <item x="79"/>
        <item x="109"/>
        <item x="137"/>
        <item x="167"/>
        <item x="196"/>
        <item x="227"/>
        <item x="256"/>
        <item x="286"/>
        <item x="316"/>
        <item x="345"/>
        <item x="22"/>
        <item x="53"/>
        <item x="80"/>
        <item x="110"/>
        <item x="138"/>
        <item x="168"/>
        <item x="197"/>
        <item x="228"/>
        <item x="257"/>
        <item x="287"/>
        <item x="317"/>
        <item x="346"/>
        <item x="23"/>
        <item x="54"/>
        <item x="81"/>
        <item x="139"/>
        <item x="169"/>
        <item x="198"/>
        <item x="229"/>
        <item x="258"/>
        <item x="288"/>
        <item x="318"/>
        <item x="347"/>
        <item x="24"/>
        <item x="55"/>
        <item x="82"/>
        <item x="140"/>
        <item x="170"/>
        <item x="199"/>
        <item x="259"/>
        <item x="289"/>
        <item x="319"/>
        <item x="348"/>
        <item x="25"/>
        <item x="56"/>
        <item x="83"/>
        <item x="111"/>
        <item x="141"/>
        <item x="171"/>
        <item x="200"/>
        <item x="230"/>
        <item x="260"/>
        <item x="290"/>
        <item x="320"/>
        <item x="349"/>
        <item x="26"/>
        <item x="57"/>
        <item x="84"/>
        <item x="112"/>
        <item x="172"/>
        <item x="201"/>
        <item x="261"/>
        <item x="291"/>
        <item x="321"/>
        <item x="350"/>
        <item x="27"/>
        <item x="85"/>
        <item x="113"/>
        <item x="142"/>
        <item x="173"/>
        <item x="202"/>
        <item x="231"/>
        <item x="262"/>
        <item x="292"/>
        <item x="322"/>
        <item x="351"/>
        <item x="28"/>
        <item x="86"/>
        <item x="114"/>
        <item x="143"/>
        <item x="174"/>
        <item x="203"/>
        <item x="232"/>
        <item x="263"/>
        <item x="293"/>
        <item x="323"/>
        <item x="352"/>
        <item x="29"/>
        <item x="87"/>
        <item x="144"/>
        <item x="204"/>
        <item x="233"/>
        <item x="294"/>
        <item x="353"/>
        <item x="354"/>
      </items>
    </pivotField>
    <pivotField compact="0" showAll="0"/>
    <pivotField compact="0" showAll="0"/>
    <pivotField compact="0" showAll="0"/>
    <pivotField dataField="1" compact="0" outline="0" showAll="0"/>
    <pivotField compact="0" showAll="0"/>
  </pivotFields>
  <rowFields count="1">
    <field x="1"/>
  </rowFields>
  <rowItems count="3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 t="grand">
      <x/>
    </i>
  </rowItems>
  <colItems count="1">
    <i/>
  </colItems>
  <dataFields count="1">
    <dataField name="Somma - Sales" fld="5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3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5625" defaultRowHeight="14.25" customHeight="false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20.11"/>
    <col collapsed="false" customWidth="true" hidden="false" outlineLevel="0" max="4" min="3" style="1" width="12"/>
    <col collapsed="false" customWidth="true" hidden="false" outlineLevel="0" max="5" min="5" style="1" width="13.22"/>
    <col collapsed="false" customWidth="true" hidden="false" outlineLevel="0" max="6" min="6" style="1" width="17.22"/>
    <col collapsed="false" customWidth="true" hidden="false" outlineLevel="0" max="13" min="7" style="1" width="12"/>
    <col collapsed="false" customWidth="true" hidden="false" outlineLevel="0" max="14" min="14" style="1" width="17.22"/>
    <col collapsed="false" customWidth="true" hidden="false" outlineLevel="0" max="51" min="15" style="1" width="12"/>
    <col collapsed="false" customWidth="true" hidden="false" outlineLevel="0" max="52" min="52" style="1" width="17.22"/>
  </cols>
  <sheetData>
    <row r="3" customFormat="false" ht="14.25" hidden="false" customHeight="false" outlineLevel="0" collapsed="false">
      <c r="A3" s="2" t="s">
        <v>0</v>
      </c>
      <c r="B3" s="3" t="s">
        <v>1</v>
      </c>
      <c r="C3" s="4"/>
      <c r="D3" s="4"/>
      <c r="E3" s="4"/>
      <c r="F3" s="5"/>
    </row>
    <row r="4" customFormat="false" ht="14.25" hidden="false" customHeight="false" outlineLevel="0" collapsed="false">
      <c r="A4" s="6" t="s">
        <v>2</v>
      </c>
      <c r="B4" s="7" t="s">
        <v>3</v>
      </c>
      <c r="C4" s="8" t="s">
        <v>4</v>
      </c>
      <c r="D4" s="8" t="s">
        <v>5</v>
      </c>
      <c r="E4" s="8" t="s">
        <v>6</v>
      </c>
      <c r="F4" s="9" t="s">
        <v>7</v>
      </c>
    </row>
    <row r="5" customFormat="false" ht="14.25" hidden="false" customHeight="false" outlineLevel="0" collapsed="false">
      <c r="A5" s="10" t="n">
        <v>43101</v>
      </c>
      <c r="B5" s="11" t="n">
        <v>1313.08</v>
      </c>
      <c r="C5" s="12" t="n">
        <v>3248.3275</v>
      </c>
      <c r="D5" s="12"/>
      <c r="E5" s="13"/>
      <c r="F5" s="14" t="n">
        <v>2861.278</v>
      </c>
    </row>
    <row r="6" customFormat="false" ht="14.25" hidden="false" customHeight="false" outlineLevel="0" collapsed="false">
      <c r="A6" s="15" t="n">
        <v>43132</v>
      </c>
      <c r="B6" s="16"/>
      <c r="C6" s="17" t="n">
        <v>1309.07</v>
      </c>
      <c r="D6" s="17" t="n">
        <v>155.38</v>
      </c>
      <c r="E6" s="18" t="n">
        <v>329.083333333333</v>
      </c>
      <c r="F6" s="19" t="n">
        <v>394.637142857143</v>
      </c>
    </row>
    <row r="7" customFormat="false" ht="14.25" hidden="false" customHeight="false" outlineLevel="0" collapsed="false">
      <c r="A7" s="15" t="n">
        <v>43160</v>
      </c>
      <c r="B7" s="16" t="n">
        <v>450.86</v>
      </c>
      <c r="C7" s="17" t="n">
        <v>4114.8</v>
      </c>
      <c r="D7" s="17"/>
      <c r="E7" s="18" t="n">
        <v>625.525</v>
      </c>
      <c r="F7" s="19" t="n">
        <v>1986.302</v>
      </c>
    </row>
    <row r="8" customFormat="false" ht="14.25" hidden="false" customHeight="false" outlineLevel="0" collapsed="false">
      <c r="A8" s="15" t="n">
        <v>43191</v>
      </c>
      <c r="B8" s="16"/>
      <c r="C8" s="17" t="n">
        <v>207.63</v>
      </c>
      <c r="D8" s="17"/>
      <c r="E8" s="18"/>
      <c r="F8" s="19" t="n">
        <v>207.63</v>
      </c>
    </row>
    <row r="9" customFormat="false" ht="14.25" hidden="false" customHeight="false" outlineLevel="0" collapsed="false">
      <c r="A9" s="15" t="n">
        <v>43221</v>
      </c>
      <c r="B9" s="16"/>
      <c r="C9" s="17" t="n">
        <v>3531.63142857143</v>
      </c>
      <c r="D9" s="17"/>
      <c r="E9" s="18"/>
      <c r="F9" s="19" t="n">
        <v>3531.63142857143</v>
      </c>
    </row>
    <row r="10" customFormat="false" ht="14.25" hidden="false" customHeight="false" outlineLevel="0" collapsed="false">
      <c r="A10" s="15" t="n">
        <v>43252</v>
      </c>
      <c r="B10" s="16"/>
      <c r="C10" s="17" t="n">
        <v>826.33</v>
      </c>
      <c r="D10" s="17" t="n">
        <v>5181.16</v>
      </c>
      <c r="E10" s="18" t="n">
        <v>115</v>
      </c>
      <c r="F10" s="19" t="n">
        <v>1559.3725</v>
      </c>
    </row>
    <row r="11" customFormat="false" ht="14.25" hidden="false" customHeight="false" outlineLevel="0" collapsed="false">
      <c r="A11" s="15" t="n">
        <v>43282</v>
      </c>
      <c r="B11" s="16" t="n">
        <v>4599.37</v>
      </c>
      <c r="C11" s="17"/>
      <c r="D11" s="17"/>
      <c r="E11" s="18" t="n">
        <v>734.796</v>
      </c>
      <c r="F11" s="19" t="n">
        <v>1838.96</v>
      </c>
    </row>
    <row r="12" customFormat="false" ht="14.25" hidden="false" customHeight="false" outlineLevel="0" collapsed="false">
      <c r="A12" s="15" t="n">
        <v>43313</v>
      </c>
      <c r="B12" s="16"/>
      <c r="C12" s="17" t="n">
        <v>140.58</v>
      </c>
      <c r="D12" s="17"/>
      <c r="E12" s="18" t="n">
        <v>5255.02</v>
      </c>
      <c r="F12" s="19" t="n">
        <v>2697.8</v>
      </c>
    </row>
    <row r="13" customFormat="false" ht="14.25" hidden="false" customHeight="false" outlineLevel="0" collapsed="false">
      <c r="A13" s="15" t="n">
        <v>43344</v>
      </c>
      <c r="B13" s="16" t="n">
        <v>998.19</v>
      </c>
      <c r="C13" s="17" t="n">
        <v>2549.056</v>
      </c>
      <c r="D13" s="17"/>
      <c r="E13" s="18"/>
      <c r="F13" s="19" t="n">
        <v>2290.57833333333</v>
      </c>
    </row>
    <row r="14" customFormat="false" ht="14.25" hidden="false" customHeight="false" outlineLevel="0" collapsed="false">
      <c r="A14" s="15" t="n">
        <v>43374</v>
      </c>
      <c r="B14" s="16" t="n">
        <v>163.96</v>
      </c>
      <c r="C14" s="17" t="n">
        <v>4275.82833333333</v>
      </c>
      <c r="D14" s="17" t="n">
        <v>75.87</v>
      </c>
      <c r="E14" s="18"/>
      <c r="F14" s="19" t="n">
        <v>3236.85</v>
      </c>
    </row>
    <row r="15" customFormat="false" ht="14.25" hidden="false" customHeight="false" outlineLevel="0" collapsed="false">
      <c r="A15" s="15" t="n">
        <v>43405</v>
      </c>
      <c r="B15" s="16"/>
      <c r="C15" s="17" t="n">
        <v>313.8</v>
      </c>
      <c r="D15" s="17" t="n">
        <v>1357.535</v>
      </c>
      <c r="E15" s="18" t="n">
        <v>4617.735</v>
      </c>
      <c r="F15" s="19" t="n">
        <v>2452.868</v>
      </c>
    </row>
    <row r="16" customFormat="false" ht="14.25" hidden="false" customHeight="false" outlineLevel="0" collapsed="false">
      <c r="A16" s="15" t="n">
        <v>43435</v>
      </c>
      <c r="B16" s="16" t="n">
        <v>3809.695</v>
      </c>
      <c r="C16" s="17" t="n">
        <v>567.1475</v>
      </c>
      <c r="D16" s="17"/>
      <c r="E16" s="18"/>
      <c r="F16" s="19" t="n">
        <v>1647.99666666667</v>
      </c>
    </row>
    <row r="17" customFormat="false" ht="14.25" hidden="false" customHeight="false" outlineLevel="0" collapsed="false">
      <c r="A17" s="15" t="n">
        <v>43102</v>
      </c>
      <c r="B17" s="16" t="n">
        <v>859.775</v>
      </c>
      <c r="C17" s="17" t="n">
        <v>1542.52</v>
      </c>
      <c r="D17" s="17" t="n">
        <v>1673.65</v>
      </c>
      <c r="E17" s="18"/>
      <c r="F17" s="19" t="n">
        <v>1233.93</v>
      </c>
    </row>
    <row r="18" customFormat="false" ht="14.25" hidden="false" customHeight="false" outlineLevel="0" collapsed="false">
      <c r="A18" s="15" t="n">
        <v>43133</v>
      </c>
      <c r="B18" s="16" t="n">
        <v>1733.23333333333</v>
      </c>
      <c r="C18" s="17" t="n">
        <v>811.085</v>
      </c>
      <c r="D18" s="17" t="n">
        <v>318.99</v>
      </c>
      <c r="E18" s="18"/>
      <c r="F18" s="19" t="n">
        <v>1190.14333333333</v>
      </c>
    </row>
    <row r="19" customFormat="false" ht="14.25" hidden="false" customHeight="false" outlineLevel="0" collapsed="false">
      <c r="A19" s="15" t="n">
        <v>43161</v>
      </c>
      <c r="B19" s="16" t="n">
        <v>472.73</v>
      </c>
      <c r="C19" s="17"/>
      <c r="D19" s="17" t="n">
        <v>439.085</v>
      </c>
      <c r="E19" s="18" t="n">
        <v>694.92</v>
      </c>
      <c r="F19" s="19" t="n">
        <v>511.455</v>
      </c>
    </row>
    <row r="20" customFormat="false" ht="14.25" hidden="false" customHeight="false" outlineLevel="0" collapsed="false">
      <c r="A20" s="15" t="n">
        <v>43192</v>
      </c>
      <c r="B20" s="16" t="n">
        <v>2349.78</v>
      </c>
      <c r="C20" s="17" t="n">
        <v>180.97</v>
      </c>
      <c r="D20" s="17" t="n">
        <v>97.83</v>
      </c>
      <c r="E20" s="18"/>
      <c r="F20" s="19" t="n">
        <v>1612.98666666667</v>
      </c>
    </row>
    <row r="21" customFormat="false" ht="14.25" hidden="false" customHeight="false" outlineLevel="0" collapsed="false">
      <c r="A21" s="15" t="n">
        <v>43222</v>
      </c>
      <c r="B21" s="16" t="n">
        <v>758.93375</v>
      </c>
      <c r="C21" s="17" t="n">
        <v>160.85</v>
      </c>
      <c r="D21" s="17" t="n">
        <v>847.075</v>
      </c>
      <c r="E21" s="18"/>
      <c r="F21" s="19" t="n">
        <v>720.588181818182</v>
      </c>
    </row>
    <row r="22" customFormat="false" ht="14.25" hidden="false" customHeight="false" outlineLevel="0" collapsed="false">
      <c r="A22" s="15" t="n">
        <v>43253</v>
      </c>
      <c r="B22" s="16" t="n">
        <v>184.173333333333</v>
      </c>
      <c r="C22" s="17"/>
      <c r="D22" s="17" t="n">
        <v>863.433333333333</v>
      </c>
      <c r="E22" s="18" t="n">
        <v>2109.95</v>
      </c>
      <c r="F22" s="19" t="n">
        <v>920.34</v>
      </c>
    </row>
    <row r="23" customFormat="false" ht="14.25" hidden="false" customHeight="false" outlineLevel="0" collapsed="false">
      <c r="A23" s="15" t="n">
        <v>43283</v>
      </c>
      <c r="B23" s="16" t="n">
        <v>7675.85</v>
      </c>
      <c r="C23" s="17" t="n">
        <v>647.7</v>
      </c>
      <c r="D23" s="17" t="n">
        <v>5405.52</v>
      </c>
      <c r="E23" s="18" t="n">
        <v>121.01</v>
      </c>
      <c r="F23" s="19" t="n">
        <v>3882.073</v>
      </c>
    </row>
    <row r="24" customFormat="false" ht="14.25" hidden="false" customHeight="false" outlineLevel="0" collapsed="false">
      <c r="A24" s="15" t="n">
        <v>43314</v>
      </c>
      <c r="B24" s="16" t="n">
        <v>314.086666666667</v>
      </c>
      <c r="C24" s="17" t="n">
        <v>974.75</v>
      </c>
      <c r="D24" s="17" t="n">
        <v>446.76</v>
      </c>
      <c r="E24" s="18"/>
      <c r="F24" s="19" t="n">
        <v>472.754</v>
      </c>
    </row>
    <row r="25" customFormat="false" ht="14.25" hidden="false" customHeight="false" outlineLevel="0" collapsed="false">
      <c r="A25" s="15" t="n">
        <v>43345</v>
      </c>
      <c r="B25" s="16" t="n">
        <v>260.865</v>
      </c>
      <c r="C25" s="17" t="n">
        <v>1349.59333333333</v>
      </c>
      <c r="D25" s="17" t="n">
        <v>1009.37</v>
      </c>
      <c r="E25" s="18"/>
      <c r="F25" s="19" t="n">
        <v>949.8275</v>
      </c>
    </row>
    <row r="26" customFormat="false" ht="14.25" hidden="false" customHeight="false" outlineLevel="0" collapsed="false">
      <c r="A26" s="15" t="n">
        <v>43375</v>
      </c>
      <c r="B26" s="16" t="n">
        <v>7333.77666666667</v>
      </c>
      <c r="C26" s="17" t="n">
        <v>1582.68</v>
      </c>
      <c r="D26" s="17" t="n">
        <v>1478.19857142857</v>
      </c>
      <c r="E26" s="18"/>
      <c r="F26" s="19" t="n">
        <v>3084.67272727273</v>
      </c>
    </row>
    <row r="27" customFormat="false" ht="14.25" hidden="false" customHeight="false" outlineLevel="0" collapsed="false">
      <c r="A27" s="15" t="n">
        <v>43406</v>
      </c>
      <c r="B27" s="16"/>
      <c r="C27" s="17" t="n">
        <v>545.15</v>
      </c>
      <c r="D27" s="17" t="n">
        <v>498.99</v>
      </c>
      <c r="E27" s="18" t="n">
        <v>3562.32</v>
      </c>
      <c r="F27" s="19" t="n">
        <v>1535.48666666667</v>
      </c>
    </row>
    <row r="28" customFormat="false" ht="14.25" hidden="false" customHeight="false" outlineLevel="0" collapsed="false">
      <c r="A28" s="15" t="n">
        <v>43436</v>
      </c>
      <c r="B28" s="16" t="n">
        <v>660.42</v>
      </c>
      <c r="C28" s="17" t="n">
        <v>2083.75</v>
      </c>
      <c r="D28" s="17" t="n">
        <v>33.555</v>
      </c>
      <c r="E28" s="18" t="n">
        <v>135.43</v>
      </c>
      <c r="F28" s="19" t="n">
        <v>589.342</v>
      </c>
    </row>
    <row r="29" customFormat="false" ht="14.25" hidden="false" customHeight="false" outlineLevel="0" collapsed="false">
      <c r="A29" s="15" t="n">
        <v>43103</v>
      </c>
      <c r="B29" s="16" t="n">
        <v>120.005</v>
      </c>
      <c r="C29" s="17" t="n">
        <v>2019.924</v>
      </c>
      <c r="D29" s="17" t="n">
        <v>6692.39</v>
      </c>
      <c r="E29" s="18"/>
      <c r="F29" s="19" t="n">
        <v>2178.58363636364</v>
      </c>
    </row>
    <row r="30" customFormat="false" ht="14.25" hidden="false" customHeight="false" outlineLevel="0" collapsed="false">
      <c r="A30" s="15" t="n">
        <v>43134</v>
      </c>
      <c r="B30" s="16" t="n">
        <v>177.1</v>
      </c>
      <c r="C30" s="17" t="n">
        <v>2632.29333333333</v>
      </c>
      <c r="D30" s="17"/>
      <c r="E30" s="18"/>
      <c r="F30" s="19" t="n">
        <v>2018.495</v>
      </c>
    </row>
    <row r="31" customFormat="false" ht="14.25" hidden="false" customHeight="false" outlineLevel="0" collapsed="false">
      <c r="A31" s="15" t="n">
        <v>43162</v>
      </c>
      <c r="B31" s="16" t="n">
        <v>826.305</v>
      </c>
      <c r="C31" s="17" t="n">
        <v>3069.8075</v>
      </c>
      <c r="D31" s="17" t="n">
        <v>5933.14</v>
      </c>
      <c r="E31" s="18" t="n">
        <v>145.245</v>
      </c>
      <c r="F31" s="19" t="n">
        <v>2239.49666666667</v>
      </c>
    </row>
    <row r="32" customFormat="false" ht="14.25" hidden="false" customHeight="false" outlineLevel="0" collapsed="false">
      <c r="A32" s="15" t="n">
        <v>43193</v>
      </c>
      <c r="B32" s="16"/>
      <c r="C32" s="17"/>
      <c r="D32" s="17" t="n">
        <v>2667.55333333333</v>
      </c>
      <c r="E32" s="18"/>
      <c r="F32" s="19" t="n">
        <v>2667.55333333333</v>
      </c>
    </row>
    <row r="33" customFormat="false" ht="14.25" hidden="false" customHeight="false" outlineLevel="0" collapsed="false">
      <c r="A33" s="15" t="n">
        <v>43223</v>
      </c>
      <c r="B33" s="16" t="n">
        <v>1574.42833333333</v>
      </c>
      <c r="C33" s="17" t="n">
        <v>602.215</v>
      </c>
      <c r="D33" s="17" t="n">
        <v>225.62</v>
      </c>
      <c r="E33" s="18"/>
      <c r="F33" s="19" t="n">
        <v>1208.51333333333</v>
      </c>
    </row>
    <row r="34" customFormat="false" ht="14.25" hidden="false" customHeight="false" outlineLevel="0" collapsed="false">
      <c r="A34" s="15" t="n">
        <v>43254</v>
      </c>
      <c r="B34" s="16"/>
      <c r="C34" s="17"/>
      <c r="D34" s="17"/>
      <c r="E34" s="18" t="n">
        <v>79.23</v>
      </c>
      <c r="F34" s="19" t="n">
        <v>79.23</v>
      </c>
    </row>
    <row r="35" customFormat="false" ht="14.25" hidden="false" customHeight="false" outlineLevel="0" collapsed="false">
      <c r="A35" s="15" t="n">
        <v>43284</v>
      </c>
      <c r="B35" s="16"/>
      <c r="C35" s="17" t="n">
        <v>514.365</v>
      </c>
      <c r="D35" s="17" t="n">
        <v>2314.21</v>
      </c>
      <c r="E35" s="18" t="n">
        <v>211.39</v>
      </c>
      <c r="F35" s="19" t="n">
        <v>701.47375</v>
      </c>
    </row>
    <row r="36" customFormat="false" ht="14.25" hidden="false" customHeight="false" outlineLevel="0" collapsed="false">
      <c r="A36" s="15" t="n">
        <v>43315</v>
      </c>
      <c r="B36" s="16"/>
      <c r="C36" s="17"/>
      <c r="D36" s="17" t="n">
        <v>8793.43</v>
      </c>
      <c r="E36" s="18" t="n">
        <v>566.56</v>
      </c>
      <c r="F36" s="19" t="n">
        <v>3308.85</v>
      </c>
    </row>
    <row r="37" customFormat="false" ht="14.25" hidden="false" customHeight="false" outlineLevel="0" collapsed="false">
      <c r="A37" s="15" t="n">
        <v>43346</v>
      </c>
      <c r="B37" s="16" t="n">
        <v>210.77</v>
      </c>
      <c r="C37" s="17" t="n">
        <v>3115.86</v>
      </c>
      <c r="D37" s="17" t="n">
        <v>36.34</v>
      </c>
      <c r="E37" s="18" t="n">
        <v>11182.46</v>
      </c>
      <c r="F37" s="19" t="n">
        <v>5145.578</v>
      </c>
    </row>
    <row r="38" customFormat="false" ht="14.25" hidden="false" customHeight="false" outlineLevel="0" collapsed="false">
      <c r="A38" s="15" t="n">
        <v>43376</v>
      </c>
      <c r="B38" s="16"/>
      <c r="C38" s="17" t="n">
        <v>93.99</v>
      </c>
      <c r="D38" s="17"/>
      <c r="E38" s="18" t="n">
        <v>505.945</v>
      </c>
      <c r="F38" s="19" t="n">
        <v>299.9675</v>
      </c>
    </row>
    <row r="39" customFormat="false" ht="14.25" hidden="false" customHeight="false" outlineLevel="0" collapsed="false">
      <c r="A39" s="15" t="n">
        <v>43437</v>
      </c>
      <c r="B39" s="16"/>
      <c r="C39" s="17" t="n">
        <v>632.7</v>
      </c>
      <c r="D39" s="17" t="n">
        <v>3607.08</v>
      </c>
      <c r="E39" s="18"/>
      <c r="F39" s="19" t="n">
        <v>2119.89</v>
      </c>
    </row>
    <row r="40" customFormat="false" ht="14.25" hidden="false" customHeight="false" outlineLevel="0" collapsed="false">
      <c r="A40" s="15" t="n">
        <v>43104</v>
      </c>
      <c r="B40" s="16"/>
      <c r="C40" s="17"/>
      <c r="D40" s="17" t="n">
        <v>550.77</v>
      </c>
      <c r="E40" s="18"/>
      <c r="F40" s="19" t="n">
        <v>550.77</v>
      </c>
    </row>
    <row r="41" customFormat="false" ht="14.25" hidden="false" customHeight="false" outlineLevel="0" collapsed="false">
      <c r="A41" s="15" t="n">
        <v>43135</v>
      </c>
      <c r="B41" s="16" t="n">
        <v>87.5</v>
      </c>
      <c r="C41" s="17" t="n">
        <v>9399.86</v>
      </c>
      <c r="D41" s="17" t="n">
        <v>1812.1725</v>
      </c>
      <c r="E41" s="18" t="n">
        <v>896.265</v>
      </c>
      <c r="F41" s="19" t="n">
        <v>3103.16</v>
      </c>
    </row>
    <row r="42" customFormat="false" ht="14.25" hidden="false" customHeight="false" outlineLevel="0" collapsed="false">
      <c r="A42" s="15" t="n">
        <v>43163</v>
      </c>
      <c r="B42" s="16"/>
      <c r="C42" s="17" t="n">
        <v>2406.605</v>
      </c>
      <c r="D42" s="17" t="n">
        <v>6540.81666666667</v>
      </c>
      <c r="E42" s="18"/>
      <c r="F42" s="19" t="n">
        <v>4178.41</v>
      </c>
    </row>
    <row r="43" customFormat="false" ht="14.25" hidden="false" customHeight="false" outlineLevel="0" collapsed="false">
      <c r="A43" s="15" t="n">
        <v>43194</v>
      </c>
      <c r="B43" s="16"/>
      <c r="C43" s="17" t="n">
        <v>49.69</v>
      </c>
      <c r="D43" s="17" t="n">
        <v>3244.516</v>
      </c>
      <c r="E43" s="18"/>
      <c r="F43" s="19" t="n">
        <v>2712.045</v>
      </c>
    </row>
    <row r="44" customFormat="false" ht="14.25" hidden="false" customHeight="false" outlineLevel="0" collapsed="false">
      <c r="A44" s="15" t="n">
        <v>43224</v>
      </c>
      <c r="B44" s="16" t="n">
        <v>2411.0325</v>
      </c>
      <c r="C44" s="17" t="n">
        <v>296.12</v>
      </c>
      <c r="D44" s="17"/>
      <c r="E44" s="18"/>
      <c r="F44" s="19" t="n">
        <v>1988.05</v>
      </c>
    </row>
    <row r="45" customFormat="false" ht="14.25" hidden="false" customHeight="false" outlineLevel="0" collapsed="false">
      <c r="A45" s="15" t="n">
        <v>43255</v>
      </c>
      <c r="B45" s="16"/>
      <c r="C45" s="17"/>
      <c r="D45" s="17" t="n">
        <v>4417.235</v>
      </c>
      <c r="E45" s="18" t="n">
        <v>323.443333333333</v>
      </c>
      <c r="F45" s="19" t="n">
        <v>1960.96</v>
      </c>
    </row>
    <row r="46" customFormat="false" ht="14.25" hidden="false" customHeight="false" outlineLevel="0" collapsed="false">
      <c r="A46" s="15" t="n">
        <v>43285</v>
      </c>
      <c r="B46" s="16"/>
      <c r="C46" s="17"/>
      <c r="D46" s="17" t="n">
        <v>819.165</v>
      </c>
      <c r="E46" s="18" t="n">
        <v>6177.12666666667</v>
      </c>
      <c r="F46" s="19" t="n">
        <v>3115.43428571429</v>
      </c>
    </row>
    <row r="47" customFormat="false" ht="14.25" hidden="false" customHeight="false" outlineLevel="0" collapsed="false">
      <c r="A47" s="15" t="n">
        <v>43316</v>
      </c>
      <c r="B47" s="16" t="n">
        <v>84.57</v>
      </c>
      <c r="C47" s="17" t="n">
        <v>4150.48</v>
      </c>
      <c r="D47" s="17"/>
      <c r="E47" s="18"/>
      <c r="F47" s="19" t="n">
        <v>2795.17666666667</v>
      </c>
    </row>
    <row r="48" customFormat="false" ht="14.25" hidden="false" customHeight="false" outlineLevel="0" collapsed="false">
      <c r="A48" s="15" t="n">
        <v>43347</v>
      </c>
      <c r="B48" s="16"/>
      <c r="C48" s="17" t="n">
        <v>13.95</v>
      </c>
      <c r="D48" s="17" t="n">
        <v>7113.04</v>
      </c>
      <c r="E48" s="18" t="n">
        <v>42.25</v>
      </c>
      <c r="F48" s="19" t="n">
        <v>3570.57</v>
      </c>
    </row>
    <row r="49" customFormat="false" ht="14.25" hidden="false" customHeight="false" outlineLevel="0" collapsed="false">
      <c r="A49" s="15" t="n">
        <v>43377</v>
      </c>
      <c r="B49" s="16"/>
      <c r="C49" s="17" t="n">
        <v>354.5875</v>
      </c>
      <c r="D49" s="17"/>
      <c r="E49" s="18"/>
      <c r="F49" s="19" t="n">
        <v>354.5875</v>
      </c>
    </row>
    <row r="50" customFormat="false" ht="14.25" hidden="false" customHeight="false" outlineLevel="0" collapsed="false">
      <c r="A50" s="15" t="n">
        <v>43408</v>
      </c>
      <c r="B50" s="16" t="n">
        <v>360.81</v>
      </c>
      <c r="C50" s="17" t="n">
        <v>51.36</v>
      </c>
      <c r="D50" s="17"/>
      <c r="E50" s="18" t="n">
        <v>5972.73333333333</v>
      </c>
      <c r="F50" s="19" t="n">
        <v>3666.074</v>
      </c>
    </row>
    <row r="51" customFormat="false" ht="14.25" hidden="false" customHeight="false" outlineLevel="0" collapsed="false">
      <c r="A51" s="15" t="n">
        <v>43438</v>
      </c>
      <c r="B51" s="16"/>
      <c r="C51" s="17" t="n">
        <v>634.736666666667</v>
      </c>
      <c r="D51" s="17" t="n">
        <v>126.72</v>
      </c>
      <c r="E51" s="18" t="n">
        <v>71.51</v>
      </c>
      <c r="F51" s="19" t="n">
        <v>420.488</v>
      </c>
    </row>
    <row r="52" customFormat="false" ht="14.25" hidden="false" customHeight="false" outlineLevel="0" collapsed="false">
      <c r="A52" s="15" t="n">
        <v>43105</v>
      </c>
      <c r="B52" s="16" t="n">
        <v>3277.61</v>
      </c>
      <c r="C52" s="17" t="n">
        <v>6113.42</v>
      </c>
      <c r="D52" s="17"/>
      <c r="E52" s="18" t="n">
        <v>116.34</v>
      </c>
      <c r="F52" s="19" t="n">
        <v>3231.11571428571</v>
      </c>
    </row>
    <row r="53" customFormat="false" ht="14.25" hidden="false" customHeight="false" outlineLevel="0" collapsed="false">
      <c r="A53" s="15" t="n">
        <v>43136</v>
      </c>
      <c r="B53" s="16" t="n">
        <v>3304.87</v>
      </c>
      <c r="C53" s="17" t="n">
        <v>1011.596</v>
      </c>
      <c r="D53" s="17" t="n">
        <v>70.38</v>
      </c>
      <c r="E53" s="18" t="n">
        <v>4752.99</v>
      </c>
      <c r="F53" s="19" t="n">
        <v>2421.354</v>
      </c>
    </row>
    <row r="54" customFormat="false" ht="14.25" hidden="false" customHeight="false" outlineLevel="0" collapsed="false">
      <c r="A54" s="15" t="n">
        <v>43195</v>
      </c>
      <c r="B54" s="16" t="n">
        <v>2383.25</v>
      </c>
      <c r="C54" s="17"/>
      <c r="D54" s="17" t="n">
        <v>332.26</v>
      </c>
      <c r="E54" s="18" t="n">
        <v>148.73</v>
      </c>
      <c r="F54" s="19" t="n">
        <v>954.746666666667</v>
      </c>
    </row>
    <row r="55" customFormat="false" ht="14.25" hidden="false" customHeight="false" outlineLevel="0" collapsed="false">
      <c r="A55" s="15" t="n">
        <v>43225</v>
      </c>
      <c r="B55" s="16"/>
      <c r="C55" s="17" t="n">
        <v>3266.08</v>
      </c>
      <c r="D55" s="17" t="n">
        <v>282.635</v>
      </c>
      <c r="E55" s="18"/>
      <c r="F55" s="19" t="n">
        <v>1774.3575</v>
      </c>
    </row>
    <row r="56" customFormat="false" ht="14.25" hidden="false" customHeight="false" outlineLevel="0" collapsed="false">
      <c r="A56" s="15" t="n">
        <v>43256</v>
      </c>
      <c r="B56" s="16" t="n">
        <v>204.36</v>
      </c>
      <c r="C56" s="17" t="n">
        <v>138.85</v>
      </c>
      <c r="D56" s="17" t="n">
        <v>128.64</v>
      </c>
      <c r="E56" s="18"/>
      <c r="F56" s="19" t="n">
        <v>157.283333333333</v>
      </c>
    </row>
    <row r="57" customFormat="false" ht="14.25" hidden="false" customHeight="false" outlineLevel="0" collapsed="false">
      <c r="A57" s="15" t="n">
        <v>43286</v>
      </c>
      <c r="B57" s="16"/>
      <c r="C57" s="17" t="n">
        <v>7975.36</v>
      </c>
      <c r="D57" s="17"/>
      <c r="E57" s="18"/>
      <c r="F57" s="19" t="n">
        <v>7975.36</v>
      </c>
    </row>
    <row r="58" customFormat="false" ht="14.25" hidden="false" customHeight="false" outlineLevel="0" collapsed="false">
      <c r="A58" s="15" t="n">
        <v>43317</v>
      </c>
      <c r="B58" s="16" t="n">
        <v>54.055</v>
      </c>
      <c r="C58" s="17"/>
      <c r="D58" s="17"/>
      <c r="E58" s="18" t="n">
        <v>5888.63</v>
      </c>
      <c r="F58" s="19" t="n">
        <v>1998.91333333333</v>
      </c>
    </row>
    <row r="59" customFormat="false" ht="14.25" hidden="false" customHeight="false" outlineLevel="0" collapsed="false">
      <c r="A59" s="15" t="n">
        <v>43348</v>
      </c>
      <c r="B59" s="16" t="n">
        <v>93.225</v>
      </c>
      <c r="C59" s="17"/>
      <c r="D59" s="17" t="n">
        <v>820.65</v>
      </c>
      <c r="E59" s="18" t="n">
        <v>56.86</v>
      </c>
      <c r="F59" s="19" t="n">
        <v>265.99</v>
      </c>
    </row>
    <row r="60" customFormat="false" ht="14.25" hidden="false" customHeight="false" outlineLevel="0" collapsed="false">
      <c r="A60" s="15" t="n">
        <v>43378</v>
      </c>
      <c r="B60" s="16" t="n">
        <v>3117.6325</v>
      </c>
      <c r="C60" s="17" t="n">
        <v>1223.47</v>
      </c>
      <c r="D60" s="17"/>
      <c r="E60" s="18"/>
      <c r="F60" s="19" t="n">
        <v>2738.8</v>
      </c>
    </row>
    <row r="61" customFormat="false" ht="14.25" hidden="false" customHeight="false" outlineLevel="0" collapsed="false">
      <c r="A61" s="15" t="n">
        <v>43409</v>
      </c>
      <c r="B61" s="16"/>
      <c r="C61" s="17"/>
      <c r="D61" s="17" t="n">
        <v>3780.27</v>
      </c>
      <c r="E61" s="18" t="n">
        <v>1280.57</v>
      </c>
      <c r="F61" s="19" t="n">
        <v>2530.42</v>
      </c>
    </row>
    <row r="62" customFormat="false" ht="14.25" hidden="false" customHeight="false" outlineLevel="0" collapsed="false">
      <c r="A62" s="15" t="n">
        <v>43439</v>
      </c>
      <c r="B62" s="16" t="n">
        <v>2061.61666666667</v>
      </c>
      <c r="C62" s="17" t="n">
        <v>269.05</v>
      </c>
      <c r="D62" s="17"/>
      <c r="E62" s="18"/>
      <c r="F62" s="19" t="n">
        <v>1613.475</v>
      </c>
    </row>
    <row r="63" customFormat="false" ht="14.25" hidden="false" customHeight="false" outlineLevel="0" collapsed="false">
      <c r="A63" s="15" t="n">
        <v>43106</v>
      </c>
      <c r="B63" s="16"/>
      <c r="C63" s="17"/>
      <c r="D63" s="17" t="n">
        <v>2010.40666666667</v>
      </c>
      <c r="E63" s="18"/>
      <c r="F63" s="19" t="n">
        <v>2010.40666666667</v>
      </c>
    </row>
    <row r="64" customFormat="false" ht="14.25" hidden="false" customHeight="false" outlineLevel="0" collapsed="false">
      <c r="A64" s="15" t="n">
        <v>43137</v>
      </c>
      <c r="B64" s="16"/>
      <c r="C64" s="17" t="n">
        <v>1415.02333333333</v>
      </c>
      <c r="D64" s="17" t="n">
        <v>2124.655</v>
      </c>
      <c r="E64" s="18"/>
      <c r="F64" s="19" t="n">
        <v>1592.43125</v>
      </c>
    </row>
    <row r="65" customFormat="false" ht="14.25" hidden="false" customHeight="false" outlineLevel="0" collapsed="false">
      <c r="A65" s="15" t="n">
        <v>43165</v>
      </c>
      <c r="B65" s="16" t="n">
        <v>4078.035</v>
      </c>
      <c r="C65" s="17" t="n">
        <v>135.475</v>
      </c>
      <c r="D65" s="17" t="n">
        <v>1810.47</v>
      </c>
      <c r="E65" s="18"/>
      <c r="F65" s="19" t="n">
        <v>2047.498</v>
      </c>
    </row>
    <row r="66" customFormat="false" ht="14.25" hidden="false" customHeight="false" outlineLevel="0" collapsed="false">
      <c r="A66" s="15" t="n">
        <v>43196</v>
      </c>
      <c r="B66" s="16"/>
      <c r="C66" s="17" t="n">
        <v>575.79</v>
      </c>
      <c r="D66" s="17"/>
      <c r="E66" s="18"/>
      <c r="F66" s="19" t="n">
        <v>575.79</v>
      </c>
    </row>
    <row r="67" customFormat="false" ht="14.25" hidden="false" customHeight="false" outlineLevel="0" collapsed="false">
      <c r="A67" s="15" t="n">
        <v>43226</v>
      </c>
      <c r="B67" s="16"/>
      <c r="C67" s="17" t="n">
        <v>793.39</v>
      </c>
      <c r="D67" s="17" t="n">
        <v>692.74</v>
      </c>
      <c r="E67" s="18" t="n">
        <v>562.57</v>
      </c>
      <c r="F67" s="19" t="n">
        <v>685.36</v>
      </c>
    </row>
    <row r="68" customFormat="false" ht="14.25" hidden="false" customHeight="false" outlineLevel="0" collapsed="false">
      <c r="A68" s="15" t="n">
        <v>43257</v>
      </c>
      <c r="B68" s="16" t="n">
        <v>225.11</v>
      </c>
      <c r="C68" s="17" t="n">
        <v>881.305</v>
      </c>
      <c r="D68" s="17"/>
      <c r="E68" s="18"/>
      <c r="F68" s="19" t="n">
        <v>717.25625</v>
      </c>
    </row>
    <row r="69" customFormat="false" ht="14.25" hidden="false" customHeight="false" outlineLevel="0" collapsed="false">
      <c r="A69" s="15" t="n">
        <v>43287</v>
      </c>
      <c r="B69" s="16" t="n">
        <v>2326.408</v>
      </c>
      <c r="C69" s="17"/>
      <c r="D69" s="17"/>
      <c r="E69" s="18"/>
      <c r="F69" s="19" t="n">
        <v>2326.408</v>
      </c>
    </row>
    <row r="70" customFormat="false" ht="14.25" hidden="false" customHeight="false" outlineLevel="0" collapsed="false">
      <c r="A70" s="15" t="n">
        <v>43318</v>
      </c>
      <c r="B70" s="16"/>
      <c r="C70" s="17" t="n">
        <v>2099.24</v>
      </c>
      <c r="D70" s="17"/>
      <c r="E70" s="18" t="n">
        <v>413.01</v>
      </c>
      <c r="F70" s="19" t="n">
        <v>1818.20166666667</v>
      </c>
    </row>
    <row r="71" customFormat="false" ht="14.25" hidden="false" customHeight="false" outlineLevel="0" collapsed="false">
      <c r="A71" s="15" t="n">
        <v>43349</v>
      </c>
      <c r="B71" s="16"/>
      <c r="C71" s="17" t="n">
        <v>212.976666666667</v>
      </c>
      <c r="D71" s="17" t="n">
        <v>813.47</v>
      </c>
      <c r="E71" s="18" t="n">
        <v>66.325</v>
      </c>
      <c r="F71" s="19" t="n">
        <v>264.175</v>
      </c>
    </row>
    <row r="72" customFormat="false" ht="14.25" hidden="false" customHeight="false" outlineLevel="0" collapsed="false">
      <c r="A72" s="15" t="n">
        <v>43379</v>
      </c>
      <c r="B72" s="16"/>
      <c r="C72" s="17" t="n">
        <v>2393.57</v>
      </c>
      <c r="D72" s="17" t="n">
        <v>86.78</v>
      </c>
      <c r="E72" s="18" t="n">
        <v>133.92</v>
      </c>
      <c r="F72" s="19" t="n">
        <v>1251.96</v>
      </c>
    </row>
    <row r="73" customFormat="false" ht="14.25" hidden="false" customHeight="false" outlineLevel="0" collapsed="false">
      <c r="A73" s="15" t="n">
        <v>43410</v>
      </c>
      <c r="B73" s="16" t="n">
        <v>11094.615</v>
      </c>
      <c r="C73" s="17" t="n">
        <v>659.54</v>
      </c>
      <c r="D73" s="17" t="n">
        <v>703.756666666667</v>
      </c>
      <c r="E73" s="18"/>
      <c r="F73" s="19" t="n">
        <v>4160.00666666667</v>
      </c>
    </row>
    <row r="74" customFormat="false" ht="14.25" hidden="false" customHeight="false" outlineLevel="0" collapsed="false">
      <c r="A74" s="15" t="n">
        <v>43440</v>
      </c>
      <c r="B74" s="16"/>
      <c r="C74" s="17" t="n">
        <v>4585.14</v>
      </c>
      <c r="D74" s="17" t="n">
        <v>2432.0175</v>
      </c>
      <c r="E74" s="18" t="n">
        <v>601.04</v>
      </c>
      <c r="F74" s="19" t="n">
        <v>3309.70230769231</v>
      </c>
    </row>
    <row r="75" customFormat="false" ht="14.25" hidden="false" customHeight="false" outlineLevel="0" collapsed="false">
      <c r="A75" s="15" t="n">
        <v>43107</v>
      </c>
      <c r="B75" s="16" t="n">
        <v>1064.77</v>
      </c>
      <c r="C75" s="17" t="n">
        <v>2071.84</v>
      </c>
      <c r="D75" s="17" t="n">
        <v>1604.49</v>
      </c>
      <c r="E75" s="18"/>
      <c r="F75" s="19" t="n">
        <v>1322.56833333333</v>
      </c>
    </row>
    <row r="76" customFormat="false" ht="14.25" hidden="false" customHeight="false" outlineLevel="0" collapsed="false">
      <c r="A76" s="15" t="n">
        <v>43138</v>
      </c>
      <c r="B76" s="16" t="n">
        <v>130.18</v>
      </c>
      <c r="C76" s="17" t="n">
        <v>367.29</v>
      </c>
      <c r="D76" s="17" t="n">
        <v>245.97</v>
      </c>
      <c r="E76" s="18"/>
      <c r="F76" s="19" t="n">
        <v>247.813333333333</v>
      </c>
    </row>
    <row r="77" customFormat="false" ht="14.25" hidden="false" customHeight="false" outlineLevel="0" collapsed="false">
      <c r="A77" s="15" t="n">
        <v>43166</v>
      </c>
      <c r="B77" s="16" t="n">
        <v>24.86</v>
      </c>
      <c r="C77" s="17" t="n">
        <v>260.41</v>
      </c>
      <c r="D77" s="17" t="n">
        <v>148.38</v>
      </c>
      <c r="E77" s="18" t="n">
        <v>247.895</v>
      </c>
      <c r="F77" s="19" t="n">
        <v>185.888</v>
      </c>
    </row>
    <row r="78" customFormat="false" ht="14.25" hidden="false" customHeight="false" outlineLevel="0" collapsed="false">
      <c r="A78" s="15" t="n">
        <v>43197</v>
      </c>
      <c r="B78" s="16" t="n">
        <v>957.26</v>
      </c>
      <c r="C78" s="17"/>
      <c r="D78" s="17" t="n">
        <v>816.516</v>
      </c>
      <c r="E78" s="18" t="n">
        <v>2798.70166666667</v>
      </c>
      <c r="F78" s="19" t="n">
        <v>1819.3375</v>
      </c>
    </row>
    <row r="79" customFormat="false" ht="14.25" hidden="false" customHeight="false" outlineLevel="0" collapsed="false">
      <c r="A79" s="15" t="n">
        <v>43227</v>
      </c>
      <c r="B79" s="16" t="n">
        <v>332.885</v>
      </c>
      <c r="C79" s="17" t="n">
        <v>2165.275</v>
      </c>
      <c r="D79" s="17" t="n">
        <v>402.54</v>
      </c>
      <c r="E79" s="18" t="n">
        <v>2885.48</v>
      </c>
      <c r="F79" s="19" t="n">
        <v>1595.68857142857</v>
      </c>
    </row>
    <row r="80" customFormat="false" ht="14.25" hidden="false" customHeight="false" outlineLevel="0" collapsed="false">
      <c r="A80" s="15" t="n">
        <v>43258</v>
      </c>
      <c r="B80" s="16"/>
      <c r="C80" s="17" t="n">
        <v>1441.96</v>
      </c>
      <c r="D80" s="17"/>
      <c r="E80" s="18" t="n">
        <v>1007.65333333333</v>
      </c>
      <c r="F80" s="19" t="n">
        <v>1116.23</v>
      </c>
    </row>
    <row r="81" customFormat="false" ht="14.25" hidden="false" customHeight="false" outlineLevel="0" collapsed="false">
      <c r="A81" s="15" t="n">
        <v>43288</v>
      </c>
      <c r="B81" s="16"/>
      <c r="C81" s="17" t="n">
        <v>144.86</v>
      </c>
      <c r="D81" s="17" t="n">
        <v>63.54</v>
      </c>
      <c r="E81" s="18"/>
      <c r="F81" s="19" t="n">
        <v>104.2</v>
      </c>
    </row>
    <row r="82" customFormat="false" ht="14.25" hidden="false" customHeight="false" outlineLevel="0" collapsed="false">
      <c r="A82" s="15" t="n">
        <v>43319</v>
      </c>
      <c r="B82" s="16" t="n">
        <v>1008.97</v>
      </c>
      <c r="C82" s="17" t="n">
        <v>1276.29666666667</v>
      </c>
      <c r="D82" s="17" t="n">
        <v>289.15</v>
      </c>
      <c r="E82" s="18"/>
      <c r="F82" s="19" t="n">
        <v>1022.66333333333</v>
      </c>
    </row>
    <row r="83" customFormat="false" ht="14.25" hidden="false" customHeight="false" outlineLevel="0" collapsed="false">
      <c r="A83" s="15" t="n">
        <v>43350</v>
      </c>
      <c r="B83" s="16" t="n">
        <v>80.4</v>
      </c>
      <c r="C83" s="17" t="n">
        <v>995.135</v>
      </c>
      <c r="D83" s="17" t="n">
        <v>2734.66</v>
      </c>
      <c r="E83" s="18"/>
      <c r="F83" s="19" t="n">
        <v>1361.46571428571</v>
      </c>
    </row>
    <row r="84" customFormat="false" ht="14.25" hidden="false" customHeight="false" outlineLevel="0" collapsed="false">
      <c r="A84" s="15" t="n">
        <v>43380</v>
      </c>
      <c r="B84" s="16" t="n">
        <v>587.033333333333</v>
      </c>
      <c r="C84" s="17" t="n">
        <v>510.93</v>
      </c>
      <c r="D84" s="17"/>
      <c r="E84" s="18"/>
      <c r="F84" s="19" t="n">
        <v>568.0075</v>
      </c>
    </row>
    <row r="85" customFormat="false" ht="14.25" hidden="false" customHeight="false" outlineLevel="0" collapsed="false">
      <c r="A85" s="15" t="n">
        <v>43411</v>
      </c>
      <c r="B85" s="16"/>
      <c r="C85" s="17" t="n">
        <v>893.4225</v>
      </c>
      <c r="D85" s="17"/>
      <c r="E85" s="18" t="n">
        <v>3767.815</v>
      </c>
      <c r="F85" s="19" t="n">
        <v>1851.55333333333</v>
      </c>
    </row>
    <row r="86" customFormat="false" ht="14.25" hidden="false" customHeight="false" outlineLevel="0" collapsed="false">
      <c r="A86" s="15" t="n">
        <v>43441</v>
      </c>
      <c r="B86" s="16" t="n">
        <v>306.63</v>
      </c>
      <c r="C86" s="17"/>
      <c r="D86" s="17" t="n">
        <v>1977.525</v>
      </c>
      <c r="E86" s="18"/>
      <c r="F86" s="19" t="n">
        <v>863.595</v>
      </c>
    </row>
    <row r="87" customFormat="false" ht="14.25" hidden="false" customHeight="false" outlineLevel="0" collapsed="false">
      <c r="A87" s="15" t="n">
        <v>43108</v>
      </c>
      <c r="B87" s="16" t="n">
        <v>12570.33</v>
      </c>
      <c r="C87" s="17" t="n">
        <v>566.908333333333</v>
      </c>
      <c r="D87" s="17" t="n">
        <v>408.41</v>
      </c>
      <c r="E87" s="18" t="n">
        <v>3468.165</v>
      </c>
      <c r="F87" s="19" t="n">
        <v>2331.652</v>
      </c>
    </row>
    <row r="88" customFormat="false" ht="14.25" hidden="false" customHeight="false" outlineLevel="0" collapsed="false">
      <c r="A88" s="15" t="n">
        <v>43139</v>
      </c>
      <c r="B88" s="16"/>
      <c r="C88" s="17"/>
      <c r="D88" s="17"/>
      <c r="E88" s="18" t="n">
        <v>1276.825</v>
      </c>
      <c r="F88" s="19" t="n">
        <v>1276.825</v>
      </c>
    </row>
    <row r="89" customFormat="false" ht="14.25" hidden="false" customHeight="false" outlineLevel="0" collapsed="false">
      <c r="A89" s="15" t="n">
        <v>43167</v>
      </c>
      <c r="B89" s="16"/>
      <c r="C89" s="17" t="n">
        <v>547.66</v>
      </c>
      <c r="D89" s="17"/>
      <c r="E89" s="18"/>
      <c r="F89" s="19" t="n">
        <v>547.66</v>
      </c>
    </row>
    <row r="90" customFormat="false" ht="14.25" hidden="false" customHeight="false" outlineLevel="0" collapsed="false">
      <c r="A90" s="15" t="n">
        <v>43198</v>
      </c>
      <c r="B90" s="16" t="n">
        <v>1761.27</v>
      </c>
      <c r="C90" s="17" t="n">
        <v>322.62</v>
      </c>
      <c r="D90" s="17" t="n">
        <v>2775.655</v>
      </c>
      <c r="E90" s="18" t="n">
        <v>339.3675</v>
      </c>
      <c r="F90" s="19" t="n">
        <v>1035.03222222222</v>
      </c>
    </row>
    <row r="91" customFormat="false" ht="14.25" hidden="false" customHeight="false" outlineLevel="0" collapsed="false">
      <c r="A91" s="15" t="n">
        <v>43228</v>
      </c>
      <c r="B91" s="16"/>
      <c r="C91" s="17" t="n">
        <v>2651.165</v>
      </c>
      <c r="D91" s="17"/>
      <c r="E91" s="18" t="n">
        <v>34.61</v>
      </c>
      <c r="F91" s="19" t="n">
        <v>1778.98</v>
      </c>
    </row>
    <row r="92" customFormat="false" ht="14.25" hidden="false" customHeight="false" outlineLevel="0" collapsed="false">
      <c r="A92" s="15" t="n">
        <v>43259</v>
      </c>
      <c r="B92" s="16"/>
      <c r="C92" s="17" t="n">
        <v>1643.794</v>
      </c>
      <c r="D92" s="17" t="n">
        <v>272.59</v>
      </c>
      <c r="E92" s="18"/>
      <c r="F92" s="19" t="n">
        <v>1415.26</v>
      </c>
    </row>
    <row r="93" customFormat="false" ht="14.25" hidden="false" customHeight="false" outlineLevel="0" collapsed="false">
      <c r="A93" s="15" t="n">
        <v>43320</v>
      </c>
      <c r="B93" s="16"/>
      <c r="C93" s="17" t="n">
        <v>45.25</v>
      </c>
      <c r="D93" s="17" t="n">
        <v>323.96</v>
      </c>
      <c r="E93" s="18" t="n">
        <v>267.836666666667</v>
      </c>
      <c r="F93" s="19" t="n">
        <v>249.446666666667</v>
      </c>
    </row>
    <row r="94" customFormat="false" ht="14.25" hidden="false" customHeight="false" outlineLevel="0" collapsed="false">
      <c r="A94" s="15" t="n">
        <v>43351</v>
      </c>
      <c r="B94" s="16"/>
      <c r="C94" s="17" t="n">
        <v>4383.94</v>
      </c>
      <c r="D94" s="17" t="n">
        <v>11161.64</v>
      </c>
      <c r="E94" s="18"/>
      <c r="F94" s="19" t="n">
        <v>8902.40666666667</v>
      </c>
    </row>
    <row r="95" customFormat="false" ht="14.25" hidden="false" customHeight="false" outlineLevel="0" collapsed="false">
      <c r="A95" s="15" t="n">
        <v>43381</v>
      </c>
      <c r="B95" s="16" t="n">
        <v>438.465</v>
      </c>
      <c r="C95" s="17"/>
      <c r="D95" s="17" t="n">
        <v>2573.35</v>
      </c>
      <c r="E95" s="18" t="n">
        <v>589.638333333333</v>
      </c>
      <c r="F95" s="19" t="n">
        <v>715.003636363636</v>
      </c>
    </row>
    <row r="96" customFormat="false" ht="14.25" hidden="false" customHeight="false" outlineLevel="0" collapsed="false">
      <c r="A96" s="15" t="n">
        <v>43412</v>
      </c>
      <c r="B96" s="16" t="n">
        <v>257.47</v>
      </c>
      <c r="C96" s="17"/>
      <c r="D96" s="17" t="n">
        <v>444.4</v>
      </c>
      <c r="E96" s="18"/>
      <c r="F96" s="19" t="n">
        <v>397.6675</v>
      </c>
    </row>
    <row r="97" customFormat="false" ht="14.25" hidden="false" customHeight="false" outlineLevel="0" collapsed="false">
      <c r="A97" s="15" t="n">
        <v>43442</v>
      </c>
      <c r="B97" s="16" t="n">
        <v>510.79</v>
      </c>
      <c r="C97" s="17"/>
      <c r="D97" s="17" t="n">
        <v>303.573333333333</v>
      </c>
      <c r="E97" s="18"/>
      <c r="F97" s="19" t="n">
        <v>386.46</v>
      </c>
    </row>
    <row r="98" customFormat="false" ht="14.25" hidden="false" customHeight="false" outlineLevel="0" collapsed="false">
      <c r="A98" s="15" t="n">
        <v>43109</v>
      </c>
      <c r="B98" s="16" t="n">
        <v>29600.39</v>
      </c>
      <c r="C98" s="17" t="n">
        <v>1603.01333333333</v>
      </c>
      <c r="D98" s="17" t="n">
        <v>147.56</v>
      </c>
      <c r="E98" s="18" t="n">
        <v>611.57</v>
      </c>
      <c r="F98" s="19" t="n">
        <v>2974.53</v>
      </c>
    </row>
    <row r="99" customFormat="false" ht="14.25" hidden="false" customHeight="false" outlineLevel="0" collapsed="false">
      <c r="A99" s="15" t="n">
        <v>43140</v>
      </c>
      <c r="B99" s="16"/>
      <c r="C99" s="17" t="n">
        <v>550.875</v>
      </c>
      <c r="D99" s="17" t="n">
        <v>2104.22</v>
      </c>
      <c r="E99" s="18" t="n">
        <v>1062.05</v>
      </c>
      <c r="F99" s="19" t="n">
        <v>1194.79875</v>
      </c>
    </row>
    <row r="100" customFormat="false" ht="14.25" hidden="false" customHeight="false" outlineLevel="0" collapsed="false">
      <c r="A100" s="15" t="n">
        <v>43168</v>
      </c>
      <c r="B100" s="16" t="n">
        <v>645.95</v>
      </c>
      <c r="C100" s="17" t="n">
        <v>1314.765</v>
      </c>
      <c r="D100" s="17" t="n">
        <v>606.696666666667</v>
      </c>
      <c r="E100" s="18" t="n">
        <v>6859.155</v>
      </c>
      <c r="F100" s="19" t="n">
        <v>2144.341</v>
      </c>
    </row>
    <row r="101" customFormat="false" ht="14.25" hidden="false" customHeight="false" outlineLevel="0" collapsed="false">
      <c r="A101" s="15" t="n">
        <v>43199</v>
      </c>
      <c r="B101" s="16"/>
      <c r="C101" s="17" t="n">
        <v>1771.734</v>
      </c>
      <c r="D101" s="17"/>
      <c r="E101" s="18" t="n">
        <v>741.676666666667</v>
      </c>
      <c r="F101" s="19" t="n">
        <v>1385.4625</v>
      </c>
    </row>
    <row r="102" customFormat="false" ht="14.25" hidden="false" customHeight="false" outlineLevel="0" collapsed="false">
      <c r="A102" s="15" t="n">
        <v>43229</v>
      </c>
      <c r="B102" s="16"/>
      <c r="C102" s="17" t="n">
        <v>242.38</v>
      </c>
      <c r="D102" s="17"/>
      <c r="E102" s="18"/>
      <c r="F102" s="19" t="n">
        <v>242.38</v>
      </c>
    </row>
    <row r="103" customFormat="false" ht="14.25" hidden="false" customHeight="false" outlineLevel="0" collapsed="false">
      <c r="A103" s="15" t="n">
        <v>43260</v>
      </c>
      <c r="B103" s="16" t="n">
        <v>939.175</v>
      </c>
      <c r="C103" s="17"/>
      <c r="D103" s="17"/>
      <c r="E103" s="18" t="n">
        <v>1373.495</v>
      </c>
      <c r="F103" s="19" t="n">
        <v>1199.767</v>
      </c>
    </row>
    <row r="104" customFormat="false" ht="14.25" hidden="false" customHeight="false" outlineLevel="0" collapsed="false">
      <c r="A104" s="15" t="n">
        <v>43290</v>
      </c>
      <c r="B104" s="16" t="n">
        <v>3249.26</v>
      </c>
      <c r="C104" s="17" t="n">
        <v>3145.7225</v>
      </c>
      <c r="D104" s="17" t="n">
        <v>218.825</v>
      </c>
      <c r="E104" s="18"/>
      <c r="F104" s="19" t="n">
        <v>2439.8825</v>
      </c>
    </row>
    <row r="105" customFormat="false" ht="14.25" hidden="false" customHeight="false" outlineLevel="0" collapsed="false">
      <c r="A105" s="15" t="n">
        <v>43321</v>
      </c>
      <c r="B105" s="16"/>
      <c r="C105" s="17" t="n">
        <v>2460.155</v>
      </c>
      <c r="D105" s="17" t="n">
        <v>1509.17</v>
      </c>
      <c r="E105" s="18" t="n">
        <v>3772.545</v>
      </c>
      <c r="F105" s="19" t="n">
        <v>2699.26857142857</v>
      </c>
    </row>
    <row r="106" customFormat="false" ht="14.25" hidden="false" customHeight="false" outlineLevel="0" collapsed="false">
      <c r="A106" s="15" t="n">
        <v>43352</v>
      </c>
      <c r="B106" s="16" t="n">
        <v>930.975</v>
      </c>
      <c r="C106" s="17" t="n">
        <v>262.54</v>
      </c>
      <c r="D106" s="17"/>
      <c r="E106" s="18" t="n">
        <v>162.845</v>
      </c>
      <c r="F106" s="19" t="n">
        <v>452.12</v>
      </c>
    </row>
    <row r="107" customFormat="false" ht="14.25" hidden="false" customHeight="false" outlineLevel="0" collapsed="false">
      <c r="A107" s="15" t="n">
        <v>43382</v>
      </c>
      <c r="B107" s="16"/>
      <c r="C107" s="17" t="n">
        <v>657.598</v>
      </c>
      <c r="D107" s="17"/>
      <c r="E107" s="18" t="n">
        <v>38.985</v>
      </c>
      <c r="F107" s="19" t="n">
        <v>480.851428571429</v>
      </c>
    </row>
    <row r="108" customFormat="false" ht="14.25" hidden="false" customHeight="false" outlineLevel="0" collapsed="false">
      <c r="A108" s="15" t="n">
        <v>43413</v>
      </c>
      <c r="B108" s="16" t="n">
        <v>437.145</v>
      </c>
      <c r="C108" s="17" t="n">
        <v>1703.76666666667</v>
      </c>
      <c r="D108" s="17" t="n">
        <v>2097.87</v>
      </c>
      <c r="E108" s="18"/>
      <c r="F108" s="19" t="n">
        <v>1647.494</v>
      </c>
    </row>
    <row r="109" customFormat="false" ht="14.25" hidden="false" customHeight="false" outlineLevel="0" collapsed="false">
      <c r="A109" s="15" t="n">
        <v>43443</v>
      </c>
      <c r="B109" s="16" t="n">
        <v>4436.785</v>
      </c>
      <c r="C109" s="17" t="n">
        <v>51.41</v>
      </c>
      <c r="D109" s="17" t="n">
        <v>2809.74333333333</v>
      </c>
      <c r="E109" s="18" t="n">
        <v>315.14</v>
      </c>
      <c r="F109" s="19" t="n">
        <v>2609.858</v>
      </c>
    </row>
    <row r="110" customFormat="false" ht="14.25" hidden="false" customHeight="false" outlineLevel="0" collapsed="false">
      <c r="A110" s="15" t="n">
        <v>43110</v>
      </c>
      <c r="B110" s="16"/>
      <c r="C110" s="17" t="n">
        <v>78.2975</v>
      </c>
      <c r="D110" s="17" t="n">
        <v>3965.94666666667</v>
      </c>
      <c r="E110" s="18" t="n">
        <v>3831.295</v>
      </c>
      <c r="F110" s="19" t="n">
        <v>2208.18</v>
      </c>
    </row>
    <row r="111" customFormat="false" ht="14.25" hidden="false" customHeight="false" outlineLevel="0" collapsed="false">
      <c r="A111" s="15" t="n">
        <v>43141</v>
      </c>
      <c r="B111" s="16"/>
      <c r="C111" s="17"/>
      <c r="D111" s="17" t="n">
        <v>487.61</v>
      </c>
      <c r="E111" s="18" t="n">
        <v>19125.46</v>
      </c>
      <c r="F111" s="19" t="n">
        <v>4215.18</v>
      </c>
    </row>
    <row r="112" customFormat="false" ht="14.25" hidden="false" customHeight="false" outlineLevel="0" collapsed="false">
      <c r="A112" s="15" t="n">
        <v>43169</v>
      </c>
      <c r="B112" s="16" t="n">
        <v>1763.71</v>
      </c>
      <c r="C112" s="17"/>
      <c r="D112" s="17"/>
      <c r="E112" s="18" t="n">
        <v>1430.68</v>
      </c>
      <c r="F112" s="19" t="n">
        <v>1597.195</v>
      </c>
    </row>
    <row r="113" customFormat="false" ht="14.25" hidden="false" customHeight="false" outlineLevel="0" collapsed="false">
      <c r="A113" s="15" t="n">
        <v>43200</v>
      </c>
      <c r="B113" s="16"/>
      <c r="C113" s="17" t="n">
        <v>2083.75</v>
      </c>
      <c r="D113" s="17" t="n">
        <v>1773.50714285714</v>
      </c>
      <c r="E113" s="18" t="n">
        <v>1174.755</v>
      </c>
      <c r="F113" s="19" t="n">
        <v>1637.00538461538</v>
      </c>
    </row>
    <row r="114" customFormat="false" ht="14.25" hidden="false" customHeight="false" outlineLevel="0" collapsed="false">
      <c r="A114" s="15" t="n">
        <v>43230</v>
      </c>
      <c r="B114" s="16" t="n">
        <v>2418.915</v>
      </c>
      <c r="C114" s="17"/>
      <c r="D114" s="17"/>
      <c r="E114" s="18" t="n">
        <v>3677.48</v>
      </c>
      <c r="F114" s="19" t="n">
        <v>2838.43666666667</v>
      </c>
    </row>
    <row r="115" customFormat="false" ht="14.25" hidden="false" customHeight="false" outlineLevel="0" collapsed="false">
      <c r="A115" s="15" t="n">
        <v>43261</v>
      </c>
      <c r="B115" s="16" t="n">
        <v>316.9675</v>
      </c>
      <c r="C115" s="17"/>
      <c r="D115" s="17" t="n">
        <v>691.29</v>
      </c>
      <c r="E115" s="18" t="n">
        <v>147.63</v>
      </c>
      <c r="F115" s="19" t="n">
        <v>351.131666666667</v>
      </c>
    </row>
    <row r="116" customFormat="false" ht="14.25" hidden="false" customHeight="false" outlineLevel="0" collapsed="false">
      <c r="A116" s="15" t="n">
        <v>43291</v>
      </c>
      <c r="B116" s="16"/>
      <c r="C116" s="17" t="n">
        <v>431.39</v>
      </c>
      <c r="D116" s="17"/>
      <c r="E116" s="18"/>
      <c r="F116" s="19" t="n">
        <v>431.39</v>
      </c>
    </row>
    <row r="117" customFormat="false" ht="14.25" hidden="false" customHeight="false" outlineLevel="0" collapsed="false">
      <c r="A117" s="15" t="n">
        <v>43322</v>
      </c>
      <c r="B117" s="16"/>
      <c r="C117" s="17" t="n">
        <v>1609.2875</v>
      </c>
      <c r="D117" s="17" t="n">
        <v>1156.725</v>
      </c>
      <c r="E117" s="18"/>
      <c r="F117" s="19" t="n">
        <v>1458.43333333333</v>
      </c>
    </row>
    <row r="118" customFormat="false" ht="14.25" hidden="false" customHeight="false" outlineLevel="0" collapsed="false">
      <c r="A118" s="15" t="n">
        <v>43353</v>
      </c>
      <c r="B118" s="16" t="n">
        <v>607.69</v>
      </c>
      <c r="C118" s="17" t="n">
        <v>117.59</v>
      </c>
      <c r="D118" s="17" t="n">
        <v>111.17</v>
      </c>
      <c r="E118" s="18" t="n">
        <v>3413.545</v>
      </c>
      <c r="F118" s="19" t="n">
        <v>1532.708</v>
      </c>
    </row>
    <row r="119" customFormat="false" ht="14.25" hidden="false" customHeight="false" outlineLevel="0" collapsed="false">
      <c r="A119" s="15" t="n">
        <v>43383</v>
      </c>
      <c r="B119" s="16" t="n">
        <v>1023.425</v>
      </c>
      <c r="C119" s="17"/>
      <c r="D119" s="17"/>
      <c r="E119" s="18" t="n">
        <v>10434.91</v>
      </c>
      <c r="F119" s="19" t="n">
        <v>4160.58666666667</v>
      </c>
    </row>
    <row r="120" customFormat="false" ht="14.25" hidden="false" customHeight="false" outlineLevel="0" collapsed="false">
      <c r="A120" s="15" t="n">
        <v>43414</v>
      </c>
      <c r="B120" s="16" t="n">
        <v>2179.03666666667</v>
      </c>
      <c r="C120" s="17"/>
      <c r="D120" s="17"/>
      <c r="E120" s="18"/>
      <c r="F120" s="19" t="n">
        <v>2179.03666666667</v>
      </c>
    </row>
    <row r="121" customFormat="false" ht="14.25" hidden="false" customHeight="false" outlineLevel="0" collapsed="false">
      <c r="A121" s="15" t="n">
        <v>43444</v>
      </c>
      <c r="B121" s="16" t="n">
        <v>2079.89</v>
      </c>
      <c r="C121" s="17" t="n">
        <v>3893.41</v>
      </c>
      <c r="D121" s="17"/>
      <c r="E121" s="18"/>
      <c r="F121" s="19" t="n">
        <v>3116.18714285714</v>
      </c>
    </row>
    <row r="122" customFormat="false" ht="14.25" hidden="false" customHeight="false" outlineLevel="0" collapsed="false">
      <c r="A122" s="15" t="n">
        <v>43142</v>
      </c>
      <c r="B122" s="16"/>
      <c r="C122" s="17"/>
      <c r="D122" s="17" t="n">
        <v>1734.3425</v>
      </c>
      <c r="E122" s="18"/>
      <c r="F122" s="19" t="n">
        <v>1734.3425</v>
      </c>
    </row>
    <row r="123" customFormat="false" ht="14.25" hidden="false" customHeight="false" outlineLevel="0" collapsed="false">
      <c r="A123" s="15" t="n">
        <v>43170</v>
      </c>
      <c r="B123" s="16"/>
      <c r="C123" s="17" t="n">
        <v>592.232</v>
      </c>
      <c r="D123" s="17"/>
      <c r="E123" s="18"/>
      <c r="F123" s="19" t="n">
        <v>592.232</v>
      </c>
    </row>
    <row r="124" customFormat="false" ht="14.25" hidden="false" customHeight="false" outlineLevel="0" collapsed="false">
      <c r="A124" s="15" t="n">
        <v>43201</v>
      </c>
      <c r="B124" s="16"/>
      <c r="C124" s="17"/>
      <c r="D124" s="17" t="n">
        <v>531.563333333333</v>
      </c>
      <c r="E124" s="18"/>
      <c r="F124" s="19" t="n">
        <v>531.563333333333</v>
      </c>
    </row>
    <row r="125" customFormat="false" ht="14.25" hidden="false" customHeight="false" outlineLevel="0" collapsed="false">
      <c r="A125" s="15" t="n">
        <v>43231</v>
      </c>
      <c r="B125" s="16"/>
      <c r="C125" s="17" t="n">
        <v>1284.775</v>
      </c>
      <c r="D125" s="17" t="n">
        <v>5740.06</v>
      </c>
      <c r="E125" s="18" t="n">
        <v>283.245</v>
      </c>
      <c r="F125" s="19" t="n">
        <v>2436.02666666667</v>
      </c>
    </row>
    <row r="126" customFormat="false" ht="14.25" hidden="false" customHeight="false" outlineLevel="0" collapsed="false">
      <c r="A126" s="15" t="n">
        <v>43262</v>
      </c>
      <c r="B126" s="16" t="n">
        <v>135.55</v>
      </c>
      <c r="C126" s="17"/>
      <c r="D126" s="17"/>
      <c r="E126" s="18" t="n">
        <v>825.49</v>
      </c>
      <c r="F126" s="19" t="n">
        <v>653.005</v>
      </c>
    </row>
    <row r="127" customFormat="false" ht="14.25" hidden="false" customHeight="false" outlineLevel="0" collapsed="false">
      <c r="A127" s="15" t="n">
        <v>43292</v>
      </c>
      <c r="B127" s="16" t="n">
        <v>159.76</v>
      </c>
      <c r="C127" s="17" t="n">
        <v>594.1</v>
      </c>
      <c r="D127" s="17" t="n">
        <v>150.14</v>
      </c>
      <c r="E127" s="18" t="n">
        <v>123.92</v>
      </c>
      <c r="F127" s="19" t="n">
        <v>326.064</v>
      </c>
    </row>
    <row r="128" customFormat="false" ht="14.25" hidden="false" customHeight="false" outlineLevel="0" collapsed="false">
      <c r="A128" s="15" t="n">
        <v>43323</v>
      </c>
      <c r="B128" s="16"/>
      <c r="C128" s="17" t="n">
        <v>11163.615</v>
      </c>
      <c r="D128" s="17"/>
      <c r="E128" s="18" t="n">
        <v>256.95</v>
      </c>
      <c r="F128" s="19" t="n">
        <v>7528.06</v>
      </c>
    </row>
    <row r="129" customFormat="false" ht="14.25" hidden="false" customHeight="false" outlineLevel="0" collapsed="false">
      <c r="A129" s="15" t="n">
        <v>43354</v>
      </c>
      <c r="B129" s="16" t="n">
        <v>2714.645</v>
      </c>
      <c r="C129" s="17" t="n">
        <v>62.955</v>
      </c>
      <c r="D129" s="17" t="n">
        <v>571.115</v>
      </c>
      <c r="E129" s="18" t="n">
        <v>352.74</v>
      </c>
      <c r="F129" s="19" t="n">
        <v>854.514</v>
      </c>
    </row>
    <row r="130" customFormat="false" ht="14.25" hidden="false" customHeight="false" outlineLevel="0" collapsed="false">
      <c r="A130" s="15" t="n">
        <v>43384</v>
      </c>
      <c r="B130" s="16"/>
      <c r="C130" s="17"/>
      <c r="D130" s="17" t="n">
        <v>335.0375</v>
      </c>
      <c r="E130" s="18" t="n">
        <v>1881.5</v>
      </c>
      <c r="F130" s="19" t="n">
        <v>644.33</v>
      </c>
    </row>
    <row r="131" customFormat="false" ht="14.25" hidden="false" customHeight="false" outlineLevel="0" collapsed="false">
      <c r="A131" s="15" t="n">
        <v>43415</v>
      </c>
      <c r="B131" s="16"/>
      <c r="C131" s="17" t="n">
        <v>1932.88</v>
      </c>
      <c r="D131" s="17" t="n">
        <v>3025.845</v>
      </c>
      <c r="E131" s="18" t="n">
        <v>1862.748</v>
      </c>
      <c r="F131" s="19" t="n">
        <v>2162.28875</v>
      </c>
    </row>
    <row r="132" customFormat="false" ht="14.25" hidden="false" customHeight="false" outlineLevel="0" collapsed="false">
      <c r="A132" s="15" t="n">
        <v>43445</v>
      </c>
      <c r="B132" s="16"/>
      <c r="C132" s="17"/>
      <c r="D132" s="17" t="n">
        <v>241.28</v>
      </c>
      <c r="E132" s="18"/>
      <c r="F132" s="19" t="n">
        <v>241.28</v>
      </c>
    </row>
    <row r="133" customFormat="false" ht="14.25" hidden="false" customHeight="false" outlineLevel="0" collapsed="false">
      <c r="A133" s="15" t="n">
        <v>43112</v>
      </c>
      <c r="B133" s="16" t="n">
        <v>1360.02</v>
      </c>
      <c r="C133" s="17" t="n">
        <v>3060.4</v>
      </c>
      <c r="D133" s="17" t="n">
        <v>41.72</v>
      </c>
      <c r="E133" s="18"/>
      <c r="F133" s="19" t="n">
        <v>1487.38</v>
      </c>
    </row>
    <row r="134" customFormat="false" ht="14.25" hidden="false" customHeight="false" outlineLevel="0" collapsed="false">
      <c r="A134" s="15" t="n">
        <v>43143</v>
      </c>
      <c r="B134" s="16" t="n">
        <v>1073.765</v>
      </c>
      <c r="C134" s="17" t="n">
        <v>2346.29166666667</v>
      </c>
      <c r="D134" s="17"/>
      <c r="E134" s="18" t="n">
        <v>434.113333333333</v>
      </c>
      <c r="F134" s="19" t="n">
        <v>1593.42</v>
      </c>
    </row>
    <row r="135" customFormat="false" ht="14.25" hidden="false" customHeight="false" outlineLevel="0" collapsed="false">
      <c r="A135" s="15" t="n">
        <v>43171</v>
      </c>
      <c r="B135" s="16"/>
      <c r="C135" s="17" t="n">
        <v>226.4</v>
      </c>
      <c r="D135" s="17" t="n">
        <v>4344.285</v>
      </c>
      <c r="E135" s="18"/>
      <c r="F135" s="19" t="n">
        <v>1873.554</v>
      </c>
    </row>
    <row r="136" customFormat="false" ht="14.25" hidden="false" customHeight="false" outlineLevel="0" collapsed="false">
      <c r="A136" s="15" t="n">
        <v>43202</v>
      </c>
      <c r="B136" s="16"/>
      <c r="C136" s="17" t="n">
        <v>76.79</v>
      </c>
      <c r="D136" s="17" t="n">
        <v>175.515</v>
      </c>
      <c r="E136" s="18" t="n">
        <v>5543.57</v>
      </c>
      <c r="F136" s="19" t="n">
        <v>2302.992</v>
      </c>
    </row>
    <row r="137" customFormat="false" ht="14.25" hidden="false" customHeight="false" outlineLevel="0" collapsed="false">
      <c r="A137" s="15" t="n">
        <v>43232</v>
      </c>
      <c r="B137" s="16"/>
      <c r="C137" s="17" t="n">
        <v>163.23</v>
      </c>
      <c r="D137" s="17"/>
      <c r="E137" s="18"/>
      <c r="F137" s="19" t="n">
        <v>163.23</v>
      </c>
    </row>
    <row r="138" customFormat="false" ht="14.25" hidden="false" customHeight="false" outlineLevel="0" collapsed="false">
      <c r="A138" s="15" t="n">
        <v>43263</v>
      </c>
      <c r="B138" s="16"/>
      <c r="C138" s="17" t="n">
        <v>1850.72</v>
      </c>
      <c r="D138" s="17" t="n">
        <v>8308.69</v>
      </c>
      <c r="E138" s="18"/>
      <c r="F138" s="19" t="n">
        <v>4003.37666666667</v>
      </c>
    </row>
    <row r="139" customFormat="false" ht="14.25" hidden="false" customHeight="false" outlineLevel="0" collapsed="false">
      <c r="A139" s="15" t="n">
        <v>43293</v>
      </c>
      <c r="B139" s="16" t="n">
        <v>1406.66</v>
      </c>
      <c r="C139" s="17"/>
      <c r="D139" s="17" t="n">
        <v>165.846666666667</v>
      </c>
      <c r="E139" s="18" t="n">
        <v>235.88</v>
      </c>
      <c r="F139" s="19" t="n">
        <v>428.016</v>
      </c>
    </row>
    <row r="140" customFormat="false" ht="14.25" hidden="false" customHeight="false" outlineLevel="0" collapsed="false">
      <c r="A140" s="15" t="n">
        <v>43324</v>
      </c>
      <c r="B140" s="16"/>
      <c r="C140" s="17" t="n">
        <v>313.635</v>
      </c>
      <c r="D140" s="17" t="n">
        <v>279.45</v>
      </c>
      <c r="E140" s="18"/>
      <c r="F140" s="19" t="n">
        <v>302.24</v>
      </c>
    </row>
    <row r="141" customFormat="false" ht="14.25" hidden="false" customHeight="false" outlineLevel="0" collapsed="false">
      <c r="A141" s="15" t="n">
        <v>43355</v>
      </c>
      <c r="B141" s="16"/>
      <c r="C141" s="17" t="n">
        <v>1937.93666666667</v>
      </c>
      <c r="D141" s="17" t="n">
        <v>159.86</v>
      </c>
      <c r="E141" s="18"/>
      <c r="F141" s="19" t="n">
        <v>1493.4175</v>
      </c>
    </row>
    <row r="142" customFormat="false" ht="14.25" hidden="false" customHeight="false" outlineLevel="0" collapsed="false">
      <c r="A142" s="15" t="n">
        <v>43385</v>
      </c>
      <c r="B142" s="16"/>
      <c r="C142" s="17" t="n">
        <v>415.92</v>
      </c>
      <c r="D142" s="17"/>
      <c r="E142" s="18" t="n">
        <v>258.85</v>
      </c>
      <c r="F142" s="19" t="n">
        <v>337.385</v>
      </c>
    </row>
    <row r="143" customFormat="false" ht="14.25" hidden="false" customHeight="false" outlineLevel="0" collapsed="false">
      <c r="A143" s="15" t="n">
        <v>43416</v>
      </c>
      <c r="B143" s="16"/>
      <c r="C143" s="17" t="n">
        <v>16007.3</v>
      </c>
      <c r="D143" s="17" t="n">
        <v>432.44</v>
      </c>
      <c r="E143" s="18"/>
      <c r="F143" s="19" t="n">
        <v>8219.87</v>
      </c>
    </row>
    <row r="144" customFormat="false" ht="14.25" hidden="false" customHeight="false" outlineLevel="0" collapsed="false">
      <c r="A144" s="15" t="n">
        <v>43446</v>
      </c>
      <c r="B144" s="16"/>
      <c r="C144" s="17" t="n">
        <v>4279.24666666667</v>
      </c>
      <c r="D144" s="17"/>
      <c r="E144" s="18"/>
      <c r="F144" s="19" t="n">
        <v>4279.24666666667</v>
      </c>
    </row>
    <row r="145" customFormat="false" ht="14.25" hidden="false" customHeight="false" outlineLevel="0" collapsed="false">
      <c r="A145" s="15" t="n">
        <v>43113</v>
      </c>
      <c r="B145" s="16"/>
      <c r="C145" s="17" t="n">
        <v>5808.48</v>
      </c>
      <c r="D145" s="17"/>
      <c r="E145" s="18"/>
      <c r="F145" s="19" t="n">
        <v>5808.48</v>
      </c>
    </row>
    <row r="146" customFormat="false" ht="14.25" hidden="false" customHeight="false" outlineLevel="0" collapsed="false">
      <c r="A146" s="15" t="n">
        <v>43144</v>
      </c>
      <c r="B146" s="16" t="n">
        <v>734.293333333333</v>
      </c>
      <c r="C146" s="17" t="n">
        <v>1330.465</v>
      </c>
      <c r="D146" s="17" t="n">
        <v>892.2</v>
      </c>
      <c r="E146" s="18" t="n">
        <v>417.67</v>
      </c>
      <c r="F146" s="19" t="n">
        <v>972.681</v>
      </c>
    </row>
    <row r="147" customFormat="false" ht="14.25" hidden="false" customHeight="false" outlineLevel="0" collapsed="false">
      <c r="A147" s="15" t="n">
        <v>43172</v>
      </c>
      <c r="B147" s="16"/>
      <c r="C147" s="17" t="n">
        <v>288.15</v>
      </c>
      <c r="D147" s="17"/>
      <c r="E147" s="18"/>
      <c r="F147" s="19" t="n">
        <v>288.15</v>
      </c>
    </row>
    <row r="148" customFormat="false" ht="14.25" hidden="false" customHeight="false" outlineLevel="0" collapsed="false">
      <c r="A148" s="15" t="n">
        <v>43233</v>
      </c>
      <c r="B148" s="16" t="n">
        <v>191.44</v>
      </c>
      <c r="C148" s="17" t="n">
        <v>12016.37</v>
      </c>
      <c r="D148" s="17" t="n">
        <v>381.02</v>
      </c>
      <c r="E148" s="18" t="n">
        <v>84.8</v>
      </c>
      <c r="F148" s="19" t="n">
        <v>3168.4075</v>
      </c>
    </row>
    <row r="149" customFormat="false" ht="14.25" hidden="false" customHeight="false" outlineLevel="0" collapsed="false">
      <c r="A149" s="15" t="n">
        <v>43264</v>
      </c>
      <c r="B149" s="16" t="n">
        <v>236.61</v>
      </c>
      <c r="C149" s="17" t="n">
        <v>373.34</v>
      </c>
      <c r="D149" s="17" t="n">
        <v>1803.81333333333</v>
      </c>
      <c r="E149" s="18"/>
      <c r="F149" s="19" t="n">
        <v>1204.278</v>
      </c>
    </row>
    <row r="150" customFormat="false" ht="14.25" hidden="false" customHeight="false" outlineLevel="0" collapsed="false">
      <c r="A150" s="15" t="n">
        <v>43294</v>
      </c>
      <c r="B150" s="16" t="n">
        <v>991.52</v>
      </c>
      <c r="C150" s="17" t="n">
        <v>552.03</v>
      </c>
      <c r="D150" s="17" t="n">
        <v>74.035</v>
      </c>
      <c r="E150" s="18"/>
      <c r="F150" s="19" t="n">
        <v>465.946666666667</v>
      </c>
    </row>
    <row r="151" customFormat="false" ht="14.25" hidden="false" customHeight="false" outlineLevel="0" collapsed="false">
      <c r="A151" s="15" t="n">
        <v>43325</v>
      </c>
      <c r="B151" s="16" t="n">
        <v>3307.45</v>
      </c>
      <c r="C151" s="17"/>
      <c r="D151" s="17" t="n">
        <v>20.94</v>
      </c>
      <c r="E151" s="18"/>
      <c r="F151" s="19" t="n">
        <v>2650.148</v>
      </c>
    </row>
    <row r="152" customFormat="false" ht="14.25" hidden="false" customHeight="false" outlineLevel="0" collapsed="false">
      <c r="A152" s="15" t="n">
        <v>43356</v>
      </c>
      <c r="B152" s="16"/>
      <c r="C152" s="17" t="n">
        <v>322.68</v>
      </c>
      <c r="D152" s="17" t="n">
        <v>5855.17</v>
      </c>
      <c r="E152" s="18"/>
      <c r="F152" s="19" t="n">
        <v>3088.925</v>
      </c>
    </row>
    <row r="153" customFormat="false" ht="14.25" hidden="false" customHeight="false" outlineLevel="0" collapsed="false">
      <c r="A153" s="15" t="n">
        <v>43386</v>
      </c>
      <c r="B153" s="16"/>
      <c r="C153" s="17" t="n">
        <v>113.55</v>
      </c>
      <c r="D153" s="17"/>
      <c r="E153" s="18"/>
      <c r="F153" s="19" t="n">
        <v>113.55</v>
      </c>
    </row>
    <row r="154" customFormat="false" ht="14.25" hidden="false" customHeight="false" outlineLevel="0" collapsed="false">
      <c r="A154" s="15" t="n">
        <v>43417</v>
      </c>
      <c r="B154" s="16"/>
      <c r="C154" s="17" t="n">
        <v>152.98</v>
      </c>
      <c r="D154" s="17" t="n">
        <v>112.29</v>
      </c>
      <c r="E154" s="18"/>
      <c r="F154" s="19" t="n">
        <v>132.635</v>
      </c>
    </row>
    <row r="155" customFormat="false" ht="14.25" hidden="false" customHeight="false" outlineLevel="0" collapsed="false">
      <c r="A155" s="15" t="n">
        <v>43447</v>
      </c>
      <c r="B155" s="16"/>
      <c r="C155" s="17" t="n">
        <v>4239.20666666667</v>
      </c>
      <c r="D155" s="17"/>
      <c r="E155" s="18"/>
      <c r="F155" s="19" t="n">
        <v>4239.20666666667</v>
      </c>
    </row>
    <row r="156" customFormat="false" ht="14.25" hidden="false" customHeight="false" outlineLevel="0" collapsed="false">
      <c r="A156" s="15" t="n">
        <v>43114</v>
      </c>
      <c r="B156" s="16"/>
      <c r="C156" s="17" t="n">
        <v>2750.16333333333</v>
      </c>
      <c r="D156" s="17" t="n">
        <v>267.06</v>
      </c>
      <c r="E156" s="18"/>
      <c r="F156" s="19" t="n">
        <v>2129.3875</v>
      </c>
    </row>
    <row r="157" customFormat="false" ht="14.25" hidden="false" customHeight="false" outlineLevel="0" collapsed="false">
      <c r="A157" s="15" t="n">
        <v>43145</v>
      </c>
      <c r="B157" s="16"/>
      <c r="C157" s="17" t="n">
        <v>1792.97666666667</v>
      </c>
      <c r="D157" s="17" t="n">
        <v>6147.505</v>
      </c>
      <c r="E157" s="18" t="n">
        <v>147.84</v>
      </c>
      <c r="F157" s="19" t="n">
        <v>2970.29666666667</v>
      </c>
    </row>
    <row r="158" customFormat="false" ht="14.25" hidden="false" customHeight="false" outlineLevel="0" collapsed="false">
      <c r="A158" s="15" t="n">
        <v>43173</v>
      </c>
      <c r="B158" s="16" t="n">
        <v>139.51</v>
      </c>
      <c r="C158" s="17" t="n">
        <v>2252.862</v>
      </c>
      <c r="D158" s="17" t="n">
        <v>3504.16</v>
      </c>
      <c r="E158" s="18" t="n">
        <v>10538.1866666667</v>
      </c>
      <c r="F158" s="19" t="n">
        <v>4547.88181818182</v>
      </c>
    </row>
    <row r="159" customFormat="false" ht="14.25" hidden="false" customHeight="false" outlineLevel="0" collapsed="false">
      <c r="A159" s="15" t="n">
        <v>43204</v>
      </c>
      <c r="B159" s="16" t="n">
        <v>2763.24</v>
      </c>
      <c r="C159" s="17" t="n">
        <v>36.55</v>
      </c>
      <c r="D159" s="17" t="n">
        <v>6552.62</v>
      </c>
      <c r="E159" s="18" t="n">
        <v>387.175</v>
      </c>
      <c r="F159" s="19" t="n">
        <v>2236.17714285714</v>
      </c>
    </row>
    <row r="160" customFormat="false" ht="14.25" hidden="false" customHeight="false" outlineLevel="0" collapsed="false">
      <c r="A160" s="15" t="n">
        <v>43234</v>
      </c>
      <c r="B160" s="16"/>
      <c r="C160" s="17"/>
      <c r="D160" s="17"/>
      <c r="E160" s="18" t="n">
        <v>679.493333333334</v>
      </c>
      <c r="F160" s="19" t="n">
        <v>679.493333333334</v>
      </c>
    </row>
    <row r="161" customFormat="false" ht="14.25" hidden="false" customHeight="false" outlineLevel="0" collapsed="false">
      <c r="A161" s="15" t="n">
        <v>43265</v>
      </c>
      <c r="B161" s="16"/>
      <c r="C161" s="17" t="n">
        <v>106.07</v>
      </c>
      <c r="D161" s="17" t="n">
        <v>52.68</v>
      </c>
      <c r="E161" s="18"/>
      <c r="F161" s="19" t="n">
        <v>79.375</v>
      </c>
    </row>
    <row r="162" customFormat="false" ht="14.25" hidden="false" customHeight="false" outlineLevel="0" collapsed="false">
      <c r="A162" s="15" t="n">
        <v>43295</v>
      </c>
      <c r="B162" s="16"/>
      <c r="C162" s="17" t="n">
        <v>1613.16</v>
      </c>
      <c r="D162" s="17" t="n">
        <v>5691.21</v>
      </c>
      <c r="E162" s="18" t="n">
        <v>132.9</v>
      </c>
      <c r="F162" s="19" t="n">
        <v>1737.33</v>
      </c>
    </row>
    <row r="163" customFormat="false" ht="14.25" hidden="false" customHeight="false" outlineLevel="0" collapsed="false">
      <c r="A163" s="15" t="n">
        <v>43326</v>
      </c>
      <c r="B163" s="16"/>
      <c r="C163" s="17" t="n">
        <v>281.3</v>
      </c>
      <c r="D163" s="17" t="n">
        <v>173.3</v>
      </c>
      <c r="E163" s="18" t="n">
        <v>4848.13</v>
      </c>
      <c r="F163" s="19" t="n">
        <v>1767.57666666667</v>
      </c>
    </row>
    <row r="164" customFormat="false" ht="14.25" hidden="false" customHeight="false" outlineLevel="0" collapsed="false">
      <c r="A164" s="15" t="n">
        <v>43357</v>
      </c>
      <c r="B164" s="16" t="n">
        <v>569.71</v>
      </c>
      <c r="C164" s="17" t="n">
        <v>631.068888888889</v>
      </c>
      <c r="D164" s="17"/>
      <c r="E164" s="18" t="n">
        <v>1030.7</v>
      </c>
      <c r="F164" s="19" t="n">
        <v>671.562631578947</v>
      </c>
    </row>
    <row r="165" customFormat="false" ht="14.25" hidden="false" customHeight="false" outlineLevel="0" collapsed="false">
      <c r="A165" s="15" t="n">
        <v>43387</v>
      </c>
      <c r="B165" s="16"/>
      <c r="C165" s="17" t="n">
        <v>23625.03</v>
      </c>
      <c r="D165" s="17" t="n">
        <v>285.815</v>
      </c>
      <c r="E165" s="18"/>
      <c r="F165" s="19" t="n">
        <v>8065.55333333333</v>
      </c>
    </row>
    <row r="166" customFormat="false" ht="14.25" hidden="false" customHeight="false" outlineLevel="0" collapsed="false">
      <c r="A166" s="15" t="n">
        <v>43418</v>
      </c>
      <c r="B166" s="16" t="n">
        <v>768.9</v>
      </c>
      <c r="C166" s="17"/>
      <c r="D166" s="17"/>
      <c r="E166" s="18" t="n">
        <v>5331.75</v>
      </c>
      <c r="F166" s="19" t="n">
        <v>3050.325</v>
      </c>
    </row>
    <row r="167" customFormat="false" ht="14.25" hidden="false" customHeight="false" outlineLevel="0" collapsed="false">
      <c r="A167" s="15" t="n">
        <v>43448</v>
      </c>
      <c r="B167" s="16" t="n">
        <v>247.39</v>
      </c>
      <c r="C167" s="17"/>
      <c r="D167" s="17"/>
      <c r="E167" s="18" t="n">
        <v>2182.08</v>
      </c>
      <c r="F167" s="19" t="n">
        <v>1214.735</v>
      </c>
    </row>
    <row r="168" customFormat="false" ht="14.25" hidden="false" customHeight="false" outlineLevel="0" collapsed="false">
      <c r="A168" s="15" t="n">
        <v>43115</v>
      </c>
      <c r="B168" s="16"/>
      <c r="C168" s="17"/>
      <c r="D168" s="17"/>
      <c r="E168" s="18" t="n">
        <v>48.82</v>
      </c>
      <c r="F168" s="19" t="n">
        <v>48.82</v>
      </c>
    </row>
    <row r="169" customFormat="false" ht="14.25" hidden="false" customHeight="false" outlineLevel="0" collapsed="false">
      <c r="A169" s="15" t="n">
        <v>43146</v>
      </c>
      <c r="B169" s="16" t="n">
        <v>556.14</v>
      </c>
      <c r="C169" s="17" t="n">
        <v>147.71</v>
      </c>
      <c r="D169" s="17" t="n">
        <v>134.05</v>
      </c>
      <c r="E169" s="18"/>
      <c r="F169" s="19" t="n">
        <v>305.618</v>
      </c>
    </row>
    <row r="170" customFormat="false" ht="14.25" hidden="false" customHeight="false" outlineLevel="0" collapsed="false">
      <c r="A170" s="15" t="n">
        <v>43174</v>
      </c>
      <c r="B170" s="16"/>
      <c r="C170" s="17" t="n">
        <v>67.735</v>
      </c>
      <c r="D170" s="17" t="n">
        <v>289.17</v>
      </c>
      <c r="E170" s="18" t="n">
        <v>1031.96</v>
      </c>
      <c r="F170" s="19" t="n">
        <v>497.712</v>
      </c>
    </row>
    <row r="171" customFormat="false" ht="14.25" hidden="false" customHeight="false" outlineLevel="0" collapsed="false">
      <c r="A171" s="15" t="n">
        <v>43205</v>
      </c>
      <c r="B171" s="16"/>
      <c r="C171" s="17" t="n">
        <v>1376.47</v>
      </c>
      <c r="D171" s="17" t="n">
        <v>2178.57</v>
      </c>
      <c r="E171" s="18"/>
      <c r="F171" s="19" t="n">
        <v>1643.83666666667</v>
      </c>
    </row>
    <row r="172" customFormat="false" ht="14.25" hidden="false" customHeight="false" outlineLevel="0" collapsed="false">
      <c r="A172" s="15" t="n">
        <v>43235</v>
      </c>
      <c r="B172" s="16"/>
      <c r="C172" s="17"/>
      <c r="D172" s="17" t="n">
        <v>1463.91</v>
      </c>
      <c r="E172" s="18" t="n">
        <v>889.79</v>
      </c>
      <c r="F172" s="19" t="n">
        <v>1176.85</v>
      </c>
    </row>
    <row r="173" customFormat="false" ht="14.25" hidden="false" customHeight="false" outlineLevel="0" collapsed="false">
      <c r="A173" s="15" t="n">
        <v>43266</v>
      </c>
      <c r="B173" s="16"/>
      <c r="C173" s="17" t="n">
        <v>309.13</v>
      </c>
      <c r="D173" s="17" t="n">
        <v>139.628333333333</v>
      </c>
      <c r="E173" s="18"/>
      <c r="F173" s="19" t="n">
        <v>163.842857142857</v>
      </c>
    </row>
    <row r="174" customFormat="false" ht="14.25" hidden="false" customHeight="false" outlineLevel="0" collapsed="false">
      <c r="A174" s="15" t="n">
        <v>43296</v>
      </c>
      <c r="B174" s="16"/>
      <c r="C174" s="17" t="n">
        <v>76.31</v>
      </c>
      <c r="D174" s="17" t="n">
        <v>273.55</v>
      </c>
      <c r="E174" s="18" t="n">
        <v>1350.26</v>
      </c>
      <c r="F174" s="19" t="n">
        <v>880.128</v>
      </c>
    </row>
    <row r="175" customFormat="false" ht="14.25" hidden="false" customHeight="false" outlineLevel="0" collapsed="false">
      <c r="A175" s="15" t="n">
        <v>43327</v>
      </c>
      <c r="B175" s="16" t="n">
        <v>1559.82</v>
      </c>
      <c r="C175" s="17" t="n">
        <v>5831.76666666667</v>
      </c>
      <c r="D175" s="17" t="n">
        <v>15.78</v>
      </c>
      <c r="E175" s="18"/>
      <c r="F175" s="19" t="n">
        <v>3814.18</v>
      </c>
    </row>
    <row r="176" customFormat="false" ht="14.25" hidden="false" customHeight="false" outlineLevel="0" collapsed="false">
      <c r="A176" s="15" t="n">
        <v>43358</v>
      </c>
      <c r="B176" s="16"/>
      <c r="C176" s="17" t="n">
        <v>687.05</v>
      </c>
      <c r="D176" s="17"/>
      <c r="E176" s="18"/>
      <c r="F176" s="19" t="n">
        <v>687.05</v>
      </c>
    </row>
    <row r="177" customFormat="false" ht="14.25" hidden="false" customHeight="false" outlineLevel="0" collapsed="false">
      <c r="A177" s="15" t="n">
        <v>43388</v>
      </c>
      <c r="B177" s="16"/>
      <c r="C177" s="17"/>
      <c r="D177" s="17" t="n">
        <v>5596.085</v>
      </c>
      <c r="E177" s="18" t="n">
        <v>1495.42</v>
      </c>
      <c r="F177" s="19" t="n">
        <v>3545.7525</v>
      </c>
    </row>
    <row r="178" customFormat="false" ht="14.25" hidden="false" customHeight="false" outlineLevel="0" collapsed="false">
      <c r="A178" s="15" t="n">
        <v>43419</v>
      </c>
      <c r="B178" s="16" t="n">
        <v>376.595</v>
      </c>
      <c r="C178" s="17" t="n">
        <v>2400.81444444444</v>
      </c>
      <c r="D178" s="17"/>
      <c r="E178" s="18" t="n">
        <v>1480.79</v>
      </c>
      <c r="F178" s="19" t="n">
        <v>1986.77583333333</v>
      </c>
    </row>
    <row r="179" customFormat="false" ht="14.25" hidden="false" customHeight="false" outlineLevel="0" collapsed="false">
      <c r="A179" s="15" t="n">
        <v>43449</v>
      </c>
      <c r="B179" s="16" t="n">
        <v>4908.76</v>
      </c>
      <c r="C179" s="17" t="n">
        <v>278.223333333333</v>
      </c>
      <c r="D179" s="17" t="n">
        <v>893.49</v>
      </c>
      <c r="E179" s="18"/>
      <c r="F179" s="19" t="n">
        <v>2168.49125</v>
      </c>
    </row>
    <row r="180" customFormat="false" ht="14.25" hidden="false" customHeight="false" outlineLevel="0" collapsed="false">
      <c r="A180" s="15" t="n">
        <v>43116</v>
      </c>
      <c r="B180" s="16" t="n">
        <v>30.55</v>
      </c>
      <c r="C180" s="17" t="n">
        <v>250.14</v>
      </c>
      <c r="D180" s="17"/>
      <c r="E180" s="18"/>
      <c r="F180" s="19" t="n">
        <v>195.2425</v>
      </c>
    </row>
    <row r="181" customFormat="false" ht="14.25" hidden="false" customHeight="false" outlineLevel="0" collapsed="false">
      <c r="A181" s="15" t="n">
        <v>43147</v>
      </c>
      <c r="B181" s="16"/>
      <c r="C181" s="17" t="n">
        <v>497.09</v>
      </c>
      <c r="D181" s="17"/>
      <c r="E181" s="18" t="n">
        <v>19.42</v>
      </c>
      <c r="F181" s="19" t="n">
        <v>258.255</v>
      </c>
    </row>
    <row r="182" customFormat="false" ht="14.25" hidden="false" customHeight="false" outlineLevel="0" collapsed="false">
      <c r="A182" s="15" t="n">
        <v>43175</v>
      </c>
      <c r="B182" s="16" t="n">
        <v>482.67</v>
      </c>
      <c r="C182" s="17" t="n">
        <v>3627.87333333333</v>
      </c>
      <c r="D182" s="17"/>
      <c r="E182" s="18" t="n">
        <v>342.893333333333</v>
      </c>
      <c r="F182" s="19" t="n">
        <v>1770.71</v>
      </c>
    </row>
    <row r="183" customFormat="false" ht="14.25" hidden="false" customHeight="false" outlineLevel="0" collapsed="false">
      <c r="A183" s="15" t="n">
        <v>43206</v>
      </c>
      <c r="B183" s="16"/>
      <c r="C183" s="17" t="n">
        <v>1561.152</v>
      </c>
      <c r="D183" s="17" t="n">
        <v>2119</v>
      </c>
      <c r="E183" s="18"/>
      <c r="F183" s="19" t="n">
        <v>1654.12666666667</v>
      </c>
    </row>
    <row r="184" customFormat="false" ht="14.25" hidden="false" customHeight="false" outlineLevel="0" collapsed="false">
      <c r="A184" s="15" t="n">
        <v>43236</v>
      </c>
      <c r="B184" s="16" t="n">
        <v>864.712</v>
      </c>
      <c r="C184" s="17" t="n">
        <v>538.56</v>
      </c>
      <c r="D184" s="17" t="n">
        <v>69.77</v>
      </c>
      <c r="E184" s="18"/>
      <c r="F184" s="19" t="n">
        <v>704.555714285714</v>
      </c>
    </row>
    <row r="185" customFormat="false" ht="14.25" hidden="false" customHeight="false" outlineLevel="0" collapsed="false">
      <c r="A185" s="15" t="n">
        <v>43267</v>
      </c>
      <c r="B185" s="16" t="n">
        <v>185.57</v>
      </c>
      <c r="C185" s="17" t="n">
        <v>1897.666</v>
      </c>
      <c r="D185" s="17"/>
      <c r="E185" s="18"/>
      <c r="F185" s="19" t="n">
        <v>1408.49571428571</v>
      </c>
    </row>
    <row r="186" customFormat="false" ht="14.25" hidden="false" customHeight="false" outlineLevel="0" collapsed="false">
      <c r="A186" s="15" t="n">
        <v>43297</v>
      </c>
      <c r="B186" s="16" t="n">
        <v>492.96</v>
      </c>
      <c r="C186" s="17"/>
      <c r="D186" s="17"/>
      <c r="E186" s="18"/>
      <c r="F186" s="19" t="n">
        <v>492.96</v>
      </c>
    </row>
    <row r="187" customFormat="false" ht="14.25" hidden="false" customHeight="false" outlineLevel="0" collapsed="false">
      <c r="A187" s="15" t="n">
        <v>43328</v>
      </c>
      <c r="B187" s="16" t="n">
        <v>5800.52</v>
      </c>
      <c r="C187" s="17" t="n">
        <v>107.86</v>
      </c>
      <c r="D187" s="17" t="n">
        <v>211.01</v>
      </c>
      <c r="E187" s="18"/>
      <c r="F187" s="19" t="n">
        <v>1749.07</v>
      </c>
    </row>
    <row r="188" customFormat="false" ht="14.25" hidden="false" customHeight="false" outlineLevel="0" collapsed="false">
      <c r="A188" s="15" t="n">
        <v>43359</v>
      </c>
      <c r="B188" s="16"/>
      <c r="C188" s="17"/>
      <c r="D188" s="17" t="n">
        <v>845.24</v>
      </c>
      <c r="E188" s="18"/>
      <c r="F188" s="19" t="n">
        <v>845.24</v>
      </c>
    </row>
    <row r="189" customFormat="false" ht="14.25" hidden="false" customHeight="false" outlineLevel="0" collapsed="false">
      <c r="A189" s="15" t="n">
        <v>43389</v>
      </c>
      <c r="B189" s="16"/>
      <c r="C189" s="17" t="n">
        <v>3217.555</v>
      </c>
      <c r="D189" s="17" t="n">
        <v>4651.27</v>
      </c>
      <c r="E189" s="18"/>
      <c r="F189" s="19" t="n">
        <v>3695.46</v>
      </c>
    </row>
    <row r="190" customFormat="false" ht="14.25" hidden="false" customHeight="false" outlineLevel="0" collapsed="false">
      <c r="A190" s="15" t="n">
        <v>43420</v>
      </c>
      <c r="B190" s="16"/>
      <c r="C190" s="17" t="n">
        <v>2545.88</v>
      </c>
      <c r="D190" s="17" t="n">
        <v>1964.345</v>
      </c>
      <c r="E190" s="18"/>
      <c r="F190" s="19" t="n">
        <v>2158.19</v>
      </c>
    </row>
    <row r="191" customFormat="false" ht="14.25" hidden="false" customHeight="false" outlineLevel="0" collapsed="false">
      <c r="A191" s="15" t="n">
        <v>43450</v>
      </c>
      <c r="B191" s="16" t="n">
        <v>185.35</v>
      </c>
      <c r="C191" s="17" t="n">
        <v>273.74</v>
      </c>
      <c r="D191" s="17" t="n">
        <v>299.9125</v>
      </c>
      <c r="E191" s="18" t="n">
        <v>777.43</v>
      </c>
      <c r="F191" s="19" t="n">
        <v>366.801818181818</v>
      </c>
    </row>
    <row r="192" customFormat="false" ht="14.25" hidden="false" customHeight="false" outlineLevel="0" collapsed="false">
      <c r="A192" s="15" t="n">
        <v>43117</v>
      </c>
      <c r="B192" s="16"/>
      <c r="C192" s="17" t="n">
        <v>1703.48</v>
      </c>
      <c r="D192" s="17" t="n">
        <v>5783.82</v>
      </c>
      <c r="E192" s="18"/>
      <c r="F192" s="19" t="n">
        <v>3743.65</v>
      </c>
    </row>
    <row r="193" customFormat="false" ht="14.25" hidden="false" customHeight="false" outlineLevel="0" collapsed="false">
      <c r="A193" s="15" t="n">
        <v>43148</v>
      </c>
      <c r="B193" s="16"/>
      <c r="C193" s="17" t="n">
        <v>12494.54</v>
      </c>
      <c r="D193" s="17"/>
      <c r="E193" s="18" t="n">
        <v>1591.555</v>
      </c>
      <c r="F193" s="19" t="n">
        <v>7043.0475</v>
      </c>
    </row>
    <row r="194" customFormat="false" ht="14.25" hidden="false" customHeight="false" outlineLevel="0" collapsed="false">
      <c r="A194" s="15" t="n">
        <v>43176</v>
      </c>
      <c r="B194" s="16"/>
      <c r="C194" s="17" t="n">
        <v>9701.015</v>
      </c>
      <c r="D194" s="17" t="n">
        <v>1139.51714285714</v>
      </c>
      <c r="E194" s="18"/>
      <c r="F194" s="19" t="n">
        <v>3042.07222222222</v>
      </c>
    </row>
    <row r="195" customFormat="false" ht="14.25" hidden="false" customHeight="false" outlineLevel="0" collapsed="false">
      <c r="A195" s="15" t="n">
        <v>43207</v>
      </c>
      <c r="B195" s="16" t="n">
        <v>1056.9</v>
      </c>
      <c r="C195" s="17" t="n">
        <v>33.1533333333333</v>
      </c>
      <c r="D195" s="17"/>
      <c r="E195" s="18" t="n">
        <v>148.63</v>
      </c>
      <c r="F195" s="19" t="n">
        <v>393.648333333333</v>
      </c>
    </row>
    <row r="196" customFormat="false" ht="14.25" hidden="false" customHeight="false" outlineLevel="0" collapsed="false">
      <c r="A196" s="15" t="n">
        <v>43237</v>
      </c>
      <c r="B196" s="16" t="n">
        <v>311.25</v>
      </c>
      <c r="C196" s="17"/>
      <c r="D196" s="17"/>
      <c r="E196" s="18"/>
      <c r="F196" s="19" t="n">
        <v>311.25</v>
      </c>
    </row>
    <row r="197" customFormat="false" ht="14.25" hidden="false" customHeight="false" outlineLevel="0" collapsed="false">
      <c r="A197" s="15" t="n">
        <v>43268</v>
      </c>
      <c r="B197" s="16" t="n">
        <v>252.7</v>
      </c>
      <c r="C197" s="17"/>
      <c r="D197" s="17"/>
      <c r="E197" s="18" t="n">
        <v>314.135</v>
      </c>
      <c r="F197" s="19" t="n">
        <v>293.656666666667</v>
      </c>
    </row>
    <row r="198" customFormat="false" ht="14.25" hidden="false" customHeight="false" outlineLevel="0" collapsed="false">
      <c r="A198" s="15" t="n">
        <v>43298</v>
      </c>
      <c r="B198" s="16" t="n">
        <v>1177.555</v>
      </c>
      <c r="C198" s="17" t="n">
        <v>1453.1</v>
      </c>
      <c r="D198" s="17"/>
      <c r="E198" s="18" t="n">
        <v>2753.96</v>
      </c>
      <c r="F198" s="19" t="n">
        <v>1709.42875</v>
      </c>
    </row>
    <row r="199" customFormat="false" ht="14.25" hidden="false" customHeight="false" outlineLevel="0" collapsed="false">
      <c r="A199" s="15" t="n">
        <v>43329</v>
      </c>
      <c r="B199" s="16"/>
      <c r="C199" s="17" t="n">
        <v>63.79</v>
      </c>
      <c r="D199" s="17" t="n">
        <v>826.64</v>
      </c>
      <c r="E199" s="18" t="n">
        <v>2592.01</v>
      </c>
      <c r="F199" s="19" t="n">
        <v>1160.81333333333</v>
      </c>
    </row>
    <row r="200" customFormat="false" ht="14.25" hidden="false" customHeight="false" outlineLevel="0" collapsed="false">
      <c r="A200" s="15" t="n">
        <v>43360</v>
      </c>
      <c r="B200" s="16" t="n">
        <v>5714.34</v>
      </c>
      <c r="C200" s="17"/>
      <c r="D200" s="17"/>
      <c r="E200" s="18"/>
      <c r="F200" s="19" t="n">
        <v>5714.34</v>
      </c>
    </row>
    <row r="201" customFormat="false" ht="14.25" hidden="false" customHeight="false" outlineLevel="0" collapsed="false">
      <c r="A201" s="15" t="n">
        <v>43390</v>
      </c>
      <c r="B201" s="16"/>
      <c r="C201" s="17" t="n">
        <v>5135.44333333333</v>
      </c>
      <c r="D201" s="17"/>
      <c r="E201" s="18" t="n">
        <v>518.63</v>
      </c>
      <c r="F201" s="19" t="n">
        <v>3288.718</v>
      </c>
    </row>
    <row r="202" customFormat="false" ht="14.25" hidden="false" customHeight="false" outlineLevel="0" collapsed="false">
      <c r="A202" s="15" t="n">
        <v>43421</v>
      </c>
      <c r="B202" s="16" t="n">
        <v>3861.87666666667</v>
      </c>
      <c r="C202" s="17" t="n">
        <v>660.675714285714</v>
      </c>
      <c r="D202" s="17" t="n">
        <v>663.65</v>
      </c>
      <c r="E202" s="18" t="n">
        <v>1731.13</v>
      </c>
      <c r="F202" s="19" t="n">
        <v>1550.42833333333</v>
      </c>
    </row>
    <row r="203" customFormat="false" ht="14.25" hidden="false" customHeight="false" outlineLevel="0" collapsed="false">
      <c r="A203" s="15" t="n">
        <v>43451</v>
      </c>
      <c r="B203" s="16" t="n">
        <v>58.1</v>
      </c>
      <c r="C203" s="17" t="n">
        <v>1760.22</v>
      </c>
      <c r="D203" s="17" t="n">
        <v>2410.58</v>
      </c>
      <c r="E203" s="18" t="n">
        <v>81.77</v>
      </c>
      <c r="F203" s="19" t="n">
        <v>1658.11357142857</v>
      </c>
    </row>
    <row r="204" customFormat="false" ht="14.25" hidden="false" customHeight="false" outlineLevel="0" collapsed="false">
      <c r="A204" s="15" t="n">
        <v>43118</v>
      </c>
      <c r="B204" s="16" t="n">
        <v>804.2525</v>
      </c>
      <c r="C204" s="17"/>
      <c r="D204" s="17" t="n">
        <v>118.14</v>
      </c>
      <c r="E204" s="18"/>
      <c r="F204" s="19" t="n">
        <v>575.548333333333</v>
      </c>
    </row>
    <row r="205" customFormat="false" ht="14.25" hidden="false" customHeight="false" outlineLevel="0" collapsed="false">
      <c r="A205" s="15" t="n">
        <v>43149</v>
      </c>
      <c r="B205" s="16"/>
      <c r="C205" s="17" t="n">
        <v>1843.3</v>
      </c>
      <c r="D205" s="17"/>
      <c r="E205" s="18" t="n">
        <v>2554.01</v>
      </c>
      <c r="F205" s="19" t="n">
        <v>2198.655</v>
      </c>
    </row>
    <row r="206" customFormat="false" ht="14.25" hidden="false" customHeight="false" outlineLevel="0" collapsed="false">
      <c r="A206" s="15" t="n">
        <v>43177</v>
      </c>
      <c r="B206" s="16"/>
      <c r="C206" s="17" t="n">
        <v>2761.67</v>
      </c>
      <c r="D206" s="17"/>
      <c r="E206" s="18"/>
      <c r="F206" s="19" t="n">
        <v>2761.67</v>
      </c>
    </row>
    <row r="207" customFormat="false" ht="14.25" hidden="false" customHeight="false" outlineLevel="0" collapsed="false">
      <c r="A207" s="15" t="n">
        <v>43208</v>
      </c>
      <c r="B207" s="16"/>
      <c r="C207" s="17" t="n">
        <v>124.11</v>
      </c>
      <c r="D207" s="17" t="n">
        <v>411.485</v>
      </c>
      <c r="E207" s="18"/>
      <c r="F207" s="19" t="n">
        <v>315.693333333333</v>
      </c>
    </row>
    <row r="208" customFormat="false" ht="14.25" hidden="false" customHeight="false" outlineLevel="0" collapsed="false">
      <c r="A208" s="15" t="n">
        <v>43238</v>
      </c>
      <c r="B208" s="16" t="n">
        <v>695.65</v>
      </c>
      <c r="C208" s="17" t="n">
        <v>130.6925</v>
      </c>
      <c r="D208" s="17" t="n">
        <v>1132.01</v>
      </c>
      <c r="E208" s="18"/>
      <c r="F208" s="19" t="n">
        <v>497.491428571429</v>
      </c>
    </row>
    <row r="209" customFormat="false" ht="14.25" hidden="false" customHeight="false" outlineLevel="0" collapsed="false">
      <c r="A209" s="15" t="n">
        <v>43269</v>
      </c>
      <c r="B209" s="16" t="n">
        <v>193.09</v>
      </c>
      <c r="C209" s="17" t="n">
        <v>229.66</v>
      </c>
      <c r="D209" s="17"/>
      <c r="E209" s="18" t="n">
        <v>411.745</v>
      </c>
      <c r="F209" s="19" t="n">
        <v>311.56</v>
      </c>
    </row>
    <row r="210" customFormat="false" ht="14.25" hidden="false" customHeight="false" outlineLevel="0" collapsed="false">
      <c r="A210" s="15" t="n">
        <v>43299</v>
      </c>
      <c r="B210" s="16"/>
      <c r="C210" s="17" t="n">
        <v>1598.03666666667</v>
      </c>
      <c r="D210" s="17"/>
      <c r="E210" s="18" t="n">
        <v>556.92</v>
      </c>
      <c r="F210" s="19" t="n">
        <v>1337.7575</v>
      </c>
    </row>
    <row r="211" customFormat="false" ht="14.25" hidden="false" customHeight="false" outlineLevel="0" collapsed="false">
      <c r="A211" s="15" t="n">
        <v>43330</v>
      </c>
      <c r="B211" s="16"/>
      <c r="C211" s="17" t="n">
        <v>574.49</v>
      </c>
      <c r="D211" s="17" t="n">
        <v>174.56</v>
      </c>
      <c r="E211" s="18"/>
      <c r="F211" s="19" t="n">
        <v>441.18</v>
      </c>
    </row>
    <row r="212" customFormat="false" ht="14.25" hidden="false" customHeight="false" outlineLevel="0" collapsed="false">
      <c r="A212" s="15" t="n">
        <v>43361</v>
      </c>
      <c r="B212" s="16" t="n">
        <v>3722.785</v>
      </c>
      <c r="C212" s="17" t="n">
        <v>1560.46</v>
      </c>
      <c r="D212" s="17"/>
      <c r="E212" s="18" t="n">
        <v>787.07</v>
      </c>
      <c r="F212" s="19" t="n">
        <v>1957.29857142857</v>
      </c>
    </row>
    <row r="213" customFormat="false" ht="14.25" hidden="false" customHeight="false" outlineLevel="0" collapsed="false">
      <c r="A213" s="15" t="n">
        <v>43391</v>
      </c>
      <c r="B213" s="16" t="n">
        <v>11035.2</v>
      </c>
      <c r="C213" s="17"/>
      <c r="D213" s="17"/>
      <c r="E213" s="18" t="n">
        <v>3542.335</v>
      </c>
      <c r="F213" s="19" t="n">
        <v>8038.054</v>
      </c>
    </row>
    <row r="214" customFormat="false" ht="14.25" hidden="false" customHeight="false" outlineLevel="0" collapsed="false">
      <c r="A214" s="15" t="n">
        <v>43422</v>
      </c>
      <c r="B214" s="16" t="n">
        <v>649.995</v>
      </c>
      <c r="C214" s="17" t="n">
        <v>3087.27375</v>
      </c>
      <c r="D214" s="17" t="n">
        <v>347.08</v>
      </c>
      <c r="E214" s="18" t="n">
        <v>2253.08</v>
      </c>
      <c r="F214" s="19" t="n">
        <v>2231.54125</v>
      </c>
    </row>
    <row r="215" customFormat="false" ht="14.25" hidden="false" customHeight="false" outlineLevel="0" collapsed="false">
      <c r="A215" s="15" t="n">
        <v>43452</v>
      </c>
      <c r="B215" s="16"/>
      <c r="C215" s="17" t="n">
        <v>2506.85</v>
      </c>
      <c r="D215" s="17"/>
      <c r="E215" s="18" t="n">
        <v>2823.51</v>
      </c>
      <c r="F215" s="19" t="n">
        <v>2586.015</v>
      </c>
    </row>
    <row r="216" customFormat="false" ht="14.25" hidden="false" customHeight="false" outlineLevel="0" collapsed="false">
      <c r="A216" s="15" t="n">
        <v>43119</v>
      </c>
      <c r="B216" s="16" t="n">
        <v>377.143333333333</v>
      </c>
      <c r="C216" s="17"/>
      <c r="D216" s="17"/>
      <c r="E216" s="18"/>
      <c r="F216" s="19" t="n">
        <v>377.143333333333</v>
      </c>
    </row>
    <row r="217" customFormat="false" ht="14.25" hidden="false" customHeight="false" outlineLevel="0" collapsed="false">
      <c r="A217" s="15" t="n">
        <v>43150</v>
      </c>
      <c r="B217" s="16" t="n">
        <v>2939.785</v>
      </c>
      <c r="C217" s="17" t="n">
        <v>2084.234</v>
      </c>
      <c r="D217" s="17"/>
      <c r="E217" s="18" t="n">
        <v>77.71</v>
      </c>
      <c r="F217" s="19" t="n">
        <v>2047.30625</v>
      </c>
    </row>
    <row r="218" customFormat="false" ht="14.25" hidden="false" customHeight="false" outlineLevel="0" collapsed="false">
      <c r="A218" s="15" t="n">
        <v>43178</v>
      </c>
      <c r="B218" s="16" t="n">
        <v>1040.37</v>
      </c>
      <c r="C218" s="17" t="n">
        <v>11523.845</v>
      </c>
      <c r="D218" s="17" t="n">
        <v>327.56</v>
      </c>
      <c r="E218" s="18"/>
      <c r="F218" s="19" t="n">
        <v>5091.198</v>
      </c>
    </row>
    <row r="219" customFormat="false" ht="14.25" hidden="false" customHeight="false" outlineLevel="0" collapsed="false">
      <c r="A219" s="15" t="n">
        <v>43209</v>
      </c>
      <c r="B219" s="16"/>
      <c r="C219" s="17" t="n">
        <v>1043.406</v>
      </c>
      <c r="D219" s="17" t="n">
        <v>1566.95333333333</v>
      </c>
      <c r="E219" s="18" t="n">
        <v>2994.57</v>
      </c>
      <c r="F219" s="19" t="n">
        <v>1590.703</v>
      </c>
    </row>
    <row r="220" customFormat="false" ht="14.25" hidden="false" customHeight="false" outlineLevel="0" collapsed="false">
      <c r="A220" s="15" t="n">
        <v>43239</v>
      </c>
      <c r="B220" s="16"/>
      <c r="C220" s="17" t="n">
        <v>704.645</v>
      </c>
      <c r="D220" s="17" t="n">
        <v>1475.14833333333</v>
      </c>
      <c r="E220" s="18" t="n">
        <v>786.98</v>
      </c>
      <c r="F220" s="19" t="n">
        <v>1079.26230769231</v>
      </c>
    </row>
    <row r="221" customFormat="false" ht="14.25" hidden="false" customHeight="false" outlineLevel="0" collapsed="false">
      <c r="A221" s="15" t="n">
        <v>43270</v>
      </c>
      <c r="B221" s="16" t="n">
        <v>49.81</v>
      </c>
      <c r="C221" s="17" t="n">
        <v>534.595</v>
      </c>
      <c r="D221" s="17" t="n">
        <v>1487.82</v>
      </c>
      <c r="E221" s="18"/>
      <c r="F221" s="19" t="n">
        <v>651.705</v>
      </c>
    </row>
    <row r="222" customFormat="false" ht="14.25" hidden="false" customHeight="false" outlineLevel="0" collapsed="false">
      <c r="A222" s="15" t="n">
        <v>43300</v>
      </c>
      <c r="B222" s="16"/>
      <c r="C222" s="17"/>
      <c r="D222" s="17"/>
      <c r="E222" s="18" t="n">
        <v>21.6</v>
      </c>
      <c r="F222" s="19" t="n">
        <v>21.6</v>
      </c>
    </row>
    <row r="223" customFormat="false" ht="14.25" hidden="false" customHeight="false" outlineLevel="0" collapsed="false">
      <c r="A223" s="15" t="n">
        <v>43331</v>
      </c>
      <c r="B223" s="16" t="n">
        <v>202.273333333333</v>
      </c>
      <c r="C223" s="17" t="n">
        <v>1243.77</v>
      </c>
      <c r="D223" s="17" t="n">
        <v>175.266</v>
      </c>
      <c r="E223" s="18"/>
      <c r="F223" s="19" t="n">
        <v>302.991111111111</v>
      </c>
    </row>
    <row r="224" customFormat="false" ht="14.25" hidden="false" customHeight="false" outlineLevel="0" collapsed="false">
      <c r="A224" s="15" t="n">
        <v>43362</v>
      </c>
      <c r="B224" s="16"/>
      <c r="C224" s="17"/>
      <c r="D224" s="17" t="n">
        <v>221.15</v>
      </c>
      <c r="E224" s="18"/>
      <c r="F224" s="19" t="n">
        <v>221.15</v>
      </c>
    </row>
    <row r="225" customFormat="false" ht="14.25" hidden="false" customHeight="false" outlineLevel="0" collapsed="false">
      <c r="A225" s="15" t="n">
        <v>43392</v>
      </c>
      <c r="B225" s="16" t="n">
        <v>387.62</v>
      </c>
      <c r="C225" s="17" t="n">
        <v>48.48</v>
      </c>
      <c r="D225" s="17" t="n">
        <v>1071.8</v>
      </c>
      <c r="E225" s="18" t="n">
        <v>1509.76333333333</v>
      </c>
      <c r="F225" s="19" t="n">
        <v>1037.33230769231</v>
      </c>
    </row>
    <row r="226" customFormat="false" ht="14.25" hidden="false" customHeight="false" outlineLevel="0" collapsed="false">
      <c r="A226" s="15" t="n">
        <v>43423</v>
      </c>
      <c r="B226" s="16"/>
      <c r="C226" s="17"/>
      <c r="D226" s="17"/>
      <c r="E226" s="18" t="n">
        <v>1180.73</v>
      </c>
      <c r="F226" s="19" t="n">
        <v>1180.73</v>
      </c>
    </row>
    <row r="227" customFormat="false" ht="14.25" hidden="false" customHeight="false" outlineLevel="0" collapsed="false">
      <c r="A227" s="15" t="n">
        <v>43453</v>
      </c>
      <c r="B227" s="16" t="n">
        <v>776.61</v>
      </c>
      <c r="C227" s="17" t="n">
        <v>576.95</v>
      </c>
      <c r="D227" s="17" t="n">
        <v>1441.58</v>
      </c>
      <c r="E227" s="18" t="n">
        <v>840.45</v>
      </c>
      <c r="F227" s="19" t="n">
        <v>1004.45555555556</v>
      </c>
    </row>
    <row r="228" customFormat="false" ht="14.25" hidden="false" customHeight="false" outlineLevel="0" collapsed="false">
      <c r="A228" s="15" t="n">
        <v>43120</v>
      </c>
      <c r="B228" s="16" t="n">
        <v>666.07</v>
      </c>
      <c r="C228" s="17" t="n">
        <v>201.57</v>
      </c>
      <c r="D228" s="17"/>
      <c r="E228" s="18"/>
      <c r="F228" s="19" t="n">
        <v>549.945</v>
      </c>
    </row>
    <row r="229" customFormat="false" ht="14.25" hidden="false" customHeight="false" outlineLevel="0" collapsed="false">
      <c r="A229" s="15" t="n">
        <v>43151</v>
      </c>
      <c r="B229" s="16" t="n">
        <v>1311.19</v>
      </c>
      <c r="C229" s="17" t="n">
        <v>649.57</v>
      </c>
      <c r="D229" s="17"/>
      <c r="E229" s="18"/>
      <c r="F229" s="19" t="n">
        <v>759.84</v>
      </c>
    </row>
    <row r="230" customFormat="false" ht="14.25" hidden="false" customHeight="false" outlineLevel="0" collapsed="false">
      <c r="A230" s="15" t="n">
        <v>43179</v>
      </c>
      <c r="B230" s="16"/>
      <c r="C230" s="17" t="n">
        <v>1507.91666666667</v>
      </c>
      <c r="D230" s="17"/>
      <c r="E230" s="18" t="n">
        <v>118.73</v>
      </c>
      <c r="F230" s="19" t="n">
        <v>1160.62</v>
      </c>
    </row>
    <row r="231" customFormat="false" ht="14.25" hidden="false" customHeight="false" outlineLevel="0" collapsed="false">
      <c r="A231" s="15" t="n">
        <v>43210</v>
      </c>
      <c r="B231" s="16"/>
      <c r="C231" s="17"/>
      <c r="D231" s="17" t="n">
        <v>10979.54</v>
      </c>
      <c r="E231" s="18" t="n">
        <v>499.62</v>
      </c>
      <c r="F231" s="19" t="n">
        <v>3992.92666666667</v>
      </c>
    </row>
    <row r="232" customFormat="false" ht="14.25" hidden="false" customHeight="false" outlineLevel="0" collapsed="false">
      <c r="A232" s="15" t="n">
        <v>43240</v>
      </c>
      <c r="B232" s="16" t="n">
        <v>376.395</v>
      </c>
      <c r="C232" s="17" t="n">
        <v>2826.94</v>
      </c>
      <c r="D232" s="17" t="n">
        <v>217.793333333333</v>
      </c>
      <c r="E232" s="18"/>
      <c r="F232" s="19" t="n">
        <v>1554.087</v>
      </c>
    </row>
    <row r="233" customFormat="false" ht="14.25" hidden="false" customHeight="false" outlineLevel="0" collapsed="false">
      <c r="A233" s="15" t="n">
        <v>43271</v>
      </c>
      <c r="B233" s="16"/>
      <c r="C233" s="17"/>
      <c r="D233" s="17" t="n">
        <v>374.1525</v>
      </c>
      <c r="E233" s="18"/>
      <c r="F233" s="19" t="n">
        <v>374.1525</v>
      </c>
    </row>
    <row r="234" customFormat="false" ht="14.25" hidden="false" customHeight="false" outlineLevel="0" collapsed="false">
      <c r="A234" s="15" t="n">
        <v>43301</v>
      </c>
      <c r="B234" s="16"/>
      <c r="C234" s="17" t="n">
        <v>6484.14333333333</v>
      </c>
      <c r="D234" s="17" t="n">
        <v>3693.795</v>
      </c>
      <c r="E234" s="18" t="n">
        <v>125.54</v>
      </c>
      <c r="F234" s="19" t="n">
        <v>4494.26</v>
      </c>
    </row>
    <row r="235" customFormat="false" ht="14.25" hidden="false" customHeight="false" outlineLevel="0" collapsed="false">
      <c r="A235" s="15" t="n">
        <v>43332</v>
      </c>
      <c r="B235" s="16" t="n">
        <v>1344.67333333333</v>
      </c>
      <c r="C235" s="17"/>
      <c r="D235" s="17"/>
      <c r="E235" s="18" t="n">
        <v>466.055</v>
      </c>
      <c r="F235" s="19" t="n">
        <v>993.226</v>
      </c>
    </row>
    <row r="236" customFormat="false" ht="14.25" hidden="false" customHeight="false" outlineLevel="0" collapsed="false">
      <c r="A236" s="15" t="n">
        <v>43363</v>
      </c>
      <c r="B236" s="16"/>
      <c r="C236" s="17"/>
      <c r="D236" s="17"/>
      <c r="E236" s="18" t="n">
        <v>22520.01</v>
      </c>
      <c r="F236" s="19" t="n">
        <v>22520.01</v>
      </c>
    </row>
    <row r="237" customFormat="false" ht="14.25" hidden="false" customHeight="false" outlineLevel="0" collapsed="false">
      <c r="A237" s="15" t="n">
        <v>43393</v>
      </c>
      <c r="B237" s="16"/>
      <c r="C237" s="17" t="n">
        <v>3817.96</v>
      </c>
      <c r="D237" s="17"/>
      <c r="E237" s="18" t="n">
        <v>343.69</v>
      </c>
      <c r="F237" s="19" t="n">
        <v>2659.87</v>
      </c>
    </row>
    <row r="238" customFormat="false" ht="14.25" hidden="false" customHeight="false" outlineLevel="0" collapsed="false">
      <c r="A238" s="15" t="n">
        <v>43424</v>
      </c>
      <c r="B238" s="16" t="n">
        <v>109.3</v>
      </c>
      <c r="C238" s="17"/>
      <c r="D238" s="17" t="n">
        <v>134.04</v>
      </c>
      <c r="E238" s="18" t="n">
        <v>694.655</v>
      </c>
      <c r="F238" s="19" t="n">
        <v>408.1625</v>
      </c>
    </row>
    <row r="239" customFormat="false" ht="14.25" hidden="false" customHeight="false" outlineLevel="0" collapsed="false">
      <c r="A239" s="15" t="n">
        <v>43454</v>
      </c>
      <c r="B239" s="16" t="n">
        <v>325.84</v>
      </c>
      <c r="C239" s="17" t="n">
        <v>1879.04</v>
      </c>
      <c r="D239" s="17" t="n">
        <v>14304.82</v>
      </c>
      <c r="E239" s="18" t="n">
        <v>764.815</v>
      </c>
      <c r="F239" s="19" t="n">
        <v>5390.69166666667</v>
      </c>
    </row>
    <row r="240" customFormat="false" ht="14.25" hidden="false" customHeight="false" outlineLevel="0" collapsed="false">
      <c r="A240" s="15" t="n">
        <v>43121</v>
      </c>
      <c r="B240" s="16" t="n">
        <v>1131.8925</v>
      </c>
      <c r="C240" s="17" t="n">
        <v>41.47</v>
      </c>
      <c r="D240" s="17"/>
      <c r="E240" s="18" t="n">
        <v>1470.93</v>
      </c>
      <c r="F240" s="19" t="n">
        <v>1006.66166666667</v>
      </c>
    </row>
    <row r="241" customFormat="false" ht="14.25" hidden="false" customHeight="false" outlineLevel="0" collapsed="false">
      <c r="A241" s="15" t="n">
        <v>43152</v>
      </c>
      <c r="B241" s="16"/>
      <c r="C241" s="17"/>
      <c r="D241" s="17" t="n">
        <v>1587.86666666667</v>
      </c>
      <c r="E241" s="18" t="n">
        <v>84.86</v>
      </c>
      <c r="F241" s="19" t="n">
        <v>986.664</v>
      </c>
    </row>
    <row r="242" customFormat="false" ht="14.25" hidden="false" customHeight="false" outlineLevel="0" collapsed="false">
      <c r="A242" s="15" t="n">
        <v>43180</v>
      </c>
      <c r="B242" s="16" t="n">
        <v>174.7</v>
      </c>
      <c r="C242" s="17"/>
      <c r="D242" s="17"/>
      <c r="E242" s="18" t="n">
        <v>2033.24</v>
      </c>
      <c r="F242" s="19" t="n">
        <v>639.335</v>
      </c>
    </row>
    <row r="243" customFormat="false" ht="14.25" hidden="false" customHeight="false" outlineLevel="0" collapsed="false">
      <c r="A243" s="15" t="n">
        <v>43211</v>
      </c>
      <c r="B243" s="16" t="n">
        <v>30.08</v>
      </c>
      <c r="C243" s="17" t="n">
        <v>293.123333333333</v>
      </c>
      <c r="D243" s="17" t="n">
        <v>2073.66</v>
      </c>
      <c r="E243" s="18" t="n">
        <v>12737.87</v>
      </c>
      <c r="F243" s="19" t="n">
        <v>2542.09142857143</v>
      </c>
    </row>
    <row r="244" customFormat="false" ht="14.25" hidden="false" customHeight="false" outlineLevel="0" collapsed="false">
      <c r="A244" s="15" t="n">
        <v>43241</v>
      </c>
      <c r="B244" s="16"/>
      <c r="C244" s="17" t="n">
        <v>4620.44</v>
      </c>
      <c r="D244" s="17" t="n">
        <v>1250.06</v>
      </c>
      <c r="E244" s="18"/>
      <c r="F244" s="19" t="n">
        <v>4199.1425</v>
      </c>
    </row>
    <row r="245" customFormat="false" ht="14.25" hidden="false" customHeight="false" outlineLevel="0" collapsed="false">
      <c r="A245" s="15" t="n">
        <v>43272</v>
      </c>
      <c r="B245" s="16" t="n">
        <v>2843.798</v>
      </c>
      <c r="C245" s="17" t="n">
        <v>1356.7</v>
      </c>
      <c r="D245" s="17" t="n">
        <v>2522.76833333333</v>
      </c>
      <c r="E245" s="18" t="n">
        <v>447.13</v>
      </c>
      <c r="F245" s="19" t="n">
        <v>2322.58071428571</v>
      </c>
    </row>
    <row r="246" customFormat="false" ht="14.25" hidden="false" customHeight="false" outlineLevel="0" collapsed="false">
      <c r="A246" s="15" t="n">
        <v>43302</v>
      </c>
      <c r="B246" s="16" t="n">
        <v>3539.86</v>
      </c>
      <c r="C246" s="17" t="n">
        <v>1045.9925</v>
      </c>
      <c r="D246" s="17"/>
      <c r="E246" s="18" t="n">
        <v>206.78</v>
      </c>
      <c r="F246" s="19" t="n">
        <v>1321.76833333333</v>
      </c>
    </row>
    <row r="247" customFormat="false" ht="14.25" hidden="false" customHeight="false" outlineLevel="0" collapsed="false">
      <c r="A247" s="15" t="n">
        <v>43333</v>
      </c>
      <c r="B247" s="16"/>
      <c r="C247" s="17"/>
      <c r="D247" s="17" t="n">
        <v>7328.51</v>
      </c>
      <c r="E247" s="18"/>
      <c r="F247" s="19" t="n">
        <v>7328.51</v>
      </c>
    </row>
    <row r="248" customFormat="false" ht="14.25" hidden="false" customHeight="false" outlineLevel="0" collapsed="false">
      <c r="A248" s="15" t="n">
        <v>43364</v>
      </c>
      <c r="B248" s="16"/>
      <c r="C248" s="17" t="n">
        <v>2101.676</v>
      </c>
      <c r="D248" s="17" t="n">
        <v>4443.665</v>
      </c>
      <c r="E248" s="18" t="n">
        <v>277.986666666667</v>
      </c>
      <c r="F248" s="19" t="n">
        <v>2022.967</v>
      </c>
    </row>
    <row r="249" customFormat="false" ht="14.25" hidden="false" customHeight="false" outlineLevel="0" collapsed="false">
      <c r="A249" s="15" t="n">
        <v>43394</v>
      </c>
      <c r="B249" s="16"/>
      <c r="C249" s="17" t="n">
        <v>1156.745</v>
      </c>
      <c r="D249" s="17" t="n">
        <v>236.24</v>
      </c>
      <c r="E249" s="18"/>
      <c r="F249" s="19" t="n">
        <v>972.644</v>
      </c>
    </row>
    <row r="250" customFormat="false" ht="14.25" hidden="false" customHeight="false" outlineLevel="0" collapsed="false">
      <c r="A250" s="15" t="n">
        <v>43425</v>
      </c>
      <c r="B250" s="16" t="n">
        <v>5211.8475</v>
      </c>
      <c r="C250" s="17"/>
      <c r="D250" s="17" t="n">
        <v>199.1075</v>
      </c>
      <c r="E250" s="18"/>
      <c r="F250" s="19" t="n">
        <v>2705.4775</v>
      </c>
    </row>
    <row r="251" customFormat="false" ht="14.25" hidden="false" customHeight="false" outlineLevel="0" collapsed="false">
      <c r="A251" s="15" t="n">
        <v>43455</v>
      </c>
      <c r="B251" s="16"/>
      <c r="C251" s="17" t="n">
        <v>111.95</v>
      </c>
      <c r="D251" s="17" t="n">
        <v>3775.865</v>
      </c>
      <c r="E251" s="18" t="n">
        <v>77.84</v>
      </c>
      <c r="F251" s="19" t="n">
        <v>1570.694</v>
      </c>
    </row>
    <row r="252" customFormat="false" ht="14.25" hidden="false" customHeight="false" outlineLevel="0" collapsed="false">
      <c r="A252" s="15" t="n">
        <v>43122</v>
      </c>
      <c r="B252" s="16"/>
      <c r="C252" s="17"/>
      <c r="D252" s="17" t="n">
        <v>423.88</v>
      </c>
      <c r="E252" s="18"/>
      <c r="F252" s="19" t="n">
        <v>423.88</v>
      </c>
    </row>
    <row r="253" customFormat="false" ht="14.25" hidden="false" customHeight="false" outlineLevel="0" collapsed="false">
      <c r="A253" s="15" t="n">
        <v>43153</v>
      </c>
      <c r="B253" s="16" t="n">
        <v>378.37</v>
      </c>
      <c r="C253" s="17"/>
      <c r="D253" s="17"/>
      <c r="E253" s="18"/>
      <c r="F253" s="19" t="n">
        <v>378.37</v>
      </c>
    </row>
    <row r="254" customFormat="false" ht="14.25" hidden="false" customHeight="false" outlineLevel="0" collapsed="false">
      <c r="A254" s="15" t="n">
        <v>43181</v>
      </c>
      <c r="B254" s="16"/>
      <c r="C254" s="17" t="n">
        <v>213.31</v>
      </c>
      <c r="D254" s="17"/>
      <c r="E254" s="18" t="n">
        <v>184.53</v>
      </c>
      <c r="F254" s="19" t="n">
        <v>198.92</v>
      </c>
    </row>
    <row r="255" customFormat="false" ht="14.25" hidden="false" customHeight="false" outlineLevel="0" collapsed="false">
      <c r="A255" s="15" t="n">
        <v>43212</v>
      </c>
      <c r="B255" s="16" t="n">
        <v>817.115</v>
      </c>
      <c r="C255" s="17" t="n">
        <v>319.14</v>
      </c>
      <c r="D255" s="17"/>
      <c r="E255" s="18"/>
      <c r="F255" s="19" t="n">
        <v>568.1275</v>
      </c>
    </row>
    <row r="256" customFormat="false" ht="14.25" hidden="false" customHeight="false" outlineLevel="0" collapsed="false">
      <c r="A256" s="15" t="n">
        <v>43242</v>
      </c>
      <c r="B256" s="16" t="n">
        <v>121.26</v>
      </c>
      <c r="C256" s="17" t="n">
        <v>889.14</v>
      </c>
      <c r="D256" s="17" t="n">
        <v>3301.095</v>
      </c>
      <c r="E256" s="18"/>
      <c r="F256" s="19" t="n">
        <v>1700.346</v>
      </c>
    </row>
    <row r="257" customFormat="false" ht="14.25" hidden="false" customHeight="false" outlineLevel="0" collapsed="false">
      <c r="A257" s="15" t="n">
        <v>43273</v>
      </c>
      <c r="B257" s="16" t="n">
        <v>1158.22</v>
      </c>
      <c r="C257" s="17" t="n">
        <v>611.97</v>
      </c>
      <c r="D257" s="17" t="n">
        <v>1801.42</v>
      </c>
      <c r="E257" s="18"/>
      <c r="F257" s="19" t="n">
        <v>1045.895</v>
      </c>
    </row>
    <row r="258" customFormat="false" ht="14.25" hidden="false" customHeight="false" outlineLevel="0" collapsed="false">
      <c r="A258" s="15" t="n">
        <v>43303</v>
      </c>
      <c r="B258" s="16" t="n">
        <v>89.98</v>
      </c>
      <c r="C258" s="17" t="n">
        <v>483.855</v>
      </c>
      <c r="D258" s="17" t="n">
        <v>2122.08</v>
      </c>
      <c r="E258" s="18" t="n">
        <v>82.185</v>
      </c>
      <c r="F258" s="19" t="n">
        <v>948.5375</v>
      </c>
    </row>
    <row r="259" customFormat="false" ht="14.25" hidden="false" customHeight="false" outlineLevel="0" collapsed="false">
      <c r="A259" s="15" t="n">
        <v>43334</v>
      </c>
      <c r="B259" s="16" t="n">
        <v>3796.295</v>
      </c>
      <c r="C259" s="17" t="n">
        <v>2095.15</v>
      </c>
      <c r="D259" s="17" t="n">
        <v>5666.92</v>
      </c>
      <c r="E259" s="18"/>
      <c r="F259" s="19" t="n">
        <v>3091.44428571429</v>
      </c>
    </row>
    <row r="260" customFormat="false" ht="14.25" hidden="false" customHeight="false" outlineLevel="0" collapsed="false">
      <c r="A260" s="15" t="n">
        <v>43365</v>
      </c>
      <c r="B260" s="16"/>
      <c r="C260" s="17"/>
      <c r="D260" s="17" t="n">
        <v>498.194</v>
      </c>
      <c r="E260" s="18" t="n">
        <v>128.065</v>
      </c>
      <c r="F260" s="19" t="n">
        <v>392.442857142857</v>
      </c>
    </row>
    <row r="261" customFormat="false" ht="14.25" hidden="false" customHeight="false" outlineLevel="0" collapsed="false">
      <c r="A261" s="15" t="n">
        <v>43395</v>
      </c>
      <c r="B261" s="16"/>
      <c r="C261" s="17" t="n">
        <v>1179.44</v>
      </c>
      <c r="D261" s="17"/>
      <c r="E261" s="18"/>
      <c r="F261" s="19" t="n">
        <v>1179.44</v>
      </c>
    </row>
    <row r="262" customFormat="false" ht="14.25" hidden="false" customHeight="false" outlineLevel="0" collapsed="false">
      <c r="A262" s="15" t="n">
        <v>43426</v>
      </c>
      <c r="B262" s="16"/>
      <c r="C262" s="17" t="n">
        <v>73.47</v>
      </c>
      <c r="D262" s="17"/>
      <c r="E262" s="18"/>
      <c r="F262" s="19" t="n">
        <v>73.47</v>
      </c>
    </row>
    <row r="263" customFormat="false" ht="14.25" hidden="false" customHeight="false" outlineLevel="0" collapsed="false">
      <c r="A263" s="15" t="n">
        <v>43123</v>
      </c>
      <c r="B263" s="16"/>
      <c r="C263" s="17" t="n">
        <v>591.865</v>
      </c>
      <c r="D263" s="17"/>
      <c r="E263" s="18" t="n">
        <v>238.036666666667</v>
      </c>
      <c r="F263" s="19" t="n">
        <v>379.568</v>
      </c>
    </row>
    <row r="264" customFormat="false" ht="14.25" hidden="false" customHeight="false" outlineLevel="0" collapsed="false">
      <c r="A264" s="15" t="n">
        <v>43154</v>
      </c>
      <c r="B264" s="16"/>
      <c r="C264" s="17" t="n">
        <v>222.265</v>
      </c>
      <c r="D264" s="17" t="n">
        <v>2618.79833333333</v>
      </c>
      <c r="E264" s="18" t="n">
        <v>1304.545</v>
      </c>
      <c r="F264" s="19" t="n">
        <v>1876.641</v>
      </c>
    </row>
    <row r="265" customFormat="false" ht="14.25" hidden="false" customHeight="false" outlineLevel="0" collapsed="false">
      <c r="A265" s="15" t="n">
        <v>43182</v>
      </c>
      <c r="B265" s="16" t="n">
        <v>271.66</v>
      </c>
      <c r="C265" s="17" t="n">
        <v>1532.84</v>
      </c>
      <c r="D265" s="17" t="n">
        <v>134.305</v>
      </c>
      <c r="E265" s="18"/>
      <c r="F265" s="19" t="n">
        <v>721.19</v>
      </c>
    </row>
    <row r="266" customFormat="false" ht="14.25" hidden="false" customHeight="false" outlineLevel="0" collapsed="false">
      <c r="A266" s="15" t="n">
        <v>43213</v>
      </c>
      <c r="B266" s="16" t="n">
        <v>5938.28</v>
      </c>
      <c r="C266" s="17" t="n">
        <v>1712.91</v>
      </c>
      <c r="D266" s="17"/>
      <c r="E266" s="18"/>
      <c r="F266" s="19" t="n">
        <v>3825.595</v>
      </c>
    </row>
    <row r="267" customFormat="false" ht="14.25" hidden="false" customHeight="false" outlineLevel="0" collapsed="false">
      <c r="A267" s="15" t="n">
        <v>43243</v>
      </c>
      <c r="B267" s="16"/>
      <c r="C267" s="17" t="n">
        <v>576.79</v>
      </c>
      <c r="D267" s="17" t="n">
        <v>313.92</v>
      </c>
      <c r="E267" s="18"/>
      <c r="F267" s="19" t="n">
        <v>379.6375</v>
      </c>
    </row>
    <row r="268" customFormat="false" ht="14.25" hidden="false" customHeight="false" outlineLevel="0" collapsed="false">
      <c r="A268" s="15" t="n">
        <v>43274</v>
      </c>
      <c r="B268" s="16" t="n">
        <v>1338.68</v>
      </c>
      <c r="C268" s="17"/>
      <c r="D268" s="17" t="n">
        <v>7331.09</v>
      </c>
      <c r="E268" s="18"/>
      <c r="F268" s="19" t="n">
        <v>4334.885</v>
      </c>
    </row>
    <row r="269" customFormat="false" ht="14.25" hidden="false" customHeight="false" outlineLevel="0" collapsed="false">
      <c r="A269" s="15" t="n">
        <v>43304</v>
      </c>
      <c r="B269" s="16" t="n">
        <v>2212.5325</v>
      </c>
      <c r="C269" s="17" t="n">
        <v>78.79</v>
      </c>
      <c r="D269" s="17"/>
      <c r="E269" s="18"/>
      <c r="F269" s="19" t="n">
        <v>1785.784</v>
      </c>
    </row>
    <row r="270" customFormat="false" ht="14.25" hidden="false" customHeight="false" outlineLevel="0" collapsed="false">
      <c r="A270" s="15" t="n">
        <v>43335</v>
      </c>
      <c r="B270" s="16" t="n">
        <v>179.28</v>
      </c>
      <c r="C270" s="17"/>
      <c r="D270" s="17"/>
      <c r="E270" s="18" t="n">
        <v>5044.845</v>
      </c>
      <c r="F270" s="19" t="n">
        <v>3422.99</v>
      </c>
    </row>
    <row r="271" customFormat="false" ht="14.25" hidden="false" customHeight="false" outlineLevel="0" collapsed="false">
      <c r="A271" s="15" t="n">
        <v>43366</v>
      </c>
      <c r="B271" s="16" t="n">
        <v>620.976666666667</v>
      </c>
      <c r="C271" s="17"/>
      <c r="D271" s="17" t="n">
        <v>1646.1625</v>
      </c>
      <c r="E271" s="18"/>
      <c r="F271" s="19" t="n">
        <v>1206.79714285714</v>
      </c>
    </row>
    <row r="272" customFormat="false" ht="14.25" hidden="false" customHeight="false" outlineLevel="0" collapsed="false">
      <c r="A272" s="15" t="n">
        <v>43396</v>
      </c>
      <c r="B272" s="16"/>
      <c r="C272" s="17"/>
      <c r="D272" s="17" t="n">
        <v>3535.935</v>
      </c>
      <c r="E272" s="18"/>
      <c r="F272" s="19" t="n">
        <v>3535.935</v>
      </c>
    </row>
    <row r="273" customFormat="false" ht="14.25" hidden="false" customHeight="false" outlineLevel="0" collapsed="false">
      <c r="A273" s="15" t="n">
        <v>43427</v>
      </c>
      <c r="B273" s="16"/>
      <c r="C273" s="17" t="n">
        <v>847.66</v>
      </c>
      <c r="D273" s="17"/>
      <c r="E273" s="18"/>
      <c r="F273" s="19" t="n">
        <v>847.66</v>
      </c>
    </row>
    <row r="274" customFormat="false" ht="14.25" hidden="false" customHeight="false" outlineLevel="0" collapsed="false">
      <c r="A274" s="15" t="n">
        <v>43457</v>
      </c>
      <c r="B274" s="16" t="n">
        <v>1478.96666666667</v>
      </c>
      <c r="C274" s="17" t="n">
        <v>3230.77</v>
      </c>
      <c r="D274" s="17"/>
      <c r="E274" s="18" t="n">
        <v>592.536666666667</v>
      </c>
      <c r="F274" s="19" t="n">
        <v>1349.32571428571</v>
      </c>
    </row>
    <row r="275" customFormat="false" ht="14.25" hidden="false" customHeight="false" outlineLevel="0" collapsed="false">
      <c r="A275" s="15" t="n">
        <v>43124</v>
      </c>
      <c r="B275" s="16" t="n">
        <v>2764.925</v>
      </c>
      <c r="C275" s="17"/>
      <c r="D275" s="17" t="n">
        <v>283.92</v>
      </c>
      <c r="E275" s="18"/>
      <c r="F275" s="19" t="n">
        <v>1937.92333333333</v>
      </c>
    </row>
    <row r="276" customFormat="false" ht="14.25" hidden="false" customHeight="false" outlineLevel="0" collapsed="false">
      <c r="A276" s="15" t="n">
        <v>43155</v>
      </c>
      <c r="B276" s="16"/>
      <c r="C276" s="17" t="n">
        <v>3000.46</v>
      </c>
      <c r="D276" s="17"/>
      <c r="E276" s="18"/>
      <c r="F276" s="19" t="n">
        <v>3000.46</v>
      </c>
    </row>
    <row r="277" customFormat="false" ht="14.25" hidden="false" customHeight="false" outlineLevel="0" collapsed="false">
      <c r="A277" s="15" t="n">
        <v>43183</v>
      </c>
      <c r="B277" s="16"/>
      <c r="C277" s="17" t="n">
        <v>433</v>
      </c>
      <c r="D277" s="17"/>
      <c r="E277" s="18"/>
      <c r="F277" s="19" t="n">
        <v>433</v>
      </c>
    </row>
    <row r="278" customFormat="false" ht="14.25" hidden="false" customHeight="false" outlineLevel="0" collapsed="false">
      <c r="A278" s="15" t="n">
        <v>43214</v>
      </c>
      <c r="B278" s="16" t="n">
        <v>61.03</v>
      </c>
      <c r="C278" s="17" t="n">
        <v>1334.928</v>
      </c>
      <c r="D278" s="17"/>
      <c r="E278" s="18"/>
      <c r="F278" s="19" t="n">
        <v>1122.61166666667</v>
      </c>
    </row>
    <row r="279" customFormat="false" ht="14.25" hidden="false" customHeight="false" outlineLevel="0" collapsed="false">
      <c r="A279" s="15" t="n">
        <v>43244</v>
      </c>
      <c r="B279" s="16"/>
      <c r="C279" s="17" t="n">
        <v>13329.66</v>
      </c>
      <c r="D279" s="17" t="n">
        <v>126.935</v>
      </c>
      <c r="E279" s="18" t="n">
        <v>8065.19</v>
      </c>
      <c r="F279" s="19" t="n">
        <v>6296.51666666667</v>
      </c>
    </row>
    <row r="280" customFormat="false" ht="14.25" hidden="false" customHeight="false" outlineLevel="0" collapsed="false">
      <c r="A280" s="15" t="n">
        <v>43275</v>
      </c>
      <c r="B280" s="16"/>
      <c r="C280" s="17" t="n">
        <v>948.44</v>
      </c>
      <c r="D280" s="17"/>
      <c r="E280" s="18" t="n">
        <v>1612.32</v>
      </c>
      <c r="F280" s="19" t="n">
        <v>1081.216</v>
      </c>
    </row>
    <row r="281" customFormat="false" ht="14.25" hidden="false" customHeight="false" outlineLevel="0" collapsed="false">
      <c r="A281" s="15" t="n">
        <v>43305</v>
      </c>
      <c r="B281" s="16" t="n">
        <v>901.583333333333</v>
      </c>
      <c r="C281" s="17" t="n">
        <v>2247.09</v>
      </c>
      <c r="D281" s="17" t="n">
        <v>2022.04</v>
      </c>
      <c r="E281" s="18" t="n">
        <v>805.705</v>
      </c>
      <c r="F281" s="19" t="n">
        <v>1510.151</v>
      </c>
    </row>
    <row r="282" customFormat="false" ht="14.25" hidden="false" customHeight="false" outlineLevel="0" collapsed="false">
      <c r="A282" s="15" t="n">
        <v>43336</v>
      </c>
      <c r="B282" s="16" t="n">
        <v>4663.725</v>
      </c>
      <c r="C282" s="17" t="n">
        <v>694.985</v>
      </c>
      <c r="D282" s="17" t="n">
        <v>5239.72</v>
      </c>
      <c r="E282" s="18" t="n">
        <v>728.52</v>
      </c>
      <c r="F282" s="19" t="n">
        <v>1946.56</v>
      </c>
    </row>
    <row r="283" customFormat="false" ht="14.25" hidden="false" customHeight="false" outlineLevel="0" collapsed="false">
      <c r="A283" s="15" t="n">
        <v>43367</v>
      </c>
      <c r="B283" s="16" t="n">
        <v>1036.245</v>
      </c>
      <c r="C283" s="17" t="n">
        <v>7212.04</v>
      </c>
      <c r="D283" s="17"/>
      <c r="E283" s="18"/>
      <c r="F283" s="19" t="n">
        <v>4124.1425</v>
      </c>
    </row>
    <row r="284" customFormat="false" ht="14.25" hidden="false" customHeight="false" outlineLevel="0" collapsed="false">
      <c r="A284" s="15" t="n">
        <v>43397</v>
      </c>
      <c r="B284" s="16"/>
      <c r="C284" s="17" t="n">
        <v>7385.69</v>
      </c>
      <c r="D284" s="17" t="n">
        <v>4713.93</v>
      </c>
      <c r="E284" s="18" t="n">
        <v>1678.83</v>
      </c>
      <c r="F284" s="19" t="n">
        <v>4034.242</v>
      </c>
    </row>
    <row r="285" customFormat="false" ht="14.25" hidden="false" customHeight="false" outlineLevel="0" collapsed="false">
      <c r="A285" s="15" t="n">
        <v>43428</v>
      </c>
      <c r="B285" s="16" t="n">
        <v>43.06</v>
      </c>
      <c r="C285" s="17"/>
      <c r="D285" s="17"/>
      <c r="E285" s="18" t="n">
        <v>14822.4</v>
      </c>
      <c r="F285" s="19" t="n">
        <v>9895.95333333333</v>
      </c>
    </row>
    <row r="286" customFormat="false" ht="14.25" hidden="false" customHeight="false" outlineLevel="0" collapsed="false">
      <c r="A286" s="15" t="n">
        <v>43458</v>
      </c>
      <c r="B286" s="16" t="n">
        <v>2614.2</v>
      </c>
      <c r="C286" s="17" t="n">
        <v>952.575</v>
      </c>
      <c r="D286" s="17" t="n">
        <v>1770.53666666667</v>
      </c>
      <c r="E286" s="18"/>
      <c r="F286" s="19" t="n">
        <v>1777.88</v>
      </c>
    </row>
    <row r="287" customFormat="false" ht="14.25" hidden="false" customHeight="false" outlineLevel="0" collapsed="false">
      <c r="A287" s="15" t="n">
        <v>43125</v>
      </c>
      <c r="B287" s="16"/>
      <c r="C287" s="17" t="n">
        <v>4683.7</v>
      </c>
      <c r="D287" s="17" t="n">
        <v>1879.41</v>
      </c>
      <c r="E287" s="18" t="n">
        <v>702.75</v>
      </c>
      <c r="F287" s="19" t="n">
        <v>2530.462</v>
      </c>
    </row>
    <row r="288" customFormat="false" ht="14.25" hidden="false" customHeight="false" outlineLevel="0" collapsed="false">
      <c r="A288" s="15" t="n">
        <v>43156</v>
      </c>
      <c r="B288" s="16" t="n">
        <v>2327.81666666667</v>
      </c>
      <c r="C288" s="17" t="n">
        <v>335.8525</v>
      </c>
      <c r="D288" s="17" t="n">
        <v>544.525</v>
      </c>
      <c r="E288" s="18"/>
      <c r="F288" s="19" t="n">
        <v>1046.21222222222</v>
      </c>
    </row>
    <row r="289" customFormat="false" ht="14.25" hidden="false" customHeight="false" outlineLevel="0" collapsed="false">
      <c r="A289" s="15" t="n">
        <v>43184</v>
      </c>
      <c r="B289" s="16" t="n">
        <v>2369.90333333333</v>
      </c>
      <c r="C289" s="17" t="n">
        <v>5841.906</v>
      </c>
      <c r="D289" s="17"/>
      <c r="E289" s="18"/>
      <c r="F289" s="19" t="n">
        <v>4539.905</v>
      </c>
    </row>
    <row r="290" customFormat="false" ht="14.25" hidden="false" customHeight="false" outlineLevel="0" collapsed="false">
      <c r="A290" s="15" t="n">
        <v>43245</v>
      </c>
      <c r="B290" s="16"/>
      <c r="C290" s="17" t="n">
        <v>420.29</v>
      </c>
      <c r="D290" s="17"/>
      <c r="E290" s="18" t="n">
        <v>442.04</v>
      </c>
      <c r="F290" s="19" t="n">
        <v>425.7275</v>
      </c>
    </row>
    <row r="291" customFormat="false" ht="14.25" hidden="false" customHeight="false" outlineLevel="0" collapsed="false">
      <c r="A291" s="15" t="n">
        <v>43276</v>
      </c>
      <c r="B291" s="16" t="n">
        <v>826.48</v>
      </c>
      <c r="C291" s="17"/>
      <c r="D291" s="17"/>
      <c r="E291" s="18" t="n">
        <v>1097.69</v>
      </c>
      <c r="F291" s="19" t="n">
        <v>962.085</v>
      </c>
    </row>
    <row r="292" customFormat="false" ht="14.25" hidden="false" customHeight="false" outlineLevel="0" collapsed="false">
      <c r="A292" s="15" t="n">
        <v>43306</v>
      </c>
      <c r="B292" s="16"/>
      <c r="C292" s="17" t="n">
        <v>1309.28</v>
      </c>
      <c r="D292" s="17"/>
      <c r="E292" s="18"/>
      <c r="F292" s="19" t="n">
        <v>1309.28</v>
      </c>
    </row>
    <row r="293" customFormat="false" ht="14.25" hidden="false" customHeight="false" outlineLevel="0" collapsed="false">
      <c r="A293" s="15" t="n">
        <v>43337</v>
      </c>
      <c r="B293" s="16"/>
      <c r="C293" s="17" t="n">
        <v>4873.855</v>
      </c>
      <c r="D293" s="17" t="n">
        <v>26.65</v>
      </c>
      <c r="E293" s="18" t="n">
        <v>1210.33</v>
      </c>
      <c r="F293" s="19" t="n">
        <v>2746.1725</v>
      </c>
    </row>
    <row r="294" customFormat="false" ht="14.25" hidden="false" customHeight="false" outlineLevel="0" collapsed="false">
      <c r="A294" s="15" t="n">
        <v>43368</v>
      </c>
      <c r="B294" s="16"/>
      <c r="C294" s="17" t="n">
        <v>1011.18</v>
      </c>
      <c r="D294" s="17" t="n">
        <v>292.04</v>
      </c>
      <c r="E294" s="18"/>
      <c r="F294" s="19" t="n">
        <v>531.753333333333</v>
      </c>
    </row>
    <row r="295" customFormat="false" ht="14.25" hidden="false" customHeight="false" outlineLevel="0" collapsed="false">
      <c r="A295" s="15" t="n">
        <v>43398</v>
      </c>
      <c r="B295" s="16"/>
      <c r="C295" s="17" t="n">
        <v>447.29</v>
      </c>
      <c r="D295" s="17" t="n">
        <v>113.45</v>
      </c>
      <c r="E295" s="18" t="n">
        <v>183.365</v>
      </c>
      <c r="F295" s="19" t="n">
        <v>231.8675</v>
      </c>
    </row>
    <row r="296" customFormat="false" ht="14.25" hidden="false" customHeight="false" outlineLevel="0" collapsed="false">
      <c r="A296" s="15" t="n">
        <v>43429</v>
      </c>
      <c r="B296" s="16" t="n">
        <v>81.96</v>
      </c>
      <c r="C296" s="17" t="n">
        <v>1691.21</v>
      </c>
      <c r="D296" s="17" t="n">
        <v>776.93</v>
      </c>
      <c r="E296" s="18" t="n">
        <v>2379.715</v>
      </c>
      <c r="F296" s="19" t="n">
        <v>1205.04</v>
      </c>
    </row>
    <row r="297" customFormat="false" ht="14.25" hidden="false" customHeight="false" outlineLevel="0" collapsed="false">
      <c r="A297" s="15" t="n">
        <v>43459</v>
      </c>
      <c r="B297" s="16" t="n">
        <v>479.75</v>
      </c>
      <c r="C297" s="17"/>
      <c r="D297" s="17"/>
      <c r="E297" s="18" t="n">
        <v>250.59</v>
      </c>
      <c r="F297" s="19" t="n">
        <v>365.17</v>
      </c>
    </row>
    <row r="298" customFormat="false" ht="14.25" hidden="false" customHeight="false" outlineLevel="0" collapsed="false">
      <c r="A298" s="15" t="n">
        <v>43126</v>
      </c>
      <c r="B298" s="16"/>
      <c r="C298" s="17"/>
      <c r="D298" s="17" t="n">
        <v>2057.64666666667</v>
      </c>
      <c r="E298" s="18" t="n">
        <v>2740.56666666667</v>
      </c>
      <c r="F298" s="19" t="n">
        <v>2399.10666666667</v>
      </c>
    </row>
    <row r="299" customFormat="false" ht="14.25" hidden="false" customHeight="false" outlineLevel="0" collapsed="false">
      <c r="A299" s="15" t="n">
        <v>43157</v>
      </c>
      <c r="B299" s="16"/>
      <c r="C299" s="17"/>
      <c r="D299" s="17"/>
      <c r="E299" s="18" t="n">
        <v>2078.13</v>
      </c>
      <c r="F299" s="19" t="n">
        <v>2078.13</v>
      </c>
    </row>
    <row r="300" customFormat="false" ht="14.25" hidden="false" customHeight="false" outlineLevel="0" collapsed="false">
      <c r="A300" s="15" t="n">
        <v>43185</v>
      </c>
      <c r="B300" s="16"/>
      <c r="C300" s="17"/>
      <c r="D300" s="17" t="n">
        <v>138.17</v>
      </c>
      <c r="E300" s="18"/>
      <c r="F300" s="19" t="n">
        <v>138.17</v>
      </c>
    </row>
    <row r="301" customFormat="false" ht="14.25" hidden="false" customHeight="false" outlineLevel="0" collapsed="false">
      <c r="A301" s="15" t="n">
        <v>43246</v>
      </c>
      <c r="B301" s="16"/>
      <c r="C301" s="17" t="n">
        <v>500.305</v>
      </c>
      <c r="D301" s="17" t="n">
        <v>534.4</v>
      </c>
      <c r="E301" s="18" t="n">
        <v>591.785</v>
      </c>
      <c r="F301" s="19" t="n">
        <v>540.2225</v>
      </c>
    </row>
    <row r="302" customFormat="false" ht="14.25" hidden="false" customHeight="false" outlineLevel="0" collapsed="false">
      <c r="A302" s="15" t="n">
        <v>43277</v>
      </c>
      <c r="B302" s="16" t="n">
        <v>2667.48</v>
      </c>
      <c r="C302" s="17" t="n">
        <v>1252.56</v>
      </c>
      <c r="D302" s="17"/>
      <c r="E302" s="18"/>
      <c r="F302" s="19" t="n">
        <v>1724.2</v>
      </c>
    </row>
    <row r="303" customFormat="false" ht="14.25" hidden="false" customHeight="false" outlineLevel="0" collapsed="false">
      <c r="A303" s="15" t="n">
        <v>43307</v>
      </c>
      <c r="B303" s="16" t="n">
        <v>1990.6275</v>
      </c>
      <c r="C303" s="17" t="n">
        <v>705.35</v>
      </c>
      <c r="D303" s="17"/>
      <c r="E303" s="18" t="n">
        <v>777.873333333333</v>
      </c>
      <c r="F303" s="19" t="n">
        <v>1300.75888888889</v>
      </c>
    </row>
    <row r="304" customFormat="false" ht="14.25" hidden="false" customHeight="false" outlineLevel="0" collapsed="false">
      <c r="A304" s="15" t="n">
        <v>43369</v>
      </c>
      <c r="B304" s="16"/>
      <c r="C304" s="17" t="n">
        <v>310.26</v>
      </c>
      <c r="D304" s="17" t="n">
        <v>6930.88</v>
      </c>
      <c r="E304" s="18"/>
      <c r="F304" s="19" t="n">
        <v>2517.13333333333</v>
      </c>
    </row>
    <row r="305" customFormat="false" ht="14.25" hidden="false" customHeight="false" outlineLevel="0" collapsed="false">
      <c r="A305" s="15" t="n">
        <v>43399</v>
      </c>
      <c r="B305" s="16" t="n">
        <v>223.2</v>
      </c>
      <c r="C305" s="17"/>
      <c r="D305" s="17"/>
      <c r="E305" s="18"/>
      <c r="F305" s="19" t="n">
        <v>223.2</v>
      </c>
    </row>
    <row r="306" customFormat="false" ht="14.25" hidden="false" customHeight="false" outlineLevel="0" collapsed="false">
      <c r="A306" s="15" t="n">
        <v>43430</v>
      </c>
      <c r="B306" s="16" t="n">
        <v>80.03</v>
      </c>
      <c r="C306" s="17"/>
      <c r="D306" s="17"/>
      <c r="E306" s="18" t="n">
        <v>5844.6325</v>
      </c>
      <c r="F306" s="19" t="n">
        <v>3923.09833333333</v>
      </c>
    </row>
    <row r="307" customFormat="false" ht="14.25" hidden="false" customHeight="false" outlineLevel="0" collapsed="false">
      <c r="A307" s="15" t="n">
        <v>43460</v>
      </c>
      <c r="B307" s="16"/>
      <c r="C307" s="17"/>
      <c r="D307" s="17"/>
      <c r="E307" s="18" t="n">
        <v>1189.47</v>
      </c>
      <c r="F307" s="19" t="n">
        <v>1189.47</v>
      </c>
    </row>
    <row r="308" customFormat="false" ht="14.25" hidden="false" customHeight="false" outlineLevel="0" collapsed="false">
      <c r="A308" s="15" t="n">
        <v>43127</v>
      </c>
      <c r="B308" s="16" t="n">
        <v>6594.87</v>
      </c>
      <c r="C308" s="17" t="n">
        <v>203.725</v>
      </c>
      <c r="D308" s="17"/>
      <c r="E308" s="18"/>
      <c r="F308" s="19" t="n">
        <v>3399.2975</v>
      </c>
    </row>
    <row r="309" customFormat="false" ht="14.25" hidden="false" customHeight="false" outlineLevel="0" collapsed="false">
      <c r="A309" s="15" t="n">
        <v>43158</v>
      </c>
      <c r="B309" s="16"/>
      <c r="C309" s="17" t="n">
        <v>20.54</v>
      </c>
      <c r="D309" s="17" t="n">
        <v>56.9</v>
      </c>
      <c r="E309" s="18" t="n">
        <v>69.49</v>
      </c>
      <c r="F309" s="19" t="n">
        <v>54.105</v>
      </c>
    </row>
    <row r="310" customFormat="false" ht="14.25" hidden="false" customHeight="false" outlineLevel="0" collapsed="false">
      <c r="A310" s="15" t="n">
        <v>43186</v>
      </c>
      <c r="B310" s="16"/>
      <c r="C310" s="17" t="n">
        <v>28.55</v>
      </c>
      <c r="D310" s="17" t="n">
        <v>857.72</v>
      </c>
      <c r="E310" s="18"/>
      <c r="F310" s="19" t="n">
        <v>581.33</v>
      </c>
    </row>
    <row r="311" customFormat="false" ht="14.25" hidden="false" customHeight="false" outlineLevel="0" collapsed="false">
      <c r="A311" s="15" t="n">
        <v>43217</v>
      </c>
      <c r="B311" s="16" t="n">
        <v>59.37</v>
      </c>
      <c r="C311" s="17" t="n">
        <v>2029.415</v>
      </c>
      <c r="D311" s="17" t="n">
        <v>217.53</v>
      </c>
      <c r="E311" s="18"/>
      <c r="F311" s="19" t="n">
        <v>1083.9325</v>
      </c>
    </row>
    <row r="312" customFormat="false" ht="14.25" hidden="false" customHeight="false" outlineLevel="0" collapsed="false">
      <c r="A312" s="15" t="n">
        <v>43247</v>
      </c>
      <c r="B312" s="16"/>
      <c r="C312" s="17" t="n">
        <v>184.855</v>
      </c>
      <c r="D312" s="17"/>
      <c r="E312" s="18" t="n">
        <v>693.12</v>
      </c>
      <c r="F312" s="19" t="n">
        <v>257.464285714286</v>
      </c>
    </row>
    <row r="313" customFormat="false" ht="14.25" hidden="false" customHeight="false" outlineLevel="0" collapsed="false">
      <c r="A313" s="15" t="n">
        <v>43278</v>
      </c>
      <c r="B313" s="16"/>
      <c r="C313" s="17" t="n">
        <v>828.36</v>
      </c>
      <c r="D313" s="17" t="n">
        <v>1761.29</v>
      </c>
      <c r="E313" s="18" t="n">
        <v>2820.82</v>
      </c>
      <c r="F313" s="19" t="n">
        <v>1803.49</v>
      </c>
    </row>
    <row r="314" customFormat="false" ht="14.25" hidden="false" customHeight="false" outlineLevel="0" collapsed="false">
      <c r="A314" s="15" t="n">
        <v>43308</v>
      </c>
      <c r="B314" s="16"/>
      <c r="C314" s="17" t="n">
        <v>417.925</v>
      </c>
      <c r="D314" s="17"/>
      <c r="E314" s="18" t="n">
        <v>1316.3</v>
      </c>
      <c r="F314" s="19" t="n">
        <v>867.1125</v>
      </c>
    </row>
    <row r="315" customFormat="false" ht="14.25" hidden="false" customHeight="false" outlineLevel="0" collapsed="false">
      <c r="A315" s="15" t="n">
        <v>43339</v>
      </c>
      <c r="B315" s="16"/>
      <c r="C315" s="17" t="n">
        <v>702.905</v>
      </c>
      <c r="D315" s="17" t="n">
        <v>342.68</v>
      </c>
      <c r="E315" s="18" t="n">
        <v>154.355</v>
      </c>
      <c r="F315" s="19" t="n">
        <v>411.44</v>
      </c>
    </row>
    <row r="316" customFormat="false" ht="14.25" hidden="false" customHeight="false" outlineLevel="0" collapsed="false">
      <c r="A316" s="15" t="n">
        <v>43370</v>
      </c>
      <c r="B316" s="16" t="n">
        <v>94.27</v>
      </c>
      <c r="C316" s="17" t="n">
        <v>638.32</v>
      </c>
      <c r="D316" s="17"/>
      <c r="E316" s="18" t="n">
        <v>2728.37</v>
      </c>
      <c r="F316" s="19" t="n">
        <v>1547.3325</v>
      </c>
    </row>
    <row r="317" customFormat="false" ht="14.25" hidden="false" customHeight="false" outlineLevel="0" collapsed="false">
      <c r="A317" s="15" t="n">
        <v>43400</v>
      </c>
      <c r="B317" s="16"/>
      <c r="C317" s="17" t="n">
        <v>1038.7025</v>
      </c>
      <c r="D317" s="17" t="n">
        <v>26.82</v>
      </c>
      <c r="E317" s="18" t="n">
        <v>1075.265</v>
      </c>
      <c r="F317" s="19" t="n">
        <v>904.594285714286</v>
      </c>
    </row>
    <row r="318" customFormat="false" ht="14.25" hidden="false" customHeight="false" outlineLevel="0" collapsed="false">
      <c r="A318" s="15" t="n">
        <v>43431</v>
      </c>
      <c r="B318" s="16" t="n">
        <v>148.42</v>
      </c>
      <c r="C318" s="17" t="n">
        <v>211.935</v>
      </c>
      <c r="D318" s="17"/>
      <c r="E318" s="18"/>
      <c r="F318" s="19" t="n">
        <v>199.232</v>
      </c>
    </row>
    <row r="319" customFormat="false" ht="14.25" hidden="false" customHeight="false" outlineLevel="0" collapsed="false">
      <c r="A319" s="15" t="n">
        <v>43461</v>
      </c>
      <c r="B319" s="16"/>
      <c r="C319" s="17" t="n">
        <v>1048.67</v>
      </c>
      <c r="D319" s="17"/>
      <c r="E319" s="18"/>
      <c r="F319" s="19" t="n">
        <v>1048.67</v>
      </c>
    </row>
    <row r="320" customFormat="false" ht="14.25" hidden="false" customHeight="false" outlineLevel="0" collapsed="false">
      <c r="A320" s="15" t="n">
        <v>43128</v>
      </c>
      <c r="B320" s="16"/>
      <c r="C320" s="17" t="n">
        <v>206.65</v>
      </c>
      <c r="D320" s="17" t="n">
        <v>859.14</v>
      </c>
      <c r="E320" s="18"/>
      <c r="F320" s="19" t="n">
        <v>641.643333333333</v>
      </c>
    </row>
    <row r="321" customFormat="false" ht="14.25" hidden="false" customHeight="false" outlineLevel="0" collapsed="false">
      <c r="A321" s="15" t="n">
        <v>43159</v>
      </c>
      <c r="B321" s="16" t="n">
        <v>448.2175</v>
      </c>
      <c r="C321" s="17" t="n">
        <v>3590.01</v>
      </c>
      <c r="D321" s="17"/>
      <c r="E321" s="18" t="n">
        <v>206.3</v>
      </c>
      <c r="F321" s="19" t="n">
        <v>931.53</v>
      </c>
    </row>
    <row r="322" customFormat="false" ht="14.25" hidden="false" customHeight="false" outlineLevel="0" collapsed="false">
      <c r="A322" s="15" t="n">
        <v>43187</v>
      </c>
      <c r="B322" s="16"/>
      <c r="C322" s="17" t="n">
        <v>1965.91</v>
      </c>
      <c r="D322" s="17"/>
      <c r="E322" s="18"/>
      <c r="F322" s="19" t="n">
        <v>1965.91</v>
      </c>
    </row>
    <row r="323" customFormat="false" ht="14.25" hidden="false" customHeight="false" outlineLevel="0" collapsed="false">
      <c r="A323" s="15" t="n">
        <v>43218</v>
      </c>
      <c r="B323" s="16" t="n">
        <v>5172.415</v>
      </c>
      <c r="C323" s="17"/>
      <c r="D323" s="17" t="n">
        <v>535.51</v>
      </c>
      <c r="E323" s="18" t="n">
        <v>5745.26666666667</v>
      </c>
      <c r="F323" s="19" t="n">
        <v>4807.62125</v>
      </c>
    </row>
    <row r="324" customFormat="false" ht="14.25" hidden="false" customHeight="false" outlineLevel="0" collapsed="false">
      <c r="A324" s="15" t="n">
        <v>43279</v>
      </c>
      <c r="B324" s="16"/>
      <c r="C324" s="17" t="n">
        <v>206.415</v>
      </c>
      <c r="D324" s="17" t="n">
        <v>78.615</v>
      </c>
      <c r="E324" s="18" t="n">
        <v>3351.305</v>
      </c>
      <c r="F324" s="19" t="n">
        <v>1212.11166666667</v>
      </c>
    </row>
    <row r="325" customFormat="false" ht="14.25" hidden="false" customHeight="false" outlineLevel="0" collapsed="false">
      <c r="A325" s="15" t="n">
        <v>43309</v>
      </c>
      <c r="B325" s="16" t="n">
        <v>153.92</v>
      </c>
      <c r="C325" s="17" t="n">
        <v>4629.11</v>
      </c>
      <c r="D325" s="17"/>
      <c r="E325" s="18" t="n">
        <v>631.06</v>
      </c>
      <c r="F325" s="19" t="n">
        <v>1804.69666666667</v>
      </c>
    </row>
    <row r="326" customFormat="false" ht="14.25" hidden="false" customHeight="false" outlineLevel="0" collapsed="false">
      <c r="A326" s="15" t="n">
        <v>43371</v>
      </c>
      <c r="B326" s="16" t="n">
        <v>144.165</v>
      </c>
      <c r="C326" s="17" t="n">
        <v>896.245</v>
      </c>
      <c r="D326" s="17"/>
      <c r="E326" s="18" t="n">
        <v>418.203333333333</v>
      </c>
      <c r="F326" s="19" t="n">
        <v>476.49</v>
      </c>
    </row>
    <row r="327" customFormat="false" ht="14.25" hidden="false" customHeight="false" outlineLevel="0" collapsed="false">
      <c r="A327" s="15" t="n">
        <v>43401</v>
      </c>
      <c r="B327" s="16" t="n">
        <v>902.975</v>
      </c>
      <c r="C327" s="17" t="n">
        <v>35.22</v>
      </c>
      <c r="D327" s="17"/>
      <c r="E327" s="18" t="n">
        <v>407.88</v>
      </c>
      <c r="F327" s="19" t="n">
        <v>531.386</v>
      </c>
    </row>
    <row r="328" customFormat="false" ht="14.25" hidden="false" customHeight="false" outlineLevel="0" collapsed="false">
      <c r="A328" s="15" t="n">
        <v>43432</v>
      </c>
      <c r="B328" s="16"/>
      <c r="C328" s="17" t="n">
        <v>172.27</v>
      </c>
      <c r="D328" s="17"/>
      <c r="E328" s="18" t="n">
        <v>5757.705</v>
      </c>
      <c r="F328" s="19" t="n">
        <v>2964.9875</v>
      </c>
    </row>
    <row r="329" customFormat="false" ht="14.25" hidden="false" customHeight="false" outlineLevel="0" collapsed="false">
      <c r="A329" s="15" t="n">
        <v>43462</v>
      </c>
      <c r="B329" s="16"/>
      <c r="C329" s="17" t="n">
        <v>137.67</v>
      </c>
      <c r="D329" s="17" t="n">
        <v>1294.48</v>
      </c>
      <c r="E329" s="18"/>
      <c r="F329" s="19" t="n">
        <v>716.075</v>
      </c>
    </row>
    <row r="330" customFormat="false" ht="14.25" hidden="false" customHeight="false" outlineLevel="0" collapsed="false">
      <c r="A330" s="15" t="n">
        <v>43129</v>
      </c>
      <c r="B330" s="16"/>
      <c r="C330" s="17"/>
      <c r="D330" s="17" t="n">
        <v>76.18</v>
      </c>
      <c r="E330" s="18"/>
      <c r="F330" s="19" t="n">
        <v>76.18</v>
      </c>
    </row>
    <row r="331" customFormat="false" ht="14.25" hidden="false" customHeight="false" outlineLevel="0" collapsed="false">
      <c r="A331" s="15" t="n">
        <v>43188</v>
      </c>
      <c r="B331" s="16"/>
      <c r="C331" s="17" t="n">
        <v>656.94</v>
      </c>
      <c r="D331" s="17"/>
      <c r="E331" s="18" t="n">
        <v>4377.53</v>
      </c>
      <c r="F331" s="19" t="n">
        <v>1897.13666666667</v>
      </c>
    </row>
    <row r="332" customFormat="false" ht="14.25" hidden="false" customHeight="false" outlineLevel="0" collapsed="false">
      <c r="A332" s="15" t="n">
        <v>43219</v>
      </c>
      <c r="B332" s="16" t="n">
        <v>2740.99</v>
      </c>
      <c r="C332" s="17" t="n">
        <v>255.31</v>
      </c>
      <c r="D332" s="17" t="n">
        <v>7732.395</v>
      </c>
      <c r="E332" s="18"/>
      <c r="F332" s="19" t="n">
        <v>4883.02714285714</v>
      </c>
    </row>
    <row r="333" customFormat="false" ht="14.25" hidden="false" customHeight="false" outlineLevel="0" collapsed="false">
      <c r="A333" s="15" t="n">
        <v>43249</v>
      </c>
      <c r="B333" s="16" t="n">
        <v>685.355</v>
      </c>
      <c r="C333" s="17"/>
      <c r="D333" s="17" t="n">
        <v>1942.57</v>
      </c>
      <c r="E333" s="18"/>
      <c r="F333" s="19" t="n">
        <v>1104.42666666667</v>
      </c>
    </row>
    <row r="334" customFormat="false" ht="14.25" hidden="false" customHeight="false" outlineLevel="0" collapsed="false">
      <c r="A334" s="15" t="n">
        <v>43280</v>
      </c>
      <c r="B334" s="16" t="n">
        <v>144.67</v>
      </c>
      <c r="C334" s="17" t="n">
        <v>2307.46</v>
      </c>
      <c r="D334" s="17" t="n">
        <v>283.005</v>
      </c>
      <c r="E334" s="18"/>
      <c r="F334" s="19" t="n">
        <v>1272.17666666667</v>
      </c>
    </row>
    <row r="335" customFormat="false" ht="14.25" hidden="false" customHeight="false" outlineLevel="0" collapsed="false">
      <c r="A335" s="15" t="n">
        <v>43310</v>
      </c>
      <c r="B335" s="16" t="n">
        <v>320.64</v>
      </c>
      <c r="C335" s="17" t="n">
        <v>5620.555</v>
      </c>
      <c r="D335" s="17"/>
      <c r="E335" s="18" t="n">
        <v>489.905</v>
      </c>
      <c r="F335" s="19" t="n">
        <v>2508.312</v>
      </c>
    </row>
    <row r="336" customFormat="false" ht="14.25" hidden="false" customHeight="false" outlineLevel="0" collapsed="false">
      <c r="A336" s="15" t="n">
        <v>43341</v>
      </c>
      <c r="B336" s="16" t="n">
        <v>291.46</v>
      </c>
      <c r="C336" s="17" t="n">
        <v>946.055</v>
      </c>
      <c r="D336" s="17" t="n">
        <v>181.26</v>
      </c>
      <c r="E336" s="18"/>
      <c r="F336" s="19" t="n">
        <v>591.2075</v>
      </c>
    </row>
    <row r="337" customFormat="false" ht="14.25" hidden="false" customHeight="false" outlineLevel="0" collapsed="false">
      <c r="A337" s="15" t="n">
        <v>43372</v>
      </c>
      <c r="B337" s="16" t="n">
        <v>730.56</v>
      </c>
      <c r="C337" s="17"/>
      <c r="D337" s="17"/>
      <c r="E337" s="18" t="n">
        <v>1331.605</v>
      </c>
      <c r="F337" s="19" t="n">
        <v>1131.25666666667</v>
      </c>
    </row>
    <row r="338" customFormat="false" ht="14.25" hidden="false" customHeight="false" outlineLevel="0" collapsed="false">
      <c r="A338" s="15" t="n">
        <v>43402</v>
      </c>
      <c r="B338" s="16" t="n">
        <v>1879.55</v>
      </c>
      <c r="C338" s="17" t="n">
        <v>202.685</v>
      </c>
      <c r="D338" s="17" t="n">
        <v>498.51</v>
      </c>
      <c r="E338" s="18" t="n">
        <v>45.47</v>
      </c>
      <c r="F338" s="19" t="n">
        <v>479.061666666667</v>
      </c>
    </row>
    <row r="339" customFormat="false" ht="14.25" hidden="false" customHeight="false" outlineLevel="0" collapsed="false">
      <c r="A339" s="15" t="n">
        <v>43433</v>
      </c>
      <c r="B339" s="16"/>
      <c r="C339" s="17" t="n">
        <v>166.68</v>
      </c>
      <c r="D339" s="17" t="n">
        <v>293.4</v>
      </c>
      <c r="E339" s="18" t="n">
        <v>1888.6</v>
      </c>
      <c r="F339" s="19" t="n">
        <v>660.52</v>
      </c>
    </row>
    <row r="340" customFormat="false" ht="14.25" hidden="false" customHeight="false" outlineLevel="0" collapsed="false">
      <c r="A340" s="15" t="n">
        <v>43463</v>
      </c>
      <c r="B340" s="16" t="n">
        <v>807.665</v>
      </c>
      <c r="C340" s="17" t="n">
        <v>405.7925</v>
      </c>
      <c r="D340" s="17"/>
      <c r="E340" s="18" t="n">
        <v>3951.366</v>
      </c>
      <c r="F340" s="19" t="n">
        <v>2090.48454545455</v>
      </c>
    </row>
    <row r="341" customFormat="false" ht="14.25" hidden="false" customHeight="false" outlineLevel="0" collapsed="false">
      <c r="A341" s="15" t="n">
        <v>43130</v>
      </c>
      <c r="B341" s="16"/>
      <c r="C341" s="17" t="n">
        <v>1008.70666666667</v>
      </c>
      <c r="D341" s="17"/>
      <c r="E341" s="18" t="n">
        <v>807.503333333333</v>
      </c>
      <c r="F341" s="19" t="n">
        <v>908.105</v>
      </c>
    </row>
    <row r="342" customFormat="false" ht="14.25" hidden="false" customHeight="false" outlineLevel="0" collapsed="false">
      <c r="A342" s="15" t="n">
        <v>43189</v>
      </c>
      <c r="B342" s="16" t="n">
        <v>76.63</v>
      </c>
      <c r="C342" s="17"/>
      <c r="D342" s="17"/>
      <c r="E342" s="18"/>
      <c r="F342" s="19" t="n">
        <v>76.63</v>
      </c>
    </row>
    <row r="343" customFormat="false" ht="14.25" hidden="false" customHeight="false" outlineLevel="0" collapsed="false">
      <c r="A343" s="15" t="n">
        <v>43220</v>
      </c>
      <c r="B343" s="16"/>
      <c r="C343" s="17" t="n">
        <v>2105.225</v>
      </c>
      <c r="D343" s="17" t="n">
        <v>792.1</v>
      </c>
      <c r="E343" s="18"/>
      <c r="F343" s="19" t="n">
        <v>1776.94375</v>
      </c>
    </row>
    <row r="344" customFormat="false" ht="14.25" hidden="false" customHeight="false" outlineLevel="0" collapsed="false">
      <c r="A344" s="15" t="n">
        <v>43250</v>
      </c>
      <c r="B344" s="16"/>
      <c r="C344" s="17"/>
      <c r="D344" s="17" t="n">
        <v>546.25</v>
      </c>
      <c r="E344" s="18" t="n">
        <v>1095.735</v>
      </c>
      <c r="F344" s="19" t="n">
        <v>683.62125</v>
      </c>
    </row>
    <row r="345" customFormat="false" ht="14.25" hidden="false" customHeight="false" outlineLevel="0" collapsed="false">
      <c r="A345" s="15" t="n">
        <v>43281</v>
      </c>
      <c r="B345" s="16" t="n">
        <v>1668.67</v>
      </c>
      <c r="C345" s="17"/>
      <c r="D345" s="17" t="n">
        <v>3403.7</v>
      </c>
      <c r="E345" s="18" t="n">
        <v>241.23</v>
      </c>
      <c r="F345" s="19" t="n">
        <v>2424.2</v>
      </c>
    </row>
    <row r="346" customFormat="false" ht="14.25" hidden="false" customHeight="false" outlineLevel="0" collapsed="false">
      <c r="A346" s="15" t="n">
        <v>43311</v>
      </c>
      <c r="B346" s="16"/>
      <c r="C346" s="17" t="n">
        <v>107.43</v>
      </c>
      <c r="D346" s="17"/>
      <c r="E346" s="18" t="n">
        <v>41.22</v>
      </c>
      <c r="F346" s="19" t="n">
        <v>74.325</v>
      </c>
    </row>
    <row r="347" customFormat="false" ht="14.25" hidden="false" customHeight="false" outlineLevel="0" collapsed="false">
      <c r="A347" s="15" t="n">
        <v>43342</v>
      </c>
      <c r="B347" s="16" t="n">
        <v>6765.16</v>
      </c>
      <c r="C347" s="17" t="n">
        <v>2058.22</v>
      </c>
      <c r="D347" s="17" t="n">
        <v>1524.88</v>
      </c>
      <c r="E347" s="18"/>
      <c r="F347" s="19" t="n">
        <v>2968.285</v>
      </c>
    </row>
    <row r="348" customFormat="false" ht="14.25" hidden="false" customHeight="false" outlineLevel="0" collapsed="false">
      <c r="A348" s="15" t="n">
        <v>43373</v>
      </c>
      <c r="B348" s="16"/>
      <c r="C348" s="17"/>
      <c r="D348" s="17" t="n">
        <v>2354.8575</v>
      </c>
      <c r="E348" s="18" t="n">
        <v>110.2</v>
      </c>
      <c r="F348" s="19" t="n">
        <v>1905.926</v>
      </c>
    </row>
    <row r="349" customFormat="false" ht="14.25" hidden="false" customHeight="false" outlineLevel="0" collapsed="false">
      <c r="A349" s="15" t="n">
        <v>43403</v>
      </c>
      <c r="B349" s="16"/>
      <c r="C349" s="17" t="n">
        <v>2978.5</v>
      </c>
      <c r="D349" s="17" t="n">
        <v>96.1866666666667</v>
      </c>
      <c r="E349" s="18"/>
      <c r="F349" s="19" t="n">
        <v>1743.22285714286</v>
      </c>
    </row>
    <row r="350" customFormat="false" ht="14.25" hidden="false" customHeight="false" outlineLevel="0" collapsed="false">
      <c r="A350" s="15" t="n">
        <v>43434</v>
      </c>
      <c r="B350" s="16"/>
      <c r="C350" s="17"/>
      <c r="D350" s="17" t="n">
        <v>1075.304</v>
      </c>
      <c r="E350" s="18" t="n">
        <v>760.47</v>
      </c>
      <c r="F350" s="19" t="n">
        <v>985.351428571429</v>
      </c>
    </row>
    <row r="351" customFormat="false" ht="14.25" hidden="false" customHeight="false" outlineLevel="0" collapsed="false">
      <c r="A351" s="15" t="n">
        <v>43464</v>
      </c>
      <c r="B351" s="16"/>
      <c r="C351" s="17"/>
      <c r="D351" s="17" t="n">
        <v>2850.922</v>
      </c>
      <c r="E351" s="18" t="n">
        <v>64.8</v>
      </c>
      <c r="F351" s="19" t="n">
        <v>2386.56833333333</v>
      </c>
    </row>
    <row r="352" customFormat="false" ht="14.25" hidden="false" customHeight="false" outlineLevel="0" collapsed="false">
      <c r="A352" s="15" t="n">
        <v>43131</v>
      </c>
      <c r="B352" s="16" t="n">
        <v>134.04</v>
      </c>
      <c r="C352" s="17"/>
      <c r="D352" s="17" t="n">
        <v>1957.04</v>
      </c>
      <c r="E352" s="18"/>
      <c r="F352" s="19" t="n">
        <v>1349.37333333333</v>
      </c>
    </row>
    <row r="353" customFormat="false" ht="14.25" hidden="false" customHeight="false" outlineLevel="0" collapsed="false">
      <c r="A353" s="15" t="n">
        <v>43190</v>
      </c>
      <c r="B353" s="16" t="n">
        <v>1839.19</v>
      </c>
      <c r="C353" s="17"/>
      <c r="D353" s="17" t="n">
        <v>497.816666666667</v>
      </c>
      <c r="E353" s="18"/>
      <c r="F353" s="19" t="n">
        <v>833.16</v>
      </c>
    </row>
    <row r="354" customFormat="false" ht="14.25" hidden="false" customHeight="false" outlineLevel="0" collapsed="false">
      <c r="A354" s="15" t="n">
        <v>43251</v>
      </c>
      <c r="B354" s="16" t="n">
        <v>4057.50333333333</v>
      </c>
      <c r="C354" s="17" t="n">
        <v>1427.2</v>
      </c>
      <c r="D354" s="17" t="n">
        <v>944.705</v>
      </c>
      <c r="E354" s="18"/>
      <c r="F354" s="19" t="n">
        <v>2416.61714285714</v>
      </c>
    </row>
    <row r="355" customFormat="false" ht="14.25" hidden="false" customHeight="false" outlineLevel="0" collapsed="false">
      <c r="A355" s="15" t="n">
        <v>43312</v>
      </c>
      <c r="B355" s="16"/>
      <c r="C355" s="17"/>
      <c r="D355" s="17" t="n">
        <v>2901.7</v>
      </c>
      <c r="E355" s="18"/>
      <c r="F355" s="19" t="n">
        <v>2901.7</v>
      </c>
    </row>
    <row r="356" customFormat="false" ht="14.25" hidden="false" customHeight="false" outlineLevel="0" collapsed="false">
      <c r="A356" s="15" t="n">
        <v>43343</v>
      </c>
      <c r="B356" s="16"/>
      <c r="C356" s="17"/>
      <c r="D356" s="17" t="n">
        <v>220.78</v>
      </c>
      <c r="E356" s="18"/>
      <c r="F356" s="19" t="n">
        <v>220.78</v>
      </c>
    </row>
    <row r="357" customFormat="false" ht="14.25" hidden="false" customHeight="false" outlineLevel="0" collapsed="false">
      <c r="A357" s="15" t="n">
        <v>43404</v>
      </c>
      <c r="B357" s="16" t="n">
        <v>3986.695</v>
      </c>
      <c r="C357" s="17" t="n">
        <v>2407.52666666667</v>
      </c>
      <c r="D357" s="17" t="n">
        <v>222.765</v>
      </c>
      <c r="E357" s="18" t="n">
        <v>711.09</v>
      </c>
      <c r="F357" s="19" t="n">
        <v>1777.477</v>
      </c>
    </row>
    <row r="358" customFormat="false" ht="14.25" hidden="false" customHeight="false" outlineLevel="0" collapsed="false">
      <c r="A358" s="15" t="n">
        <v>43465</v>
      </c>
      <c r="B358" s="16"/>
      <c r="C358" s="17" t="n">
        <v>1360.335</v>
      </c>
      <c r="D358" s="17"/>
      <c r="E358" s="18"/>
      <c r="F358" s="19" t="n">
        <v>1360.335</v>
      </c>
    </row>
    <row r="359" customFormat="false" ht="14.25" hidden="false" customHeight="false" outlineLevel="0" collapsed="false">
      <c r="A359" s="15" t="s">
        <v>2</v>
      </c>
      <c r="B359" s="20" t="n">
        <v>3021.19875</v>
      </c>
      <c r="C359" s="21" t="n">
        <v>2137.43916666667</v>
      </c>
      <c r="D359" s="21" t="n">
        <v>1087.3292</v>
      </c>
      <c r="E359" s="22" t="n">
        <v>1911.10814814815</v>
      </c>
      <c r="F359" s="23" t="n">
        <v>1962.21288461538</v>
      </c>
    </row>
    <row r="360" customFormat="false" ht="14.25" hidden="false" customHeight="false" outlineLevel="0" collapsed="false">
      <c r="A360" s="24" t="s">
        <v>7</v>
      </c>
      <c r="B360" s="25" t="n">
        <v>1949.18142857143</v>
      </c>
      <c r="C360" s="26" t="n">
        <v>1850.63284530387</v>
      </c>
      <c r="D360" s="26" t="n">
        <v>1704.20528340081</v>
      </c>
      <c r="E360" s="27" t="n">
        <v>1881.57796915167</v>
      </c>
      <c r="F360" s="28" t="n">
        <v>1839.79416708354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L13" activeCellId="0" sqref="L13"/>
    </sheetView>
  </sheetViews>
  <sheetFormatPr defaultColWidth="8.5625" defaultRowHeight="14.25" customHeight="false" zeroHeight="false" outlineLevelRow="0" outlineLevelCol="0"/>
  <cols>
    <col collapsed="false" customWidth="true" hidden="false" outlineLevel="0" max="1" min="1" style="1" width="9.67"/>
    <col collapsed="false" customWidth="true" hidden="false" outlineLevel="0" max="2" min="2" style="29" width="18.34"/>
    <col collapsed="false" customWidth="true" hidden="false" outlineLevel="0" max="3" min="3" style="29" width="14.11"/>
    <col collapsed="false" customWidth="true" hidden="false" outlineLevel="0" max="4" min="4" style="29" width="17"/>
    <col collapsed="false" customWidth="true" hidden="false" outlineLevel="0" max="5" min="5" style="29" width="18.11"/>
    <col collapsed="false" customWidth="true" hidden="false" outlineLevel="0" max="6" min="6" style="29" width="13.56"/>
    <col collapsed="false" customWidth="true" hidden="false" outlineLevel="0" max="7" min="7" style="29" width="21.44"/>
    <col collapsed="false" customWidth="true" hidden="false" outlineLevel="0" max="9" min="9" style="1" width="17.33"/>
    <col collapsed="false" customWidth="true" hidden="false" outlineLevel="0" max="10" min="10" style="1" width="14.56"/>
    <col collapsed="false" customWidth="true" hidden="false" outlineLevel="0" max="365" min="11" style="1" width="10.78"/>
    <col collapsed="false" customWidth="true" hidden="false" outlineLevel="0" max="366" min="366" style="1" width="17.33"/>
  </cols>
  <sheetData>
    <row r="1" customFormat="false" ht="14.25" hidden="false" customHeight="false" outlineLevel="0" collapsed="false">
      <c r="E1" s="29" t="n">
        <v>4</v>
      </c>
      <c r="F1" s="29" t="n">
        <v>5</v>
      </c>
      <c r="G1" s="29" t="n">
        <v>6</v>
      </c>
    </row>
    <row r="2" customFormat="false" ht="14.25" hidden="false" customHeight="false" outlineLevel="0" collapsed="false">
      <c r="A2" s="1" t="s">
        <v>8</v>
      </c>
      <c r="B2" s="29" t="s">
        <v>2</v>
      </c>
      <c r="C2" s="29" t="s">
        <v>9</v>
      </c>
      <c r="D2" s="29" t="s">
        <v>10</v>
      </c>
      <c r="E2" s="29" t="s">
        <v>11</v>
      </c>
      <c r="F2" s="29" t="s">
        <v>12</v>
      </c>
      <c r="G2" s="29" t="s">
        <v>1</v>
      </c>
    </row>
    <row r="3" customFormat="false" ht="14.25" hidden="false" customHeight="false" outlineLevel="0" collapsed="false">
      <c r="A3" s="1" t="n">
        <v>1020</v>
      </c>
      <c r="B3" s="29" t="s">
        <v>2</v>
      </c>
      <c r="C3" s="30" t="n">
        <v>43125</v>
      </c>
      <c r="D3" s="31" t="n">
        <f aca="false">VLOOKUP(A3,'Order Shipping'!$A$2:$C$2000,3,FALSE())</f>
        <v>0.5</v>
      </c>
      <c r="E3" s="32" t="n">
        <f aca="false">VLOOKUP($A3,'Order Sales'!$A$2:$G$2154,E$1,FALSE())</f>
        <v>4</v>
      </c>
      <c r="F3" s="32" t="n">
        <f aca="false">VLOOKUP($A3,'Order Sales'!$A$2:$G$2154,F$1,FALSE())</f>
        <v>16.01</v>
      </c>
      <c r="G3" s="32" t="str">
        <f aca="false">VLOOKUP($A3,'Order Sales'!$A$2:$G$2154,G$1,FALSE())</f>
        <v>Corporate</v>
      </c>
    </row>
    <row r="4" customFormat="false" ht="14.25" hidden="false" customHeight="false" outlineLevel="0" collapsed="false">
      <c r="A4" s="1" t="n">
        <v>1863</v>
      </c>
      <c r="B4" s="29" t="s">
        <v>2</v>
      </c>
      <c r="C4" s="30" t="n">
        <v>43126</v>
      </c>
      <c r="D4" s="31" t="n">
        <f aca="false">VLOOKUP(A4,'Order Shipping'!$A$2:$C$2000,3,FALSE())</f>
        <v>5.9</v>
      </c>
      <c r="E4" s="32" t="n">
        <f aca="false">VLOOKUP($A4,'Order Sales'!$A$2:$G$2154,E$1,FALSE())</f>
        <v>20</v>
      </c>
      <c r="F4" s="32" t="n">
        <f aca="false">VLOOKUP($A4,'Order Sales'!$A$2:$G$2154,F$1,FALSE())</f>
        <v>706.49</v>
      </c>
      <c r="G4" s="32" t="str">
        <f aca="false">VLOOKUP($A4,'Order Sales'!$A$2:$G$2154,G$1,FALSE())</f>
        <v>Home Office</v>
      </c>
    </row>
    <row r="5" customFormat="false" ht="14.25" hidden="false" customHeight="false" outlineLevel="0" collapsed="false">
      <c r="A5" s="1" t="n">
        <v>1153</v>
      </c>
      <c r="B5" s="29" t="s">
        <v>2</v>
      </c>
      <c r="C5" s="30" t="n">
        <v>43127</v>
      </c>
      <c r="D5" s="31" t="n">
        <f aca="false">VLOOKUP(A5,'Order Shipping'!$A$2:$C$2000,3,FALSE())</f>
        <v>3.9</v>
      </c>
      <c r="E5" s="32" t="n">
        <f aca="false">VLOOKUP($A5,'Order Sales'!$A$2:$G$2154,E$1,FALSE())</f>
        <v>20</v>
      </c>
      <c r="F5" s="32" t="n">
        <f aca="false">VLOOKUP($A5,'Order Sales'!$A$2:$G$2154,F$1,FALSE())</f>
        <v>163.11</v>
      </c>
      <c r="G5" s="32" t="str">
        <f aca="false">VLOOKUP($A5,'Order Sales'!$A$2:$G$2154,G$1,FALSE())</f>
        <v>Corporate</v>
      </c>
    </row>
    <row r="6" customFormat="false" ht="14.25" hidden="false" customHeight="false" outlineLevel="0" collapsed="false">
      <c r="A6" s="1" t="n">
        <v>1223</v>
      </c>
      <c r="B6" s="29" t="s">
        <v>2</v>
      </c>
      <c r="C6" s="30" t="n">
        <v>43128</v>
      </c>
      <c r="D6" s="31" t="n">
        <f aca="false">VLOOKUP(A6,'Order Shipping'!$A$2:$C$2000,3,FALSE())</f>
        <v>10.9</v>
      </c>
      <c r="E6" s="32" t="n">
        <f aca="false">VLOOKUP($A6,'Order Sales'!$A$2:$G$2154,E$1,FALSE())</f>
        <v>14</v>
      </c>
      <c r="F6" s="32" t="n">
        <f aca="false">VLOOKUP($A6,'Order Sales'!$A$2:$G$2154,F$1,FALSE())</f>
        <v>781.45</v>
      </c>
      <c r="G6" s="32" t="str">
        <f aca="false">VLOOKUP($A6,'Order Sales'!$A$2:$G$2154,G$1,FALSE())</f>
        <v>Small Business</v>
      </c>
    </row>
    <row r="7" customFormat="false" ht="14.25" hidden="false" customHeight="false" outlineLevel="0" collapsed="false">
      <c r="A7" s="1" t="n">
        <v>3002</v>
      </c>
      <c r="B7" s="29" t="s">
        <v>2</v>
      </c>
      <c r="C7" s="30" t="n">
        <v>43129</v>
      </c>
      <c r="D7" s="31" t="n">
        <f aca="false">VLOOKUP(A7,'Order Shipping'!$A$2:$C$2000,3,FALSE())</f>
        <v>15.7</v>
      </c>
      <c r="E7" s="32" t="n">
        <f aca="false">VLOOKUP($A7,'Order Sales'!$A$2:$G$2154,E$1,FALSE())</f>
        <v>29</v>
      </c>
      <c r="F7" s="32" t="n">
        <f aca="false">VLOOKUP($A7,'Order Sales'!$A$2:$G$2154,F$1,FALSE())</f>
        <v>11812.53</v>
      </c>
      <c r="G7" s="32" t="str">
        <f aca="false">VLOOKUP($A7,'Order Sales'!$A$2:$G$2154,G$1,FALSE())</f>
        <v>Small Business</v>
      </c>
    </row>
    <row r="8" customFormat="false" ht="14.25" hidden="false" customHeight="false" outlineLevel="0" collapsed="false">
      <c r="A8" s="1" t="n">
        <v>2857</v>
      </c>
      <c r="B8" s="29" t="s">
        <v>2</v>
      </c>
      <c r="C8" s="30" t="n">
        <v>43130</v>
      </c>
      <c r="D8" s="31" t="n">
        <f aca="false">VLOOKUP(A8,'Order Shipping'!$A$2:$C$2000,3,FALSE())</f>
        <v>1.3</v>
      </c>
      <c r="E8" s="32" t="n">
        <f aca="false">VLOOKUP($A8,'Order Sales'!$A$2:$G$2154,E$1,FALSE())</f>
        <v>20</v>
      </c>
      <c r="F8" s="32" t="n">
        <f aca="false">VLOOKUP($A8,'Order Sales'!$A$2:$G$2154,F$1,FALSE())</f>
        <v>1529.12</v>
      </c>
      <c r="G8" s="32" t="str">
        <f aca="false">VLOOKUP($A8,'Order Sales'!$A$2:$G$2154,G$1,FALSE())</f>
        <v>Small Business</v>
      </c>
    </row>
    <row r="9" customFormat="false" ht="14.25" hidden="false" customHeight="false" outlineLevel="0" collapsed="false">
      <c r="A9" s="1" t="n">
        <v>1431</v>
      </c>
      <c r="B9" s="29" t="s">
        <v>2</v>
      </c>
      <c r="C9" s="30" t="n">
        <v>43131</v>
      </c>
      <c r="D9" s="31" t="n">
        <f aca="false">VLOOKUP(A9,'Order Shipping'!$A$2:$C$2000,3,FALSE())</f>
        <v>4.3</v>
      </c>
      <c r="E9" s="32" t="n">
        <f aca="false">VLOOKUP($A9,'Order Sales'!$A$2:$G$2154,E$1,FALSE())</f>
        <v>6</v>
      </c>
      <c r="F9" s="32" t="n">
        <f aca="false">VLOOKUP($A9,'Order Sales'!$A$2:$G$2154,F$1,FALSE())</f>
        <v>136.41</v>
      </c>
      <c r="G9" s="32" t="str">
        <f aca="false">VLOOKUP($A9,'Order Sales'!$A$2:$G$2154,G$1,FALSE())</f>
        <v>Corporate</v>
      </c>
    </row>
    <row r="10" customFormat="false" ht="14.25" hidden="false" customHeight="false" outlineLevel="0" collapsed="false">
      <c r="A10" s="1" t="n">
        <v>1650</v>
      </c>
      <c r="B10" s="29" t="s">
        <v>2</v>
      </c>
      <c r="C10" s="30" t="n">
        <v>43132</v>
      </c>
      <c r="D10" s="31" t="n">
        <f aca="false">VLOOKUP(A10,'Order Shipping'!$A$2:$C$2000,3,FALSE())</f>
        <v>10</v>
      </c>
      <c r="E10" s="32" t="n">
        <f aca="false">VLOOKUP($A10,'Order Sales'!$A$2:$G$2154,E$1,FALSE())</f>
        <v>30</v>
      </c>
      <c r="F10" s="32" t="n">
        <f aca="false">VLOOKUP($A10,'Order Sales'!$A$2:$G$2154,F$1,FALSE())</f>
        <v>424.36</v>
      </c>
      <c r="G10" s="32" t="str">
        <f aca="false">VLOOKUP($A10,'Order Sales'!$A$2:$G$2154,G$1,FALSE())</f>
        <v>Corporate</v>
      </c>
    </row>
    <row r="11" customFormat="false" ht="14.25" hidden="false" customHeight="false" outlineLevel="0" collapsed="false">
      <c r="A11" s="1" t="n">
        <v>2861</v>
      </c>
      <c r="B11" s="29" t="s">
        <v>2</v>
      </c>
      <c r="C11" s="30" t="n">
        <v>43133</v>
      </c>
      <c r="D11" s="31" t="n">
        <f aca="false">VLOOKUP(A11,'Order Shipping'!$A$2:$C$2000,3,FALSE())</f>
        <v>5.6</v>
      </c>
      <c r="E11" s="32" t="n">
        <f aca="false">VLOOKUP($A11,'Order Sales'!$A$2:$G$2154,E$1,FALSE())</f>
        <v>23</v>
      </c>
      <c r="F11" s="32" t="n">
        <f aca="false">VLOOKUP($A11,'Order Sales'!$A$2:$G$2154,F$1,FALSE())</f>
        <v>167.63</v>
      </c>
      <c r="G11" s="32" t="str">
        <f aca="false">VLOOKUP($A11,'Order Sales'!$A$2:$G$2154,G$1,FALSE())</f>
        <v>Small Business</v>
      </c>
    </row>
    <row r="12" customFormat="false" ht="14.25" hidden="false" customHeight="false" outlineLevel="0" collapsed="false">
      <c r="A12" s="1" t="n">
        <v>2609</v>
      </c>
      <c r="B12" s="29" t="s">
        <v>2</v>
      </c>
      <c r="C12" s="30" t="n">
        <v>43134</v>
      </c>
      <c r="D12" s="31" t="n">
        <f aca="false">VLOOKUP(A12,'Order Shipping'!$A$2:$C$2000,3,FALSE())</f>
        <v>3</v>
      </c>
      <c r="E12" s="32" t="n">
        <f aca="false">VLOOKUP($A12,'Order Sales'!$A$2:$G$2154,E$1,FALSE())</f>
        <v>8</v>
      </c>
      <c r="F12" s="32" t="n">
        <f aca="false">VLOOKUP($A12,'Order Sales'!$A$2:$G$2154,F$1,FALSE())</f>
        <v>100.95</v>
      </c>
      <c r="G12" s="32" t="str">
        <f aca="false">VLOOKUP($A12,'Order Sales'!$A$2:$G$2154,G$1,FALSE())</f>
        <v>Corporate</v>
      </c>
    </row>
    <row r="13" customFormat="false" ht="14.25" hidden="false" customHeight="false" outlineLevel="0" collapsed="false">
      <c r="A13" s="1" t="n">
        <v>1802</v>
      </c>
      <c r="B13" s="29" t="s">
        <v>2</v>
      </c>
      <c r="C13" s="30" t="n">
        <v>43135</v>
      </c>
      <c r="D13" s="31" t="n">
        <f aca="false">VLOOKUP(A13,'Order Shipping'!$A$2:$C$2000,3,FALSE())</f>
        <v>0.7</v>
      </c>
      <c r="E13" s="32" t="n">
        <f aca="false">VLOOKUP($A13,'Order Sales'!$A$2:$G$2154,E$1,FALSE())</f>
        <v>14</v>
      </c>
      <c r="F13" s="32" t="n">
        <f aca="false">VLOOKUP($A13,'Order Sales'!$A$2:$G$2154,F$1,FALSE())</f>
        <v>28.95</v>
      </c>
      <c r="G13" s="32" t="str">
        <f aca="false">VLOOKUP($A13,'Order Sales'!$A$2:$G$2154,G$1,FALSE())</f>
        <v>Consumer</v>
      </c>
    </row>
    <row r="14" customFormat="false" ht="14.25" hidden="false" customHeight="false" outlineLevel="0" collapsed="false">
      <c r="A14" s="1" t="n">
        <v>2344</v>
      </c>
      <c r="B14" s="29" t="s">
        <v>2</v>
      </c>
      <c r="C14" s="30" t="n">
        <v>43136</v>
      </c>
      <c r="D14" s="31" t="n">
        <f aca="false">VLOOKUP(A14,'Order Shipping'!$A$2:$C$2000,3,FALSE())</f>
        <v>9.6</v>
      </c>
      <c r="E14" s="32" t="n">
        <f aca="false">VLOOKUP($A14,'Order Sales'!$A$2:$G$2154,E$1,FALSE())</f>
        <v>43</v>
      </c>
      <c r="F14" s="32" t="n">
        <f aca="false">VLOOKUP($A14,'Order Sales'!$A$2:$G$2154,F$1,FALSE())</f>
        <v>1330.95</v>
      </c>
      <c r="G14" s="32" t="str">
        <f aca="false">VLOOKUP($A14,'Order Sales'!$A$2:$G$2154,G$1,FALSE())</f>
        <v>Corporate</v>
      </c>
    </row>
    <row r="15" customFormat="false" ht="14.25" hidden="false" customHeight="false" outlineLevel="0" collapsed="false">
      <c r="A15" s="1" t="n">
        <v>1756</v>
      </c>
      <c r="B15" s="29" t="s">
        <v>2</v>
      </c>
      <c r="C15" s="30" t="n">
        <v>43137</v>
      </c>
      <c r="D15" s="31" t="n">
        <f aca="false">VLOOKUP(A15,'Order Shipping'!$A$2:$C$2000,3,FALSE())</f>
        <v>5.5</v>
      </c>
      <c r="E15" s="32" t="n">
        <f aca="false">VLOOKUP($A15,'Order Sales'!$A$2:$G$2154,E$1,FALSE())</f>
        <v>27</v>
      </c>
      <c r="F15" s="32" t="n">
        <f aca="false">VLOOKUP($A15,'Order Sales'!$A$2:$G$2154,F$1,FALSE())</f>
        <v>184.79</v>
      </c>
      <c r="G15" s="32" t="str">
        <f aca="false">VLOOKUP($A15,'Order Sales'!$A$2:$G$2154,G$1,FALSE())</f>
        <v>Home Office</v>
      </c>
    </row>
    <row r="16" customFormat="false" ht="14.25" hidden="false" customHeight="false" outlineLevel="0" collapsed="false">
      <c r="A16" s="1" t="n">
        <v>2141</v>
      </c>
      <c r="B16" s="29" t="s">
        <v>2</v>
      </c>
      <c r="C16" s="30" t="n">
        <v>43138</v>
      </c>
      <c r="D16" s="31" t="n">
        <f aca="false">VLOOKUP(A16,'Order Shipping'!$A$2:$C$2000,3,FALSE())</f>
        <v>1.6</v>
      </c>
      <c r="E16" s="32" t="n">
        <f aca="false">VLOOKUP($A16,'Order Sales'!$A$2:$G$2154,E$1,FALSE())</f>
        <v>20</v>
      </c>
      <c r="F16" s="32" t="n">
        <f aca="false">VLOOKUP($A16,'Order Sales'!$A$2:$G$2154,F$1,FALSE())</f>
        <v>41.26</v>
      </c>
      <c r="G16" s="32" t="str">
        <f aca="false">VLOOKUP($A16,'Order Sales'!$A$2:$G$2154,G$1,FALSE())</f>
        <v>Corporate</v>
      </c>
    </row>
    <row r="17" customFormat="false" ht="14.25" hidden="false" customHeight="false" outlineLevel="0" collapsed="false">
      <c r="A17" s="1" t="n">
        <v>2505</v>
      </c>
      <c r="B17" s="29" t="s">
        <v>2</v>
      </c>
      <c r="C17" s="30" t="n">
        <v>43139</v>
      </c>
      <c r="D17" s="31" t="n">
        <f aca="false">VLOOKUP(A17,'Order Shipping'!$A$2:$C$2000,3,FALSE())</f>
        <v>3.3</v>
      </c>
      <c r="E17" s="32" t="n">
        <f aca="false">VLOOKUP($A17,'Order Sales'!$A$2:$G$2154,E$1,FALSE())</f>
        <v>16</v>
      </c>
      <c r="F17" s="32" t="n">
        <f aca="false">VLOOKUP($A17,'Order Sales'!$A$2:$G$2154,F$1,FALSE())</f>
        <v>123.41</v>
      </c>
      <c r="G17" s="32" t="str">
        <f aca="false">VLOOKUP($A17,'Order Sales'!$A$2:$G$2154,G$1,FALSE())</f>
        <v>Small Business</v>
      </c>
    </row>
    <row r="18" customFormat="false" ht="14.25" hidden="false" customHeight="false" outlineLevel="0" collapsed="false">
      <c r="A18" s="1" t="n">
        <v>2527</v>
      </c>
      <c r="B18" s="29" t="s">
        <v>2</v>
      </c>
      <c r="C18" s="30" t="n">
        <v>43140</v>
      </c>
      <c r="D18" s="31" t="n">
        <f aca="false">VLOOKUP(A18,'Order Shipping'!$A$2:$C$2000,3,FALSE())</f>
        <v>5.8</v>
      </c>
      <c r="E18" s="32" t="n">
        <f aca="false">VLOOKUP($A18,'Order Sales'!$A$2:$G$2154,E$1,FALSE())</f>
        <v>1</v>
      </c>
      <c r="F18" s="32" t="n">
        <f aca="false">VLOOKUP($A18,'Order Sales'!$A$2:$G$2154,F$1,FALSE())</f>
        <v>12.7</v>
      </c>
      <c r="G18" s="32" t="str">
        <f aca="false">VLOOKUP($A18,'Order Sales'!$A$2:$G$2154,G$1,FALSE())</f>
        <v>Home Office</v>
      </c>
    </row>
    <row r="19" customFormat="false" ht="14.25" hidden="false" customHeight="false" outlineLevel="0" collapsed="false">
      <c r="A19" s="1" t="n">
        <v>1403</v>
      </c>
      <c r="B19" s="29" t="s">
        <v>2</v>
      </c>
      <c r="C19" s="30" t="n">
        <v>43141</v>
      </c>
      <c r="D19" s="31" t="n">
        <f aca="false">VLOOKUP(A19,'Order Shipping'!$A$2:$C$2000,3,FALSE())</f>
        <v>4.3</v>
      </c>
      <c r="E19" s="32" t="n">
        <f aca="false">VLOOKUP($A19,'Order Sales'!$A$2:$G$2154,E$1,FALSE())</f>
        <v>12</v>
      </c>
      <c r="F19" s="32" t="n">
        <f aca="false">VLOOKUP($A19,'Order Sales'!$A$2:$G$2154,F$1,FALSE())</f>
        <v>551.75</v>
      </c>
      <c r="G19" s="32" t="str">
        <f aca="false">VLOOKUP($A19,'Order Sales'!$A$2:$G$2154,G$1,FALSE())</f>
        <v>Corporate</v>
      </c>
    </row>
    <row r="20" customFormat="false" ht="14.25" hidden="false" customHeight="false" outlineLevel="0" collapsed="false">
      <c r="A20" s="1" t="n">
        <v>2751</v>
      </c>
      <c r="B20" s="29" t="s">
        <v>2</v>
      </c>
      <c r="C20" s="30" t="n">
        <v>43142</v>
      </c>
      <c r="D20" s="31" t="n">
        <f aca="false">VLOOKUP(A20,'Order Shipping'!$A$2:$C$2000,3,FALSE())</f>
        <v>64</v>
      </c>
      <c r="E20" s="32" t="n">
        <f aca="false">VLOOKUP($A20,'Order Sales'!$A$2:$G$2154,E$1,FALSE())</f>
        <v>9</v>
      </c>
      <c r="F20" s="32" t="n">
        <f aca="false">VLOOKUP($A20,'Order Sales'!$A$2:$G$2154,F$1,FALSE())</f>
        <v>794.84</v>
      </c>
      <c r="G20" s="32" t="str">
        <f aca="false">VLOOKUP($A20,'Order Sales'!$A$2:$G$2154,G$1,FALSE())</f>
        <v>Home Office</v>
      </c>
    </row>
    <row r="21" customFormat="false" ht="14.25" hidden="false" customHeight="false" outlineLevel="0" collapsed="false">
      <c r="A21" s="1" t="n">
        <v>2903</v>
      </c>
      <c r="B21" s="29" t="s">
        <v>2</v>
      </c>
      <c r="C21" s="30" t="n">
        <v>43143</v>
      </c>
      <c r="D21" s="31" t="n">
        <f aca="false">VLOOKUP(A21,'Order Shipping'!$A$2:$C$2000,3,FALSE())</f>
        <v>5.6</v>
      </c>
      <c r="E21" s="32" t="n">
        <f aca="false">VLOOKUP($A21,'Order Sales'!$A$2:$G$2154,E$1,FALSE())</f>
        <v>17</v>
      </c>
      <c r="F21" s="32" t="n">
        <f aca="false">VLOOKUP($A21,'Order Sales'!$A$2:$G$2154,F$1,FALSE())</f>
        <v>79.45</v>
      </c>
      <c r="G21" s="32" t="str">
        <f aca="false">VLOOKUP($A21,'Order Sales'!$A$2:$G$2154,G$1,FALSE())</f>
        <v>Consumer</v>
      </c>
    </row>
    <row r="22" customFormat="false" ht="14.25" hidden="false" customHeight="false" outlineLevel="0" collapsed="false">
      <c r="A22" s="1" t="n">
        <v>1485</v>
      </c>
      <c r="B22" s="29" t="s">
        <v>2</v>
      </c>
      <c r="C22" s="30" t="n">
        <v>43144</v>
      </c>
      <c r="D22" s="31" t="n">
        <f aca="false">VLOOKUP(A22,'Order Shipping'!$A$2:$C$2000,3,FALSE())</f>
        <v>7.7</v>
      </c>
      <c r="E22" s="32" t="n">
        <f aca="false">VLOOKUP($A22,'Order Sales'!$A$2:$G$2154,E$1,FALSE())</f>
        <v>34</v>
      </c>
      <c r="F22" s="32" t="n">
        <f aca="false">VLOOKUP($A22,'Order Sales'!$A$2:$G$2154,F$1,FALSE())</f>
        <v>2973.74</v>
      </c>
      <c r="G22" s="32" t="str">
        <f aca="false">VLOOKUP($A22,'Order Sales'!$A$2:$G$2154,G$1,FALSE())</f>
        <v>Home Office</v>
      </c>
    </row>
    <row r="23" customFormat="false" ht="14.25" hidden="false" customHeight="false" outlineLevel="0" collapsed="false">
      <c r="A23" s="1" t="n">
        <v>1648</v>
      </c>
      <c r="B23" s="29" t="s">
        <v>2</v>
      </c>
      <c r="C23" s="30" t="n">
        <v>43145</v>
      </c>
      <c r="D23" s="31" t="n">
        <f aca="false">VLOOKUP(A23,'Order Shipping'!$A$2:$C$2000,3,FALSE())</f>
        <v>1.9</v>
      </c>
      <c r="E23" s="32" t="n">
        <f aca="false">VLOOKUP($A23,'Order Sales'!$A$2:$G$2154,E$1,FALSE())</f>
        <v>42</v>
      </c>
      <c r="F23" s="32" t="n">
        <f aca="false">VLOOKUP($A23,'Order Sales'!$A$2:$G$2154,F$1,FALSE())</f>
        <v>465.71</v>
      </c>
      <c r="G23" s="32" t="str">
        <f aca="false">VLOOKUP($A23,'Order Sales'!$A$2:$G$2154,G$1,FALSE())</f>
        <v>Small Business</v>
      </c>
    </row>
    <row r="24" customFormat="false" ht="14.25" hidden="false" customHeight="false" outlineLevel="0" collapsed="false">
      <c r="A24" s="1" t="n">
        <v>2358</v>
      </c>
      <c r="B24" s="29" t="s">
        <v>2</v>
      </c>
      <c r="C24" s="30" t="n">
        <v>43146</v>
      </c>
      <c r="D24" s="31" t="n">
        <f aca="false">VLOOKUP(A24,'Order Shipping'!$A$2:$C$2000,3,FALSE())</f>
        <v>0.7</v>
      </c>
      <c r="E24" s="32" t="n">
        <f aca="false">VLOOKUP($A24,'Order Sales'!$A$2:$G$2154,E$1,FALSE())</f>
        <v>28</v>
      </c>
      <c r="F24" s="32" t="n">
        <f aca="false">VLOOKUP($A24,'Order Sales'!$A$2:$G$2154,F$1,FALSE())</f>
        <v>52.95</v>
      </c>
      <c r="G24" s="32" t="str">
        <f aca="false">VLOOKUP($A24,'Order Sales'!$A$2:$G$2154,G$1,FALSE())</f>
        <v>Home Office</v>
      </c>
    </row>
    <row r="25" customFormat="false" ht="14.25" hidden="false" customHeight="false" outlineLevel="0" collapsed="false">
      <c r="A25" s="1" t="n">
        <v>2948</v>
      </c>
      <c r="B25" s="29" t="s">
        <v>2</v>
      </c>
      <c r="C25" s="30" t="n">
        <v>43147</v>
      </c>
      <c r="D25" s="31" t="n">
        <f aca="false">VLOOKUP(A25,'Order Shipping'!$A$2:$C$2000,3,FALSE())</f>
        <v>15.3</v>
      </c>
      <c r="E25" s="32" t="n">
        <f aca="false">VLOOKUP($A25,'Order Sales'!$A$2:$G$2154,E$1,FALSE())</f>
        <v>29</v>
      </c>
      <c r="F25" s="32" t="n">
        <f aca="false">VLOOKUP($A25,'Order Sales'!$A$2:$G$2154,F$1,FALSE())</f>
        <v>1786.77</v>
      </c>
      <c r="G25" s="32" t="str">
        <f aca="false">VLOOKUP($A25,'Order Sales'!$A$2:$G$2154,G$1,FALSE())</f>
        <v>Corporate</v>
      </c>
    </row>
    <row r="26" customFormat="false" ht="14.25" hidden="false" customHeight="false" outlineLevel="0" collapsed="false">
      <c r="A26" s="1" t="n">
        <v>2382</v>
      </c>
      <c r="B26" s="29" t="s">
        <v>2</v>
      </c>
      <c r="C26" s="30" t="n">
        <v>43148</v>
      </c>
      <c r="D26" s="31" t="n">
        <f aca="false">VLOOKUP(A26,'Order Shipping'!$A$2:$C$2000,3,FALSE())</f>
        <v>9.6</v>
      </c>
      <c r="E26" s="32" t="n">
        <f aca="false">VLOOKUP($A26,'Order Sales'!$A$2:$G$2154,E$1,FALSE())</f>
        <v>42</v>
      </c>
      <c r="F26" s="32" t="n">
        <f aca="false">VLOOKUP($A26,'Order Sales'!$A$2:$G$2154,F$1,FALSE())</f>
        <v>969.49</v>
      </c>
      <c r="G26" s="32" t="str">
        <f aca="false">VLOOKUP($A26,'Order Sales'!$A$2:$G$2154,G$1,FALSE())</f>
        <v>Corporate</v>
      </c>
    </row>
    <row r="27" customFormat="false" ht="14.25" hidden="false" customHeight="false" outlineLevel="0" collapsed="false">
      <c r="A27" s="1" t="n">
        <v>1359</v>
      </c>
      <c r="B27" s="29" t="s">
        <v>2</v>
      </c>
      <c r="C27" s="30" t="n">
        <v>43149</v>
      </c>
      <c r="D27" s="31" t="n">
        <f aca="false">VLOOKUP(A27,'Order Shipping'!$A$2:$C$2000,3,FALSE())</f>
        <v>6.2</v>
      </c>
      <c r="E27" s="32" t="n">
        <f aca="false">VLOOKUP($A27,'Order Sales'!$A$2:$G$2154,E$1,FALSE())</f>
        <v>20</v>
      </c>
      <c r="F27" s="32" t="n">
        <f aca="false">VLOOKUP($A27,'Order Sales'!$A$2:$G$2154,F$1,FALSE())</f>
        <v>428.61</v>
      </c>
      <c r="G27" s="32" t="str">
        <f aca="false">VLOOKUP($A27,'Order Sales'!$A$2:$G$2154,G$1,FALSE())</f>
        <v>Small Business</v>
      </c>
    </row>
    <row r="28" customFormat="false" ht="14.25" hidden="false" customHeight="false" outlineLevel="0" collapsed="false">
      <c r="A28" s="1" t="n">
        <v>1622</v>
      </c>
      <c r="B28" s="29" t="s">
        <v>2</v>
      </c>
      <c r="C28" s="30" t="n">
        <v>43150</v>
      </c>
      <c r="D28" s="31" t="n">
        <f aca="false">VLOOKUP(A28,'Order Shipping'!$A$2:$C$2000,3,FALSE())</f>
        <v>5.6</v>
      </c>
      <c r="E28" s="32" t="n">
        <f aca="false">VLOOKUP($A28,'Order Sales'!$A$2:$G$2154,E$1,FALSE())</f>
        <v>29</v>
      </c>
      <c r="F28" s="32" t="n">
        <f aca="false">VLOOKUP($A28,'Order Sales'!$A$2:$G$2154,F$1,FALSE())</f>
        <v>194.56</v>
      </c>
      <c r="G28" s="32" t="str">
        <f aca="false">VLOOKUP($A28,'Order Sales'!$A$2:$G$2154,G$1,FALSE())</f>
        <v>Small Business</v>
      </c>
    </row>
    <row r="29" customFormat="false" ht="14.25" hidden="false" customHeight="false" outlineLevel="0" collapsed="false">
      <c r="A29" s="1" t="n">
        <v>1753</v>
      </c>
      <c r="B29" s="29" t="s">
        <v>2</v>
      </c>
      <c r="C29" s="30" t="n">
        <v>43151</v>
      </c>
      <c r="D29" s="31" t="n">
        <f aca="false">VLOOKUP(A29,'Order Shipping'!$A$2:$C$2000,3,FALSE())</f>
        <v>3.6</v>
      </c>
      <c r="E29" s="32" t="n">
        <f aca="false">VLOOKUP($A29,'Order Sales'!$A$2:$G$2154,E$1,FALSE())</f>
        <v>24</v>
      </c>
      <c r="F29" s="32" t="n">
        <f aca="false">VLOOKUP($A29,'Order Sales'!$A$2:$G$2154,F$1,FALSE())</f>
        <v>152.8</v>
      </c>
      <c r="G29" s="32" t="str">
        <f aca="false">VLOOKUP($A29,'Order Sales'!$A$2:$G$2154,G$1,FALSE())</f>
        <v>Small Business</v>
      </c>
    </row>
    <row r="30" customFormat="false" ht="14.25" hidden="false" customHeight="false" outlineLevel="0" collapsed="false">
      <c r="A30" s="1" t="n">
        <v>1946</v>
      </c>
      <c r="B30" s="29" t="s">
        <v>2</v>
      </c>
      <c r="C30" s="30" t="n">
        <v>43152</v>
      </c>
      <c r="D30" s="31" t="n">
        <f aca="false">VLOOKUP(A30,'Order Shipping'!$A$2:$C$2000,3,FALSE())</f>
        <v>3.2</v>
      </c>
      <c r="E30" s="32" t="n">
        <f aca="false">VLOOKUP($A30,'Order Sales'!$A$2:$G$2154,E$1,FALSE())</f>
        <v>41</v>
      </c>
      <c r="F30" s="32" t="n">
        <f aca="false">VLOOKUP($A30,'Order Sales'!$A$2:$G$2154,F$1,FALSE())</f>
        <v>246.41</v>
      </c>
      <c r="G30" s="32" t="str">
        <f aca="false">VLOOKUP($A30,'Order Sales'!$A$2:$G$2154,G$1,FALSE())</f>
        <v>Corporate</v>
      </c>
    </row>
    <row r="31" customFormat="false" ht="14.25" hidden="false" customHeight="false" outlineLevel="0" collapsed="false">
      <c r="A31" s="1" t="n">
        <v>2897</v>
      </c>
      <c r="B31" s="29" t="s">
        <v>2</v>
      </c>
      <c r="C31" s="30" t="n">
        <v>43153</v>
      </c>
      <c r="D31" s="31" t="n">
        <f aca="false">VLOOKUP(A31,'Order Shipping'!$A$2:$C$2000,3,FALSE())</f>
        <v>32.2</v>
      </c>
      <c r="E31" s="32" t="n">
        <f aca="false">VLOOKUP($A31,'Order Sales'!$A$2:$G$2154,E$1,FALSE())</f>
        <v>22</v>
      </c>
      <c r="F31" s="32" t="n">
        <f aca="false">VLOOKUP($A31,'Order Sales'!$A$2:$G$2154,F$1,FALSE())</f>
        <v>2033.5</v>
      </c>
      <c r="G31" s="32" t="str">
        <f aca="false">VLOOKUP($A31,'Order Sales'!$A$2:$G$2154,G$1,FALSE())</f>
        <v>Corporate</v>
      </c>
    </row>
    <row r="32" customFormat="false" ht="14.25" hidden="false" customHeight="false" outlineLevel="0" collapsed="false">
      <c r="A32" s="1" t="n">
        <v>2076</v>
      </c>
      <c r="B32" s="29" t="s">
        <v>2</v>
      </c>
      <c r="C32" s="30" t="n">
        <v>43154</v>
      </c>
      <c r="D32" s="31" t="n">
        <f aca="false">VLOOKUP(A32,'Order Shipping'!$A$2:$C$2000,3,FALSE())</f>
        <v>15</v>
      </c>
      <c r="E32" s="32" t="n">
        <f aca="false">VLOOKUP($A32,'Order Sales'!$A$2:$G$2154,E$1,FALSE())</f>
        <v>11</v>
      </c>
      <c r="F32" s="32" t="n">
        <f aca="false">VLOOKUP($A32,'Order Sales'!$A$2:$G$2154,F$1,FALSE())</f>
        <v>3684.23</v>
      </c>
      <c r="G32" s="32" t="str">
        <f aca="false">VLOOKUP($A32,'Order Sales'!$A$2:$G$2154,G$1,FALSE())</f>
        <v>Small Business</v>
      </c>
    </row>
    <row r="33" customFormat="false" ht="14.25" hidden="false" customHeight="false" outlineLevel="0" collapsed="false">
      <c r="A33" s="1" t="n">
        <v>2992</v>
      </c>
      <c r="B33" s="29" t="s">
        <v>2</v>
      </c>
      <c r="C33" s="30" t="n">
        <v>43155</v>
      </c>
      <c r="D33" s="31" t="n">
        <f aca="false">VLOOKUP(A33,'Order Shipping'!$A$2:$C$2000,3,FALSE())</f>
        <v>1.1</v>
      </c>
      <c r="E33" s="32" t="n">
        <f aca="false">VLOOKUP($A33,'Order Sales'!$A$2:$G$2154,E$1,FALSE())</f>
        <v>17</v>
      </c>
      <c r="F33" s="32" t="n">
        <f aca="false">VLOOKUP($A33,'Order Sales'!$A$2:$G$2154,F$1,FALSE())</f>
        <v>333.88</v>
      </c>
      <c r="G33" s="32" t="str">
        <f aca="false">VLOOKUP($A33,'Order Sales'!$A$2:$G$2154,G$1,FALSE())</f>
        <v>Home Office</v>
      </c>
    </row>
    <row r="34" customFormat="false" ht="14.25" hidden="false" customHeight="false" outlineLevel="0" collapsed="false">
      <c r="A34" s="1" t="n">
        <v>1823</v>
      </c>
      <c r="B34" s="29" t="s">
        <v>2</v>
      </c>
      <c r="C34" s="30" t="n">
        <v>43156</v>
      </c>
      <c r="D34" s="31" t="n">
        <f aca="false">VLOOKUP(A34,'Order Shipping'!$A$2:$C$2000,3,FALSE())</f>
        <v>21.4</v>
      </c>
      <c r="E34" s="32" t="n">
        <f aca="false">VLOOKUP($A34,'Order Sales'!$A$2:$G$2154,E$1,FALSE())</f>
        <v>34</v>
      </c>
      <c r="F34" s="32" t="n">
        <f aca="false">VLOOKUP($A34,'Order Sales'!$A$2:$G$2154,F$1,FALSE())</f>
        <v>4442.77</v>
      </c>
      <c r="G34" s="32" t="str">
        <f aca="false">VLOOKUP($A34,'Order Sales'!$A$2:$G$2154,G$1,FALSE())</f>
        <v>Corporate</v>
      </c>
    </row>
    <row r="35" customFormat="false" ht="14.25" hidden="false" customHeight="false" outlineLevel="0" collapsed="false">
      <c r="A35" s="1" t="n">
        <v>1923</v>
      </c>
      <c r="B35" s="29" t="s">
        <v>2</v>
      </c>
      <c r="C35" s="30" t="n">
        <v>43157</v>
      </c>
      <c r="D35" s="31" t="n">
        <f aca="false">VLOOKUP(A35,'Order Shipping'!$A$2:$C$2000,3,FALSE())</f>
        <v>8</v>
      </c>
      <c r="E35" s="32" t="n">
        <f aca="false">VLOOKUP($A35,'Order Sales'!$A$2:$G$2154,E$1,FALSE())</f>
        <v>19</v>
      </c>
      <c r="F35" s="32" t="n">
        <f aca="false">VLOOKUP($A35,'Order Sales'!$A$2:$G$2154,F$1,FALSE())</f>
        <v>80.45</v>
      </c>
      <c r="G35" s="32" t="str">
        <f aca="false">VLOOKUP($A35,'Order Sales'!$A$2:$G$2154,G$1,FALSE())</f>
        <v>Corporate</v>
      </c>
    </row>
    <row r="36" customFormat="false" ht="14.25" hidden="false" customHeight="false" outlineLevel="0" collapsed="false">
      <c r="A36" s="1" t="n">
        <v>1016</v>
      </c>
      <c r="B36" s="29" t="s">
        <v>2</v>
      </c>
      <c r="C36" s="30" t="n">
        <v>43158</v>
      </c>
      <c r="D36" s="31" t="n">
        <f aca="false">VLOOKUP(A36,'Order Shipping'!$A$2:$C$2000,3,FALSE())</f>
        <v>4.4</v>
      </c>
      <c r="E36" s="32" t="n">
        <f aca="false">VLOOKUP($A36,'Order Sales'!$A$2:$G$2154,E$1,FALSE())</f>
        <v>1</v>
      </c>
      <c r="F36" s="32" t="n">
        <f aca="false">VLOOKUP($A36,'Order Sales'!$A$2:$G$2154,F$1,FALSE())</f>
        <v>25.36</v>
      </c>
      <c r="G36" s="32" t="str">
        <f aca="false">VLOOKUP($A36,'Order Sales'!$A$2:$G$2154,G$1,FALSE())</f>
        <v>Home Office</v>
      </c>
    </row>
    <row r="37" customFormat="false" ht="14.25" hidden="false" customHeight="false" outlineLevel="0" collapsed="false">
      <c r="A37" s="1" t="n">
        <v>2853</v>
      </c>
      <c r="B37" s="29" t="s">
        <v>2</v>
      </c>
      <c r="C37" s="30" t="n">
        <v>43159</v>
      </c>
      <c r="D37" s="31" t="n">
        <f aca="false">VLOOKUP(A37,'Order Shipping'!$A$2:$C$2000,3,FALSE())</f>
        <v>48.2</v>
      </c>
      <c r="E37" s="32" t="n">
        <f aca="false">VLOOKUP($A37,'Order Sales'!$A$2:$G$2154,E$1,FALSE())</f>
        <v>2</v>
      </c>
      <c r="F37" s="32" t="n">
        <f aca="false">VLOOKUP($A37,'Order Sales'!$A$2:$G$2154,F$1,FALSE())</f>
        <v>268.25</v>
      </c>
      <c r="G37" s="32" t="str">
        <f aca="false">VLOOKUP($A37,'Order Sales'!$A$2:$G$2154,G$1,FALSE())</f>
        <v>Consumer</v>
      </c>
    </row>
    <row r="38" customFormat="false" ht="14.25" hidden="false" customHeight="false" outlineLevel="0" collapsed="false">
      <c r="A38" s="1" t="n">
        <v>2531</v>
      </c>
      <c r="B38" s="29" t="s">
        <v>2</v>
      </c>
      <c r="C38" s="30" t="n">
        <v>43160</v>
      </c>
      <c r="D38" s="31" t="n">
        <f aca="false">VLOOKUP(A38,'Order Shipping'!$A$2:$C$2000,3,FALSE())</f>
        <v>73.8</v>
      </c>
      <c r="E38" s="32" t="n">
        <f aca="false">VLOOKUP($A38,'Order Sales'!$A$2:$G$2154,E$1,FALSE())</f>
        <v>39</v>
      </c>
      <c r="F38" s="32" t="n">
        <f aca="false">VLOOKUP($A38,'Order Sales'!$A$2:$G$2154,F$1,FALSE())</f>
        <v>4505.77</v>
      </c>
      <c r="G38" s="32" t="str">
        <f aca="false">VLOOKUP($A38,'Order Sales'!$A$2:$G$2154,G$1,FALSE())</f>
        <v>Consumer</v>
      </c>
    </row>
    <row r="39" customFormat="false" ht="14.25" hidden="false" customHeight="false" outlineLevel="0" collapsed="false">
      <c r="A39" s="1" t="n">
        <v>2155</v>
      </c>
      <c r="B39" s="29" t="s">
        <v>2</v>
      </c>
      <c r="C39" s="30" t="n">
        <v>43161</v>
      </c>
      <c r="D39" s="31" t="n">
        <f aca="false">VLOOKUP(A39,'Order Shipping'!$A$2:$C$2000,3,FALSE())</f>
        <v>6.2</v>
      </c>
      <c r="E39" s="32" t="n">
        <f aca="false">VLOOKUP($A39,'Order Sales'!$A$2:$G$2154,E$1,FALSE())</f>
        <v>36</v>
      </c>
      <c r="F39" s="32" t="n">
        <f aca="false">VLOOKUP($A39,'Order Sales'!$A$2:$G$2154,F$1,FALSE())</f>
        <v>4100.64</v>
      </c>
      <c r="G39" s="32" t="str">
        <f aca="false">VLOOKUP($A39,'Order Sales'!$A$2:$G$2154,G$1,FALSE())</f>
        <v>Home Office</v>
      </c>
    </row>
    <row r="40" customFormat="false" ht="14.25" hidden="false" customHeight="false" outlineLevel="0" collapsed="false">
      <c r="A40" s="1" t="n">
        <v>1527</v>
      </c>
      <c r="B40" s="29" t="s">
        <v>2</v>
      </c>
      <c r="C40" s="30" t="n">
        <v>43162</v>
      </c>
      <c r="D40" s="31" t="n">
        <f aca="false">VLOOKUP(A40,'Order Shipping'!$A$2:$C$2000,3,FALSE())</f>
        <v>5</v>
      </c>
      <c r="E40" s="32" t="n">
        <f aca="false">VLOOKUP($A40,'Order Sales'!$A$2:$G$2154,E$1,FALSE())</f>
        <v>16</v>
      </c>
      <c r="F40" s="32" t="n">
        <f aca="false">VLOOKUP($A40,'Order Sales'!$A$2:$G$2154,F$1,FALSE())</f>
        <v>183.51</v>
      </c>
      <c r="G40" s="32" t="str">
        <f aca="false">VLOOKUP($A40,'Order Sales'!$A$2:$G$2154,G$1,FALSE())</f>
        <v>Small Business</v>
      </c>
    </row>
    <row r="41" customFormat="false" ht="14.25" hidden="false" customHeight="false" outlineLevel="0" collapsed="false">
      <c r="A41" s="1" t="n">
        <v>2447</v>
      </c>
      <c r="B41" s="29" t="s">
        <v>2</v>
      </c>
      <c r="C41" s="30" t="n">
        <v>43163</v>
      </c>
      <c r="D41" s="31" t="n">
        <f aca="false">VLOOKUP(A41,'Order Shipping'!$A$2:$C$2000,3,FALSE())</f>
        <v>6.6</v>
      </c>
      <c r="E41" s="32" t="n">
        <f aca="false">VLOOKUP($A41,'Order Sales'!$A$2:$G$2154,E$1,FALSE())</f>
        <v>16</v>
      </c>
      <c r="F41" s="32" t="n">
        <f aca="false">VLOOKUP($A41,'Order Sales'!$A$2:$G$2154,F$1,FALSE())</f>
        <v>1405.59</v>
      </c>
      <c r="G41" s="32" t="str">
        <f aca="false">VLOOKUP($A41,'Order Sales'!$A$2:$G$2154,G$1,FALSE())</f>
        <v>Corporate</v>
      </c>
    </row>
    <row r="42" customFormat="false" ht="14.25" hidden="false" customHeight="false" outlineLevel="0" collapsed="false">
      <c r="A42" s="1" t="n">
        <v>2980</v>
      </c>
      <c r="B42" s="29" t="s">
        <v>2</v>
      </c>
      <c r="C42" s="30" t="n">
        <v>43164</v>
      </c>
      <c r="D42" s="31" t="n">
        <f aca="false">VLOOKUP(A42,'Order Shipping'!$A$2:$C$2000,3,FALSE())</f>
        <v>4.2</v>
      </c>
      <c r="E42" s="32" t="n">
        <f aca="false">VLOOKUP($A42,'Order Sales'!$A$2:$G$2154,E$1,FALSE())</f>
        <v>21</v>
      </c>
      <c r="F42" s="32" t="n">
        <f aca="false">VLOOKUP($A42,'Order Sales'!$A$2:$G$2154,F$1,FALSE())</f>
        <v>73.33</v>
      </c>
      <c r="G42" s="32" t="str">
        <f aca="false">VLOOKUP($A42,'Order Sales'!$A$2:$G$2154,G$1,FALSE())</f>
        <v>Corporate</v>
      </c>
    </row>
    <row r="43" customFormat="false" ht="14.25" hidden="false" customHeight="false" outlineLevel="0" collapsed="false">
      <c r="A43" s="1" t="n">
        <v>2958</v>
      </c>
      <c r="B43" s="29" t="s">
        <v>2</v>
      </c>
      <c r="C43" s="30" t="n">
        <v>43165</v>
      </c>
      <c r="D43" s="31" t="n">
        <f aca="false">VLOOKUP(A43,'Order Shipping'!$A$2:$C$2000,3,FALSE())</f>
        <v>9.6</v>
      </c>
      <c r="E43" s="32" t="n">
        <f aca="false">VLOOKUP($A43,'Order Sales'!$A$2:$G$2154,E$1,FALSE())</f>
        <v>17</v>
      </c>
      <c r="F43" s="32" t="n">
        <f aca="false">VLOOKUP($A43,'Order Sales'!$A$2:$G$2154,F$1,FALSE())</f>
        <v>1636.04</v>
      </c>
      <c r="G43" s="32" t="str">
        <f aca="false">VLOOKUP($A43,'Order Sales'!$A$2:$G$2154,G$1,FALSE())</f>
        <v>Home Office</v>
      </c>
    </row>
    <row r="44" customFormat="false" ht="14.25" hidden="false" customHeight="false" outlineLevel="0" collapsed="false">
      <c r="A44" s="1" t="n">
        <v>2994</v>
      </c>
      <c r="B44" s="29" t="s">
        <v>2</v>
      </c>
      <c r="C44" s="30" t="n">
        <v>43166</v>
      </c>
      <c r="D44" s="31" t="n">
        <f aca="false">VLOOKUP(A44,'Order Shipping'!$A$2:$C$2000,3,FALSE())</f>
        <v>7</v>
      </c>
      <c r="E44" s="32" t="n">
        <f aca="false">VLOOKUP($A44,'Order Sales'!$A$2:$G$2154,E$1,FALSE())</f>
        <v>16</v>
      </c>
      <c r="F44" s="32" t="n">
        <f aca="false">VLOOKUP($A44,'Order Sales'!$A$2:$G$2154,F$1,FALSE())</f>
        <v>542.32</v>
      </c>
      <c r="G44" s="32" t="str">
        <f aca="false">VLOOKUP($A44,'Order Sales'!$A$2:$G$2154,G$1,FALSE())</f>
        <v>Home Office</v>
      </c>
    </row>
    <row r="45" customFormat="false" ht="14.25" hidden="false" customHeight="false" outlineLevel="0" collapsed="false">
      <c r="A45" s="1" t="n">
        <v>1190</v>
      </c>
      <c r="B45" s="29" t="s">
        <v>2</v>
      </c>
      <c r="C45" s="30" t="n">
        <v>43167</v>
      </c>
      <c r="D45" s="31" t="n">
        <f aca="false">VLOOKUP(A45,'Order Shipping'!$A$2:$C$2000,3,FALSE())</f>
        <v>26.2</v>
      </c>
      <c r="E45" s="32" t="n">
        <f aca="false">VLOOKUP($A45,'Order Sales'!$A$2:$G$2154,E$1,FALSE())</f>
        <v>3</v>
      </c>
      <c r="F45" s="32" t="n">
        <f aca="false">VLOOKUP($A45,'Order Sales'!$A$2:$G$2154,F$1,FALSE())</f>
        <v>2179.56</v>
      </c>
      <c r="G45" s="32" t="str">
        <f aca="false">VLOOKUP($A45,'Order Sales'!$A$2:$G$2154,G$1,FALSE())</f>
        <v>Small Business</v>
      </c>
    </row>
    <row r="46" customFormat="false" ht="14.25" hidden="false" customHeight="false" outlineLevel="0" collapsed="false">
      <c r="A46" s="1" t="n">
        <v>1565</v>
      </c>
      <c r="B46" s="29" t="s">
        <v>2</v>
      </c>
      <c r="C46" s="30" t="n">
        <v>43168</v>
      </c>
      <c r="D46" s="31" t="n">
        <f aca="false">VLOOKUP(A46,'Order Shipping'!$A$2:$C$2000,3,FALSE())</f>
        <v>52.4</v>
      </c>
      <c r="E46" s="32" t="n">
        <f aca="false">VLOOKUP($A46,'Order Sales'!$A$2:$G$2154,E$1,FALSE())</f>
        <v>47</v>
      </c>
      <c r="F46" s="32" t="n">
        <f aca="false">VLOOKUP($A46,'Order Sales'!$A$2:$G$2154,F$1,FALSE())</f>
        <v>23064.49</v>
      </c>
      <c r="G46" s="32" t="str">
        <f aca="false">VLOOKUP($A46,'Order Sales'!$A$2:$G$2154,G$1,FALSE())</f>
        <v>Small Business</v>
      </c>
    </row>
    <row r="47" customFormat="false" ht="14.25" hidden="false" customHeight="false" outlineLevel="0" collapsed="false">
      <c r="A47" s="1" t="n">
        <v>1877</v>
      </c>
      <c r="B47" s="29" t="s">
        <v>2</v>
      </c>
      <c r="C47" s="30" t="n">
        <v>43169</v>
      </c>
      <c r="D47" s="31" t="n">
        <f aca="false">VLOOKUP(A47,'Order Shipping'!$A$2:$C$2000,3,FALSE())</f>
        <v>5.6</v>
      </c>
      <c r="E47" s="32" t="n">
        <f aca="false">VLOOKUP($A47,'Order Sales'!$A$2:$G$2154,E$1,FALSE())</f>
        <v>26</v>
      </c>
      <c r="F47" s="32" t="n">
        <f aca="false">VLOOKUP($A47,'Order Sales'!$A$2:$G$2154,F$1,FALSE())</f>
        <v>5017.17</v>
      </c>
      <c r="G47" s="32" t="str">
        <f aca="false">VLOOKUP($A47,'Order Sales'!$A$2:$G$2154,G$1,FALSE())</f>
        <v>Corporate</v>
      </c>
    </row>
    <row r="48" customFormat="false" ht="14.25" hidden="false" customHeight="false" outlineLevel="0" collapsed="false">
      <c r="A48" s="1" t="n">
        <v>1817</v>
      </c>
      <c r="B48" s="29" t="s">
        <v>2</v>
      </c>
      <c r="C48" s="30" t="n">
        <v>43170</v>
      </c>
      <c r="D48" s="31" t="n">
        <f aca="false">VLOOKUP(A48,'Order Shipping'!$A$2:$C$2000,3,FALSE())</f>
        <v>5.4</v>
      </c>
      <c r="E48" s="32" t="n">
        <f aca="false">VLOOKUP($A48,'Order Sales'!$A$2:$G$2154,E$1,FALSE())</f>
        <v>37</v>
      </c>
      <c r="F48" s="32" t="n">
        <f aca="false">VLOOKUP($A48,'Order Sales'!$A$2:$G$2154,F$1,FALSE())</f>
        <v>1537.53</v>
      </c>
      <c r="G48" s="32" t="str">
        <f aca="false">VLOOKUP($A48,'Order Sales'!$A$2:$G$2154,G$1,FALSE())</f>
        <v>Small Business</v>
      </c>
    </row>
    <row r="49" customFormat="false" ht="14.25" hidden="false" customHeight="false" outlineLevel="0" collapsed="false">
      <c r="A49" s="1" t="n">
        <v>1297</v>
      </c>
      <c r="B49" s="29" t="s">
        <v>2</v>
      </c>
      <c r="C49" s="30" t="n">
        <v>43171</v>
      </c>
      <c r="D49" s="31" t="n">
        <f aca="false">VLOOKUP(A49,'Order Shipping'!$A$2:$C$2000,3,FALSE())</f>
        <v>59.1</v>
      </c>
      <c r="E49" s="32" t="n">
        <f aca="false">VLOOKUP($A49,'Order Sales'!$A$2:$G$2154,E$1,FALSE())</f>
        <v>36</v>
      </c>
      <c r="F49" s="32" t="n">
        <f aca="false">VLOOKUP($A49,'Order Sales'!$A$2:$G$2154,F$1,FALSE())</f>
        <v>6396.06</v>
      </c>
      <c r="G49" s="32" t="str">
        <f aca="false">VLOOKUP($A49,'Order Sales'!$A$2:$G$2154,G$1,FALSE())</f>
        <v>Consumer</v>
      </c>
    </row>
    <row r="50" customFormat="false" ht="14.25" hidden="false" customHeight="false" outlineLevel="0" collapsed="false">
      <c r="A50" s="1" t="n">
        <v>1151</v>
      </c>
      <c r="B50" s="29" t="s">
        <v>2</v>
      </c>
      <c r="C50" s="30" t="n">
        <v>43172</v>
      </c>
      <c r="D50" s="31" t="n">
        <f aca="false">VLOOKUP(A50,'Order Shipping'!$A$2:$C$2000,3,FALSE())</f>
        <v>10</v>
      </c>
      <c r="E50" s="32" t="n">
        <f aca="false">VLOOKUP($A50,'Order Sales'!$A$2:$G$2154,E$1,FALSE())</f>
        <v>21</v>
      </c>
      <c r="F50" s="32" t="n">
        <f aca="false">VLOOKUP($A50,'Order Sales'!$A$2:$G$2154,F$1,FALSE())</f>
        <v>331.29</v>
      </c>
      <c r="G50" s="32" t="str">
        <f aca="false">VLOOKUP($A50,'Order Sales'!$A$2:$G$2154,G$1,FALSE())</f>
        <v>Corporate</v>
      </c>
    </row>
    <row r="51" customFormat="false" ht="14.25" hidden="false" customHeight="false" outlineLevel="0" collapsed="false">
      <c r="A51" s="1" t="n">
        <v>1382</v>
      </c>
      <c r="B51" s="29" t="s">
        <v>2</v>
      </c>
      <c r="C51" s="30" t="n">
        <v>43173</v>
      </c>
      <c r="D51" s="31" t="n">
        <f aca="false">VLOOKUP(A51,'Order Shipping'!$A$2:$C$2000,3,FALSE())</f>
        <v>2.2</v>
      </c>
      <c r="E51" s="32" t="n">
        <f aca="false">VLOOKUP($A51,'Order Sales'!$A$2:$G$2154,E$1,FALSE())</f>
        <v>25</v>
      </c>
      <c r="F51" s="32" t="n">
        <f aca="false">VLOOKUP($A51,'Order Sales'!$A$2:$G$2154,F$1,FALSE())</f>
        <v>130.64</v>
      </c>
      <c r="G51" s="32" t="str">
        <f aca="false">VLOOKUP($A51,'Order Sales'!$A$2:$G$2154,G$1,FALSE())</f>
        <v>Home Office</v>
      </c>
    </row>
    <row r="52" customFormat="false" ht="14.25" hidden="false" customHeight="false" outlineLevel="0" collapsed="false">
      <c r="A52" s="1" t="n">
        <v>2148</v>
      </c>
      <c r="B52" s="29" t="s">
        <v>2</v>
      </c>
      <c r="C52" s="30" t="n">
        <v>43174</v>
      </c>
      <c r="D52" s="31" t="n">
        <f aca="false">VLOOKUP(A52,'Order Shipping'!$A$2:$C$2000,3,FALSE())</f>
        <v>3.2</v>
      </c>
      <c r="E52" s="32" t="n">
        <f aca="false">VLOOKUP($A52,'Order Sales'!$A$2:$G$2154,E$1,FALSE())</f>
        <v>6</v>
      </c>
      <c r="F52" s="32" t="n">
        <f aca="false">VLOOKUP($A52,'Order Sales'!$A$2:$G$2154,F$1,FALSE())</f>
        <v>38.15</v>
      </c>
      <c r="G52" s="32" t="str">
        <f aca="false">VLOOKUP($A52,'Order Sales'!$A$2:$G$2154,G$1,FALSE())</f>
        <v>Home Office</v>
      </c>
    </row>
    <row r="53" customFormat="false" ht="14.25" hidden="false" customHeight="false" outlineLevel="0" collapsed="false">
      <c r="A53" s="1" t="n">
        <v>1327</v>
      </c>
      <c r="B53" s="29" t="s">
        <v>2</v>
      </c>
      <c r="C53" s="30" t="n">
        <v>43175</v>
      </c>
      <c r="D53" s="31" t="n">
        <f aca="false">VLOOKUP(A53,'Order Shipping'!$A$2:$C$2000,3,FALSE())</f>
        <v>6.4</v>
      </c>
      <c r="E53" s="32" t="n">
        <f aca="false">VLOOKUP($A53,'Order Sales'!$A$2:$G$2154,E$1,FALSE())</f>
        <v>2</v>
      </c>
      <c r="F53" s="32" t="n">
        <f aca="false">VLOOKUP($A53,'Order Sales'!$A$2:$G$2154,F$1,FALSE())</f>
        <v>210.63</v>
      </c>
      <c r="G53" s="32" t="str">
        <f aca="false">VLOOKUP($A53,'Order Sales'!$A$2:$G$2154,G$1,FALSE())</f>
        <v>Home Office</v>
      </c>
    </row>
    <row r="54" customFormat="false" ht="14.25" hidden="false" customHeight="false" outlineLevel="0" collapsed="false">
      <c r="A54" s="1" t="n">
        <v>2144</v>
      </c>
      <c r="B54" s="29" t="s">
        <v>2</v>
      </c>
      <c r="C54" s="30" t="n">
        <v>43176</v>
      </c>
      <c r="D54" s="31" t="n">
        <f aca="false">VLOOKUP(A54,'Order Shipping'!$A$2:$C$2000,3,FALSE())</f>
        <v>9.2</v>
      </c>
      <c r="E54" s="32" t="n">
        <f aca="false">VLOOKUP($A54,'Order Sales'!$A$2:$G$2154,E$1,FALSE())</f>
        <v>13</v>
      </c>
      <c r="F54" s="32" t="n">
        <f aca="false">VLOOKUP($A54,'Order Sales'!$A$2:$G$2154,F$1,FALSE())</f>
        <v>337.9</v>
      </c>
      <c r="G54" s="32" t="str">
        <f aca="false">VLOOKUP($A54,'Order Sales'!$A$2:$G$2154,G$1,FALSE())</f>
        <v>Small Business</v>
      </c>
    </row>
    <row r="55" customFormat="false" ht="14.25" hidden="false" customHeight="false" outlineLevel="0" collapsed="false">
      <c r="A55" s="1" t="n">
        <v>1504</v>
      </c>
      <c r="B55" s="29" t="s">
        <v>2</v>
      </c>
      <c r="C55" s="30" t="n">
        <v>43177</v>
      </c>
      <c r="D55" s="31" t="n">
        <f aca="false">VLOOKUP(A55,'Order Shipping'!$A$2:$C$2000,3,FALSE())</f>
        <v>15</v>
      </c>
      <c r="E55" s="32" t="n">
        <f aca="false">VLOOKUP($A55,'Order Sales'!$A$2:$G$2154,E$1,FALSE())</f>
        <v>39</v>
      </c>
      <c r="F55" s="32" t="n">
        <f aca="false">VLOOKUP($A55,'Order Sales'!$A$2:$G$2154,F$1,FALSE())</f>
        <v>1183.06</v>
      </c>
      <c r="G55" s="32" t="str">
        <f aca="false">VLOOKUP($A55,'Order Sales'!$A$2:$G$2154,G$1,FALSE())</f>
        <v>Consumer</v>
      </c>
    </row>
    <row r="56" customFormat="false" ht="14.25" hidden="false" customHeight="false" outlineLevel="0" collapsed="false">
      <c r="A56" s="1" t="n">
        <v>2064</v>
      </c>
      <c r="B56" s="29" t="s">
        <v>2</v>
      </c>
      <c r="C56" s="30" t="n">
        <v>43178</v>
      </c>
      <c r="D56" s="31" t="n">
        <f aca="false">VLOOKUP(A56,'Order Shipping'!$A$2:$C$2000,3,FALSE())</f>
        <v>21.4</v>
      </c>
      <c r="E56" s="32" t="n">
        <f aca="false">VLOOKUP($A56,'Order Sales'!$A$2:$G$2154,E$1,FALSE())</f>
        <v>14</v>
      </c>
      <c r="F56" s="32" t="n">
        <f aca="false">VLOOKUP($A56,'Order Sales'!$A$2:$G$2154,F$1,FALSE())</f>
        <v>635.17</v>
      </c>
      <c r="G56" s="32" t="str">
        <f aca="false">VLOOKUP($A56,'Order Sales'!$A$2:$G$2154,G$1,FALSE())</f>
        <v>Small Business</v>
      </c>
    </row>
    <row r="57" customFormat="false" ht="14.25" hidden="false" customHeight="false" outlineLevel="0" collapsed="false">
      <c r="A57" s="1" t="n">
        <v>1569</v>
      </c>
      <c r="B57" s="29" t="s">
        <v>2</v>
      </c>
      <c r="C57" s="30" t="n">
        <v>43179</v>
      </c>
      <c r="D57" s="31" t="n">
        <f aca="false">VLOOKUP(A57,'Order Shipping'!$A$2:$C$2000,3,FALSE())</f>
        <v>4.8</v>
      </c>
      <c r="E57" s="32" t="n">
        <f aca="false">VLOOKUP($A57,'Order Sales'!$A$2:$G$2154,E$1,FALSE())</f>
        <v>42</v>
      </c>
      <c r="F57" s="32" t="n">
        <f aca="false">VLOOKUP($A57,'Order Sales'!$A$2:$G$2154,F$1,FALSE())</f>
        <v>2683</v>
      </c>
      <c r="G57" s="32" t="str">
        <f aca="false">VLOOKUP($A57,'Order Sales'!$A$2:$G$2154,G$1,FALSE())</f>
        <v>Consumer</v>
      </c>
    </row>
    <row r="58" customFormat="false" ht="14.25" hidden="false" customHeight="false" outlineLevel="0" collapsed="false">
      <c r="A58" s="1" t="n">
        <v>2119</v>
      </c>
      <c r="B58" s="29" t="s">
        <v>2</v>
      </c>
      <c r="C58" s="30" t="n">
        <v>43180</v>
      </c>
      <c r="D58" s="31" t="n">
        <f aca="false">VLOOKUP(A58,'Order Shipping'!$A$2:$C$2000,3,FALSE())</f>
        <v>3.5</v>
      </c>
      <c r="E58" s="32" t="n">
        <f aca="false">VLOOKUP($A58,'Order Sales'!$A$2:$G$2154,E$1,FALSE())</f>
        <v>19</v>
      </c>
      <c r="F58" s="32" t="n">
        <f aca="false">VLOOKUP($A58,'Order Sales'!$A$2:$G$2154,F$1,FALSE())</f>
        <v>350.05</v>
      </c>
      <c r="G58" s="32" t="str">
        <f aca="false">VLOOKUP($A58,'Order Sales'!$A$2:$G$2154,G$1,FALSE())</f>
        <v>Corporate</v>
      </c>
    </row>
    <row r="59" customFormat="false" ht="14.25" hidden="false" customHeight="false" outlineLevel="0" collapsed="false">
      <c r="A59" s="1" t="n">
        <v>1810</v>
      </c>
      <c r="B59" s="29" t="s">
        <v>2</v>
      </c>
      <c r="C59" s="30" t="n">
        <v>43181</v>
      </c>
      <c r="D59" s="31" t="n">
        <f aca="false">VLOOKUP(A59,'Order Shipping'!$A$2:$C$2000,3,FALSE())</f>
        <v>2.6</v>
      </c>
      <c r="E59" s="32" t="n">
        <f aca="false">VLOOKUP($A59,'Order Sales'!$A$2:$G$2154,E$1,FALSE())</f>
        <v>7</v>
      </c>
      <c r="F59" s="32" t="n">
        <f aca="false">VLOOKUP($A59,'Order Sales'!$A$2:$G$2154,F$1,FALSE())</f>
        <v>36.37</v>
      </c>
      <c r="G59" s="32" t="str">
        <f aca="false">VLOOKUP($A59,'Order Sales'!$A$2:$G$2154,G$1,FALSE())</f>
        <v>Corporate</v>
      </c>
    </row>
    <row r="60" customFormat="false" ht="14.25" hidden="false" customHeight="false" outlineLevel="0" collapsed="false">
      <c r="A60" s="1" t="n">
        <v>2669</v>
      </c>
      <c r="B60" s="29" t="s">
        <v>2</v>
      </c>
      <c r="C60" s="30" t="n">
        <v>43182</v>
      </c>
      <c r="D60" s="31" t="n">
        <f aca="false">VLOOKUP(A60,'Order Shipping'!$A$2:$C$2000,3,FALSE())</f>
        <v>30.1</v>
      </c>
      <c r="E60" s="32" t="n">
        <f aca="false">VLOOKUP($A60,'Order Sales'!$A$2:$G$2154,E$1,FALSE())</f>
        <v>12</v>
      </c>
      <c r="F60" s="32" t="n">
        <f aca="false">VLOOKUP($A60,'Order Sales'!$A$2:$G$2154,F$1,FALSE())</f>
        <v>6146.34</v>
      </c>
      <c r="G60" s="32" t="str">
        <f aca="false">VLOOKUP($A60,'Order Sales'!$A$2:$G$2154,G$1,FALSE())</f>
        <v>Corporate</v>
      </c>
    </row>
    <row r="61" customFormat="false" ht="14.25" hidden="false" customHeight="false" outlineLevel="0" collapsed="false">
      <c r="A61" s="1" t="n">
        <v>2383</v>
      </c>
      <c r="B61" s="29" t="s">
        <v>2</v>
      </c>
      <c r="C61" s="30" t="n">
        <v>43183</v>
      </c>
      <c r="D61" s="31" t="n">
        <f aca="false">VLOOKUP(A61,'Order Shipping'!$A$2:$C$2000,3,FALSE())</f>
        <v>4.4</v>
      </c>
      <c r="E61" s="32" t="n">
        <f aca="false">VLOOKUP($A61,'Order Sales'!$A$2:$G$2154,E$1,FALSE())</f>
        <v>40</v>
      </c>
      <c r="F61" s="32" t="n">
        <f aca="false">VLOOKUP($A61,'Order Sales'!$A$2:$G$2154,F$1,FALSE())</f>
        <v>1110.86</v>
      </c>
      <c r="G61" s="32" t="str">
        <f aca="false">VLOOKUP($A61,'Order Sales'!$A$2:$G$2154,G$1,FALSE())</f>
        <v>Corporate</v>
      </c>
    </row>
    <row r="62" customFormat="false" ht="14.25" hidden="false" customHeight="false" outlineLevel="0" collapsed="false">
      <c r="A62" s="1" t="n">
        <v>1591</v>
      </c>
      <c r="B62" s="29" t="s">
        <v>2</v>
      </c>
      <c r="C62" s="30" t="n">
        <v>43184</v>
      </c>
      <c r="D62" s="31" t="n">
        <f aca="false">VLOOKUP(A62,'Order Shipping'!$A$2:$C$2000,3,FALSE())</f>
        <v>7.2</v>
      </c>
      <c r="E62" s="32" t="n">
        <f aca="false">VLOOKUP($A62,'Order Sales'!$A$2:$G$2154,E$1,FALSE())</f>
        <v>15</v>
      </c>
      <c r="F62" s="32" t="n">
        <f aca="false">VLOOKUP($A62,'Order Sales'!$A$2:$G$2154,F$1,FALSE())</f>
        <v>232.9</v>
      </c>
      <c r="G62" s="32" t="str">
        <f aca="false">VLOOKUP($A62,'Order Sales'!$A$2:$G$2154,G$1,FALSE())</f>
        <v>Corporate</v>
      </c>
    </row>
    <row r="63" customFormat="false" ht="14.25" hidden="false" customHeight="false" outlineLevel="0" collapsed="false">
      <c r="A63" s="1" t="n">
        <v>2647</v>
      </c>
      <c r="B63" s="29" t="s">
        <v>2</v>
      </c>
      <c r="C63" s="30" t="n">
        <v>43185</v>
      </c>
      <c r="D63" s="31" t="n">
        <f aca="false">VLOOKUP(A63,'Order Shipping'!$A$2:$C$2000,3,FALSE())</f>
        <v>73.8</v>
      </c>
      <c r="E63" s="32" t="n">
        <f aca="false">VLOOKUP($A63,'Order Sales'!$A$2:$G$2154,E$1,FALSE())</f>
        <v>10</v>
      </c>
      <c r="F63" s="32" t="n">
        <f aca="false">VLOOKUP($A63,'Order Sales'!$A$2:$G$2154,F$1,FALSE())</f>
        <v>2099</v>
      </c>
      <c r="G63" s="32" t="str">
        <f aca="false">VLOOKUP($A63,'Order Sales'!$A$2:$G$2154,G$1,FALSE())</f>
        <v>Corporate</v>
      </c>
    </row>
    <row r="64" customFormat="false" ht="14.25" hidden="false" customHeight="false" outlineLevel="0" collapsed="false">
      <c r="A64" s="1" t="n">
        <v>2464</v>
      </c>
      <c r="B64" s="29" t="s">
        <v>2</v>
      </c>
      <c r="C64" s="30" t="n">
        <v>43186</v>
      </c>
      <c r="D64" s="31" t="n">
        <f aca="false">VLOOKUP(A64,'Order Shipping'!$A$2:$C$2000,3,FALSE())</f>
        <v>5.1</v>
      </c>
      <c r="E64" s="32" t="n">
        <f aca="false">VLOOKUP($A64,'Order Sales'!$A$2:$G$2154,E$1,FALSE())</f>
        <v>4</v>
      </c>
      <c r="F64" s="32" t="n">
        <f aca="false">VLOOKUP($A64,'Order Sales'!$A$2:$G$2154,F$1,FALSE())</f>
        <v>13.36</v>
      </c>
      <c r="G64" s="32" t="str">
        <f aca="false">VLOOKUP($A64,'Order Sales'!$A$2:$G$2154,G$1,FALSE())</f>
        <v>Home Office</v>
      </c>
    </row>
    <row r="65" customFormat="false" ht="14.25" hidden="false" customHeight="false" outlineLevel="0" collapsed="false">
      <c r="A65" s="1" t="n">
        <v>1457</v>
      </c>
      <c r="B65" s="29" t="s">
        <v>2</v>
      </c>
      <c r="C65" s="30" t="n">
        <v>43187</v>
      </c>
      <c r="D65" s="31" t="n">
        <f aca="false">VLOOKUP(A65,'Order Shipping'!$A$2:$C$2000,3,FALSE())</f>
        <v>5.4</v>
      </c>
      <c r="E65" s="32" t="n">
        <f aca="false">VLOOKUP($A65,'Order Sales'!$A$2:$G$2154,E$1,FALSE())</f>
        <v>32</v>
      </c>
      <c r="F65" s="32" t="n">
        <f aca="false">VLOOKUP($A65,'Order Sales'!$A$2:$G$2154,F$1,FALSE())</f>
        <v>407.93</v>
      </c>
      <c r="G65" s="32" t="str">
        <f aca="false">VLOOKUP($A65,'Order Sales'!$A$2:$G$2154,G$1,FALSE())</f>
        <v>Consumer</v>
      </c>
    </row>
    <row r="66" customFormat="false" ht="14.25" hidden="false" customHeight="false" outlineLevel="0" collapsed="false">
      <c r="A66" s="1" t="n">
        <v>1725</v>
      </c>
      <c r="B66" s="29" t="s">
        <v>2</v>
      </c>
      <c r="C66" s="30" t="n">
        <v>43188</v>
      </c>
      <c r="D66" s="31" t="n">
        <f aca="false">VLOOKUP(A66,'Order Shipping'!$A$2:$C$2000,3,FALSE())</f>
        <v>5.2</v>
      </c>
      <c r="E66" s="32" t="n">
        <f aca="false">VLOOKUP($A66,'Order Sales'!$A$2:$G$2154,E$1,FALSE())</f>
        <v>37</v>
      </c>
      <c r="F66" s="32" t="n">
        <f aca="false">VLOOKUP($A66,'Order Sales'!$A$2:$G$2154,F$1,FALSE())</f>
        <v>1105.78</v>
      </c>
      <c r="G66" s="32" t="str">
        <f aca="false">VLOOKUP($A66,'Order Sales'!$A$2:$G$2154,G$1,FALSE())</f>
        <v>Corporate</v>
      </c>
    </row>
    <row r="67" customFormat="false" ht="14.25" hidden="false" customHeight="false" outlineLevel="0" collapsed="false">
      <c r="A67" s="1" t="n">
        <v>1364</v>
      </c>
      <c r="B67" s="29" t="s">
        <v>2</v>
      </c>
      <c r="C67" s="30" t="n">
        <v>43189</v>
      </c>
      <c r="D67" s="31" t="n">
        <f aca="false">VLOOKUP(A67,'Order Shipping'!$A$2:$C$2000,3,FALSE())</f>
        <v>6.3</v>
      </c>
      <c r="E67" s="32" t="n">
        <f aca="false">VLOOKUP($A67,'Order Sales'!$A$2:$G$2154,E$1,FALSE())</f>
        <v>7</v>
      </c>
      <c r="F67" s="32" t="n">
        <f aca="false">VLOOKUP($A67,'Order Sales'!$A$2:$G$2154,F$1,FALSE())</f>
        <v>155.1</v>
      </c>
      <c r="G67" s="32" t="str">
        <f aca="false">VLOOKUP($A67,'Order Sales'!$A$2:$G$2154,G$1,FALSE())</f>
        <v>Small Business</v>
      </c>
    </row>
    <row r="68" customFormat="false" ht="14.25" hidden="false" customHeight="false" outlineLevel="0" collapsed="false">
      <c r="A68" s="1" t="n">
        <v>2646</v>
      </c>
      <c r="B68" s="29" t="s">
        <v>2</v>
      </c>
      <c r="C68" s="30" t="n">
        <v>43190</v>
      </c>
      <c r="D68" s="31" t="n">
        <f aca="false">VLOOKUP(A68,'Order Shipping'!$A$2:$C$2000,3,FALSE())</f>
        <v>10.4</v>
      </c>
      <c r="E68" s="32" t="n">
        <f aca="false">VLOOKUP($A68,'Order Sales'!$A$2:$G$2154,E$1,FALSE())</f>
        <v>36</v>
      </c>
      <c r="F68" s="32" t="n">
        <f aca="false">VLOOKUP($A68,'Order Sales'!$A$2:$G$2154,F$1,FALSE())</f>
        <v>260.2</v>
      </c>
      <c r="G68" s="32" t="str">
        <f aca="false">VLOOKUP($A68,'Order Sales'!$A$2:$G$2154,G$1,FALSE())</f>
        <v>Small Business</v>
      </c>
    </row>
    <row r="69" customFormat="false" ht="14.25" hidden="false" customHeight="false" outlineLevel="0" collapsed="false">
      <c r="A69" s="1" t="n">
        <v>2952</v>
      </c>
      <c r="B69" s="29" t="s">
        <v>2</v>
      </c>
      <c r="C69" s="30" t="n">
        <v>43191</v>
      </c>
      <c r="D69" s="31" t="n">
        <f aca="false">VLOOKUP(A69,'Order Shipping'!$A$2:$C$2000,3,FALSE())</f>
        <v>2.1</v>
      </c>
      <c r="E69" s="32" t="n">
        <f aca="false">VLOOKUP($A69,'Order Sales'!$A$2:$G$2154,E$1,FALSE())</f>
        <v>13</v>
      </c>
      <c r="F69" s="32" t="n">
        <f aca="false">VLOOKUP($A69,'Order Sales'!$A$2:$G$2154,F$1,FALSE())</f>
        <v>52.52</v>
      </c>
      <c r="G69" s="32" t="str">
        <f aca="false">VLOOKUP($A69,'Order Sales'!$A$2:$G$2154,G$1,FALSE())</f>
        <v>Small Business</v>
      </c>
    </row>
    <row r="70" customFormat="false" ht="14.25" hidden="false" customHeight="false" outlineLevel="0" collapsed="false">
      <c r="A70" s="1" t="n">
        <v>2456</v>
      </c>
      <c r="B70" s="29" t="s">
        <v>2</v>
      </c>
      <c r="C70" s="30" t="n">
        <v>43192</v>
      </c>
      <c r="D70" s="31" t="n">
        <f aca="false">VLOOKUP(A70,'Order Shipping'!$A$2:$C$2000,3,FALSE())</f>
        <v>3.2</v>
      </c>
      <c r="E70" s="32" t="n">
        <f aca="false">VLOOKUP($A70,'Order Sales'!$A$2:$G$2154,E$1,FALSE())</f>
        <v>38</v>
      </c>
      <c r="F70" s="32" t="n">
        <f aca="false">VLOOKUP($A70,'Order Sales'!$A$2:$G$2154,F$1,FALSE())</f>
        <v>216.59</v>
      </c>
      <c r="G70" s="32" t="str">
        <f aca="false">VLOOKUP($A70,'Order Sales'!$A$2:$G$2154,G$1,FALSE())</f>
        <v>Home Office</v>
      </c>
    </row>
    <row r="71" customFormat="false" ht="14.25" hidden="false" customHeight="false" outlineLevel="0" collapsed="false">
      <c r="A71" s="1" t="n">
        <v>1985</v>
      </c>
      <c r="B71" s="29" t="s">
        <v>2</v>
      </c>
      <c r="C71" s="30" t="n">
        <v>43193</v>
      </c>
      <c r="D71" s="31" t="n">
        <f aca="false">VLOOKUP(A71,'Order Shipping'!$A$2:$C$2000,3,FALSE())</f>
        <v>1.6</v>
      </c>
      <c r="E71" s="32" t="n">
        <f aca="false">VLOOKUP($A71,'Order Sales'!$A$2:$G$2154,E$1,FALSE())</f>
        <v>8</v>
      </c>
      <c r="F71" s="32" t="n">
        <f aca="false">VLOOKUP($A71,'Order Sales'!$A$2:$G$2154,F$1,FALSE())</f>
        <v>17.49</v>
      </c>
      <c r="G71" s="32" t="str">
        <f aca="false">VLOOKUP($A71,'Order Sales'!$A$2:$G$2154,G$1,FALSE())</f>
        <v>Consumer</v>
      </c>
    </row>
    <row r="72" customFormat="false" ht="14.25" hidden="false" customHeight="false" outlineLevel="0" collapsed="false">
      <c r="A72" s="1" t="n">
        <v>2338</v>
      </c>
      <c r="B72" s="29" t="s">
        <v>2</v>
      </c>
      <c r="C72" s="30" t="n">
        <v>43194</v>
      </c>
      <c r="D72" s="31" t="n">
        <f aca="false">VLOOKUP(A72,'Order Shipping'!$A$2:$C$2000,3,FALSE())</f>
        <v>6.1</v>
      </c>
      <c r="E72" s="32" t="n">
        <f aca="false">VLOOKUP($A72,'Order Sales'!$A$2:$G$2154,E$1,FALSE())</f>
        <v>36</v>
      </c>
      <c r="F72" s="32" t="n">
        <f aca="false">VLOOKUP($A72,'Order Sales'!$A$2:$G$2154,F$1,FALSE())</f>
        <v>163.67</v>
      </c>
      <c r="G72" s="32" t="str">
        <f aca="false">VLOOKUP($A72,'Order Sales'!$A$2:$G$2154,G$1,FALSE())</f>
        <v>Corporate</v>
      </c>
    </row>
    <row r="73" customFormat="false" ht="14.25" hidden="false" customHeight="false" outlineLevel="0" collapsed="false">
      <c r="A73" s="1" t="n">
        <v>2987</v>
      </c>
      <c r="B73" s="29" t="s">
        <v>2</v>
      </c>
      <c r="C73" s="30" t="n">
        <v>43195</v>
      </c>
      <c r="D73" s="31" t="n">
        <f aca="false">VLOOKUP(A73,'Order Shipping'!$A$2:$C$2000,3,FALSE())</f>
        <v>7.5</v>
      </c>
      <c r="E73" s="32" t="n">
        <f aca="false">VLOOKUP($A73,'Order Sales'!$A$2:$G$2154,E$1,FALSE())</f>
        <v>35</v>
      </c>
      <c r="F73" s="32" t="n">
        <f aca="false">VLOOKUP($A73,'Order Sales'!$A$2:$G$2154,F$1,FALSE())</f>
        <v>638.83</v>
      </c>
      <c r="G73" s="32" t="str">
        <f aca="false">VLOOKUP($A73,'Order Sales'!$A$2:$G$2154,G$1,FALSE())</f>
        <v>Home Office</v>
      </c>
    </row>
    <row r="74" customFormat="false" ht="14.25" hidden="false" customHeight="false" outlineLevel="0" collapsed="false">
      <c r="A74" s="1" t="n">
        <v>1065</v>
      </c>
      <c r="B74" s="29" t="s">
        <v>2</v>
      </c>
      <c r="C74" s="30" t="n">
        <v>43196</v>
      </c>
      <c r="D74" s="31" t="n">
        <f aca="false">VLOOKUP(A74,'Order Shipping'!$A$2:$C$2000,3,FALSE())</f>
        <v>5.3</v>
      </c>
      <c r="E74" s="32" t="n">
        <f aca="false">VLOOKUP($A74,'Order Sales'!$A$2:$G$2154,E$1,FALSE())</f>
        <v>38</v>
      </c>
      <c r="F74" s="32" t="n">
        <f aca="false">VLOOKUP($A74,'Order Sales'!$A$2:$G$2154,F$1,FALSE())</f>
        <v>197.94</v>
      </c>
      <c r="G74" s="32" t="str">
        <f aca="false">VLOOKUP($A74,'Order Sales'!$A$2:$G$2154,G$1,FALSE())</f>
        <v>Corporate</v>
      </c>
    </row>
    <row r="75" customFormat="false" ht="14.25" hidden="false" customHeight="false" outlineLevel="0" collapsed="false">
      <c r="A75" s="1" t="n">
        <v>1566</v>
      </c>
      <c r="B75" s="29" t="s">
        <v>2</v>
      </c>
      <c r="C75" s="30" t="n">
        <v>43197</v>
      </c>
      <c r="D75" s="31" t="n">
        <f aca="false">VLOOKUP(A75,'Order Shipping'!$A$2:$C$2000,3,FALSE())</f>
        <v>7.8</v>
      </c>
      <c r="E75" s="32" t="n">
        <f aca="false">VLOOKUP($A75,'Order Sales'!$A$2:$G$2154,E$1,FALSE())</f>
        <v>23</v>
      </c>
      <c r="F75" s="32" t="n">
        <f aca="false">VLOOKUP($A75,'Order Sales'!$A$2:$G$2154,F$1,FALSE())</f>
        <v>236.44</v>
      </c>
      <c r="G75" s="32" t="str">
        <f aca="false">VLOOKUP($A75,'Order Sales'!$A$2:$G$2154,G$1,FALSE())</f>
        <v>Small Business</v>
      </c>
    </row>
    <row r="76" customFormat="false" ht="14.25" hidden="false" customHeight="false" outlineLevel="0" collapsed="false">
      <c r="A76" s="1" t="n">
        <v>1221</v>
      </c>
      <c r="B76" s="29" t="s">
        <v>2</v>
      </c>
      <c r="C76" s="30" t="n">
        <v>43198</v>
      </c>
      <c r="D76" s="31" t="n">
        <f aca="false">VLOOKUP(A76,'Order Shipping'!$A$2:$C$2000,3,FALSE())</f>
        <v>0.8</v>
      </c>
      <c r="E76" s="32" t="n">
        <f aca="false">VLOOKUP($A76,'Order Sales'!$A$2:$G$2154,E$1,FALSE())</f>
        <v>6</v>
      </c>
      <c r="F76" s="32" t="n">
        <f aca="false">VLOOKUP($A76,'Order Sales'!$A$2:$G$2154,F$1,FALSE())</f>
        <v>11.93</v>
      </c>
      <c r="G76" s="32" t="str">
        <f aca="false">VLOOKUP($A76,'Order Sales'!$A$2:$G$2154,G$1,FALSE())</f>
        <v>Small Business</v>
      </c>
    </row>
    <row r="77" customFormat="false" ht="14.25" hidden="false" customHeight="false" outlineLevel="0" collapsed="false">
      <c r="A77" s="1" t="n">
        <v>2845</v>
      </c>
      <c r="B77" s="29" t="s">
        <v>2</v>
      </c>
      <c r="C77" s="30" t="n">
        <v>43199</v>
      </c>
      <c r="D77" s="31" t="n">
        <f aca="false">VLOOKUP(A77,'Order Shipping'!$A$2:$C$2000,3,FALSE())</f>
        <v>5.9</v>
      </c>
      <c r="E77" s="32" t="n">
        <f aca="false">VLOOKUP($A77,'Order Sales'!$A$2:$G$2154,E$1,FALSE())</f>
        <v>41</v>
      </c>
      <c r="F77" s="32" t="n">
        <f aca="false">VLOOKUP($A77,'Order Sales'!$A$2:$G$2154,F$1,FALSE())</f>
        <v>1347.1</v>
      </c>
      <c r="G77" s="32" t="str">
        <f aca="false">VLOOKUP($A77,'Order Sales'!$A$2:$G$2154,G$1,FALSE())</f>
        <v>Home Office</v>
      </c>
    </row>
    <row r="78" customFormat="false" ht="14.25" hidden="false" customHeight="false" outlineLevel="0" collapsed="false">
      <c r="A78" s="1" t="n">
        <v>1726</v>
      </c>
      <c r="B78" s="29" t="s">
        <v>2</v>
      </c>
      <c r="C78" s="30" t="n">
        <v>43200</v>
      </c>
      <c r="D78" s="31" t="n">
        <f aca="false">VLOOKUP(A78,'Order Shipping'!$A$2:$C$2000,3,FALSE())</f>
        <v>21.4</v>
      </c>
      <c r="E78" s="32" t="n">
        <f aca="false">VLOOKUP($A78,'Order Sales'!$A$2:$G$2154,E$1,FALSE())</f>
        <v>30</v>
      </c>
      <c r="F78" s="32" t="n">
        <f aca="false">VLOOKUP($A78,'Order Sales'!$A$2:$G$2154,F$1,FALSE())</f>
        <v>1009.48</v>
      </c>
      <c r="G78" s="32" t="str">
        <f aca="false">VLOOKUP($A78,'Order Sales'!$A$2:$G$2154,G$1,FALSE())</f>
        <v>Consumer</v>
      </c>
    </row>
    <row r="79" customFormat="false" ht="14.25" hidden="false" customHeight="false" outlineLevel="0" collapsed="false">
      <c r="A79" s="1" t="n">
        <v>2626</v>
      </c>
      <c r="B79" s="29" t="s">
        <v>2</v>
      </c>
      <c r="C79" s="30" t="n">
        <v>43201</v>
      </c>
      <c r="D79" s="31" t="n">
        <f aca="false">VLOOKUP(A79,'Order Shipping'!$A$2:$C$2000,3,FALSE())</f>
        <v>5.3</v>
      </c>
      <c r="E79" s="32" t="n">
        <f aca="false">VLOOKUP($A79,'Order Sales'!$A$2:$G$2154,E$1,FALSE())</f>
        <v>27</v>
      </c>
      <c r="F79" s="32" t="n">
        <f aca="false">VLOOKUP($A79,'Order Sales'!$A$2:$G$2154,F$1,FALSE())</f>
        <v>364.98</v>
      </c>
      <c r="G79" s="32" t="str">
        <f aca="false">VLOOKUP($A79,'Order Sales'!$A$2:$G$2154,G$1,FALSE())</f>
        <v>Small Business</v>
      </c>
    </row>
    <row r="80" customFormat="false" ht="14.25" hidden="false" customHeight="false" outlineLevel="0" collapsed="false">
      <c r="A80" s="1" t="n">
        <v>2282</v>
      </c>
      <c r="B80" s="29" t="s">
        <v>2</v>
      </c>
      <c r="C80" s="30" t="n">
        <v>43202</v>
      </c>
      <c r="D80" s="31" t="n">
        <f aca="false">VLOOKUP(A80,'Order Shipping'!$A$2:$C$2000,3,FALSE())</f>
        <v>21.4</v>
      </c>
      <c r="E80" s="32" t="n">
        <f aca="false">VLOOKUP($A80,'Order Sales'!$A$2:$G$2154,E$1,FALSE())</f>
        <v>13</v>
      </c>
      <c r="F80" s="32" t="n">
        <f aca="false">VLOOKUP($A80,'Order Sales'!$A$2:$G$2154,F$1,FALSE())</f>
        <v>687.65</v>
      </c>
      <c r="G80" s="32" t="str">
        <f aca="false">VLOOKUP($A80,'Order Sales'!$A$2:$G$2154,G$1,FALSE())</f>
        <v>Home Office</v>
      </c>
    </row>
    <row r="81" customFormat="false" ht="14.25" hidden="false" customHeight="false" outlineLevel="0" collapsed="false">
      <c r="A81" s="1" t="n">
        <v>2902</v>
      </c>
      <c r="B81" s="29" t="s">
        <v>2</v>
      </c>
      <c r="C81" s="30" t="n">
        <v>43203</v>
      </c>
      <c r="D81" s="31" t="n">
        <f aca="false">VLOOKUP(A81,'Order Shipping'!$A$2:$C$2000,3,FALSE())</f>
        <v>2.1</v>
      </c>
      <c r="E81" s="32" t="n">
        <f aca="false">VLOOKUP($A81,'Order Sales'!$A$2:$G$2154,E$1,FALSE())</f>
        <v>22</v>
      </c>
      <c r="F81" s="32" t="n">
        <f aca="false">VLOOKUP($A81,'Order Sales'!$A$2:$G$2154,F$1,FALSE())</f>
        <v>220.29</v>
      </c>
      <c r="G81" s="32" t="str">
        <f aca="false">VLOOKUP($A81,'Order Sales'!$A$2:$G$2154,G$1,FALSE())</f>
        <v>Home Office</v>
      </c>
    </row>
    <row r="82" customFormat="false" ht="14.25" hidden="false" customHeight="false" outlineLevel="0" collapsed="false">
      <c r="A82" s="1" t="n">
        <v>2152</v>
      </c>
      <c r="B82" s="29" t="s">
        <v>2</v>
      </c>
      <c r="C82" s="30" t="n">
        <v>43204</v>
      </c>
      <c r="D82" s="31" t="n">
        <f aca="false">VLOOKUP(A82,'Order Shipping'!$A$2:$C$2000,3,FALSE())</f>
        <v>0.5</v>
      </c>
      <c r="E82" s="32" t="n">
        <f aca="false">VLOOKUP($A82,'Order Sales'!$A$2:$G$2154,E$1,FALSE())</f>
        <v>23</v>
      </c>
      <c r="F82" s="32" t="n">
        <f aca="false">VLOOKUP($A82,'Order Sales'!$A$2:$G$2154,F$1,FALSE())</f>
        <v>124.72</v>
      </c>
      <c r="G82" s="32" t="str">
        <f aca="false">VLOOKUP($A82,'Order Sales'!$A$2:$G$2154,G$1,FALSE())</f>
        <v>Small Business</v>
      </c>
    </row>
    <row r="83" customFormat="false" ht="14.25" hidden="false" customHeight="false" outlineLevel="0" collapsed="false">
      <c r="A83" s="1" t="n">
        <v>1736</v>
      </c>
      <c r="B83" s="29" t="s">
        <v>2</v>
      </c>
      <c r="C83" s="30" t="n">
        <v>43205</v>
      </c>
      <c r="D83" s="31" t="n">
        <f aca="false">VLOOKUP(A83,'Order Shipping'!$A$2:$C$2000,3,FALSE())</f>
        <v>12</v>
      </c>
      <c r="E83" s="32" t="n">
        <f aca="false">VLOOKUP($A83,'Order Sales'!$A$2:$G$2154,E$1,FALSE())</f>
        <v>36</v>
      </c>
      <c r="F83" s="32" t="n">
        <f aca="false">VLOOKUP($A83,'Order Sales'!$A$2:$G$2154,F$1,FALSE())</f>
        <v>10212.27</v>
      </c>
      <c r="G83" s="32" t="str">
        <f aca="false">VLOOKUP($A83,'Order Sales'!$A$2:$G$2154,G$1,FALSE())</f>
        <v>Corporate</v>
      </c>
    </row>
    <row r="84" customFormat="false" ht="14.25" hidden="false" customHeight="false" outlineLevel="0" collapsed="false">
      <c r="A84" s="1" t="n">
        <v>2462</v>
      </c>
      <c r="B84" s="29" t="s">
        <v>2</v>
      </c>
      <c r="C84" s="30" t="n">
        <v>43206</v>
      </c>
      <c r="D84" s="31" t="n">
        <f aca="false">VLOOKUP(A84,'Order Shipping'!$A$2:$C$2000,3,FALSE())</f>
        <v>2.2</v>
      </c>
      <c r="E84" s="32" t="n">
        <f aca="false">VLOOKUP($A84,'Order Sales'!$A$2:$G$2154,E$1,FALSE())</f>
        <v>1</v>
      </c>
      <c r="F84" s="32" t="n">
        <f aca="false">VLOOKUP($A84,'Order Sales'!$A$2:$G$2154,F$1,FALSE())</f>
        <v>11.21</v>
      </c>
      <c r="G84" s="32" t="str">
        <f aca="false">VLOOKUP($A84,'Order Sales'!$A$2:$G$2154,G$1,FALSE())</f>
        <v>Corporate</v>
      </c>
    </row>
    <row r="85" customFormat="false" ht="14.25" hidden="false" customHeight="false" outlineLevel="0" collapsed="false">
      <c r="A85" s="1" t="n">
        <v>1801</v>
      </c>
      <c r="B85" s="29" t="s">
        <v>2</v>
      </c>
      <c r="C85" s="30" t="n">
        <v>43207</v>
      </c>
      <c r="D85" s="31" t="n">
        <f aca="false">VLOOKUP(A85,'Order Shipping'!$A$2:$C$2000,3,FALSE())</f>
        <v>31.3</v>
      </c>
      <c r="E85" s="32" t="n">
        <f aca="false">VLOOKUP($A85,'Order Sales'!$A$2:$G$2154,E$1,FALSE())</f>
        <v>20</v>
      </c>
      <c r="F85" s="32" t="n">
        <f aca="false">VLOOKUP($A85,'Order Sales'!$A$2:$G$2154,F$1,FALSE())</f>
        <v>3709.99</v>
      </c>
      <c r="G85" s="32" t="str">
        <f aca="false">VLOOKUP($A85,'Order Sales'!$A$2:$G$2154,G$1,FALSE())</f>
        <v>Corporate</v>
      </c>
    </row>
    <row r="86" customFormat="false" ht="14.25" hidden="false" customHeight="false" outlineLevel="0" collapsed="false">
      <c r="A86" s="1" t="n">
        <v>2826</v>
      </c>
      <c r="B86" s="29" t="s">
        <v>2</v>
      </c>
      <c r="C86" s="30" t="n">
        <v>43208</v>
      </c>
      <c r="D86" s="31" t="n">
        <f aca="false">VLOOKUP(A86,'Order Shipping'!$A$2:$C$2000,3,FALSE())</f>
        <v>15.4</v>
      </c>
      <c r="E86" s="32" t="n">
        <f aca="false">VLOOKUP($A86,'Order Sales'!$A$2:$G$2154,E$1,FALSE())</f>
        <v>21</v>
      </c>
      <c r="F86" s="32" t="n">
        <f aca="false">VLOOKUP($A86,'Order Sales'!$A$2:$G$2154,F$1,FALSE())</f>
        <v>595.4</v>
      </c>
      <c r="G86" s="32" t="str">
        <f aca="false">VLOOKUP($A86,'Order Sales'!$A$2:$G$2154,G$1,FALSE())</f>
        <v>Home Office</v>
      </c>
    </row>
    <row r="87" customFormat="false" ht="14.25" hidden="false" customHeight="false" outlineLevel="0" collapsed="false">
      <c r="A87" s="1" t="n">
        <v>2772</v>
      </c>
      <c r="B87" s="29" t="s">
        <v>2</v>
      </c>
      <c r="C87" s="30" t="n">
        <v>43209</v>
      </c>
      <c r="D87" s="31" t="n">
        <f aca="false">VLOOKUP(A87,'Order Shipping'!$A$2:$C$2000,3,FALSE())</f>
        <v>0.5</v>
      </c>
      <c r="E87" s="32" t="n">
        <f aca="false">VLOOKUP($A87,'Order Sales'!$A$2:$G$2154,E$1,FALSE())</f>
        <v>20</v>
      </c>
      <c r="F87" s="32" t="n">
        <f aca="false">VLOOKUP($A87,'Order Sales'!$A$2:$G$2154,F$1,FALSE())</f>
        <v>98.6</v>
      </c>
      <c r="G87" s="32" t="str">
        <f aca="false">VLOOKUP($A87,'Order Sales'!$A$2:$G$2154,G$1,FALSE())</f>
        <v>Corporate</v>
      </c>
    </row>
    <row r="88" customFormat="false" ht="14.25" hidden="false" customHeight="false" outlineLevel="0" collapsed="false">
      <c r="A88" s="1" t="n">
        <v>2862</v>
      </c>
      <c r="B88" s="29" t="s">
        <v>2</v>
      </c>
      <c r="C88" s="30" t="n">
        <v>43210</v>
      </c>
      <c r="D88" s="31" t="n">
        <f aca="false">VLOOKUP(A88,'Order Shipping'!$A$2:$C$2000,3,FALSE())</f>
        <v>1.7</v>
      </c>
      <c r="E88" s="32" t="n">
        <f aca="false">VLOOKUP($A88,'Order Sales'!$A$2:$G$2154,E$1,FALSE())</f>
        <v>25</v>
      </c>
      <c r="F88" s="32" t="n">
        <f aca="false">VLOOKUP($A88,'Order Sales'!$A$2:$G$2154,F$1,FALSE())</f>
        <v>44.8</v>
      </c>
      <c r="G88" s="32" t="str">
        <f aca="false">VLOOKUP($A88,'Order Sales'!$A$2:$G$2154,G$1,FALSE())</f>
        <v>Corporate</v>
      </c>
    </row>
    <row r="89" customFormat="false" ht="14.25" hidden="false" customHeight="false" outlineLevel="0" collapsed="false">
      <c r="A89" s="1" t="n">
        <v>1383</v>
      </c>
      <c r="B89" s="29" t="s">
        <v>2</v>
      </c>
      <c r="C89" s="30" t="n">
        <v>43211</v>
      </c>
      <c r="D89" s="31" t="n">
        <f aca="false">VLOOKUP(A89,'Order Shipping'!$A$2:$C$2000,3,FALSE())</f>
        <v>11.1</v>
      </c>
      <c r="E89" s="32" t="n">
        <f aca="false">VLOOKUP($A89,'Order Sales'!$A$2:$G$2154,E$1,FALSE())</f>
        <v>37</v>
      </c>
      <c r="F89" s="32" t="n">
        <f aca="false">VLOOKUP($A89,'Order Sales'!$A$2:$G$2154,F$1,FALSE())</f>
        <v>239.49</v>
      </c>
      <c r="G89" s="32" t="str">
        <f aca="false">VLOOKUP($A89,'Order Sales'!$A$2:$G$2154,G$1,FALSE())</f>
        <v>Home Office</v>
      </c>
    </row>
    <row r="90" customFormat="false" ht="14.25" hidden="false" customHeight="false" outlineLevel="0" collapsed="false">
      <c r="A90" s="1" t="n">
        <v>2953</v>
      </c>
      <c r="B90" s="29" t="s">
        <v>2</v>
      </c>
      <c r="C90" s="30" t="n">
        <v>43212</v>
      </c>
      <c r="D90" s="31" t="n">
        <f aca="false">VLOOKUP(A90,'Order Shipping'!$A$2:$C$2000,3,FALSE())</f>
        <v>6.4</v>
      </c>
      <c r="E90" s="32" t="n">
        <f aca="false">VLOOKUP($A90,'Order Sales'!$A$2:$G$2154,E$1,FALSE())</f>
        <v>36</v>
      </c>
      <c r="F90" s="32" t="n">
        <f aca="false">VLOOKUP($A90,'Order Sales'!$A$2:$G$2154,F$1,FALSE())</f>
        <v>252.72</v>
      </c>
      <c r="G90" s="32" t="str">
        <f aca="false">VLOOKUP($A90,'Order Sales'!$A$2:$G$2154,G$1,FALSE())</f>
        <v>Small Business</v>
      </c>
    </row>
    <row r="91" customFormat="false" ht="14.25" hidden="false" customHeight="false" outlineLevel="0" collapsed="false">
      <c r="A91" s="1" t="n">
        <v>2222</v>
      </c>
      <c r="B91" s="29" t="s">
        <v>2</v>
      </c>
      <c r="C91" s="30" t="n">
        <v>43213</v>
      </c>
      <c r="D91" s="31" t="n">
        <f aca="false">VLOOKUP(A91,'Order Shipping'!$A$2:$C$2000,3,FALSE())</f>
        <v>3.5</v>
      </c>
      <c r="E91" s="32" t="n">
        <f aca="false">VLOOKUP($A91,'Order Sales'!$A$2:$G$2154,E$1,FALSE())</f>
        <v>34</v>
      </c>
      <c r="F91" s="32" t="n">
        <f aca="false">VLOOKUP($A91,'Order Sales'!$A$2:$G$2154,F$1,FALSE())</f>
        <v>2816.75</v>
      </c>
      <c r="G91" s="32" t="str">
        <f aca="false">VLOOKUP($A91,'Order Sales'!$A$2:$G$2154,G$1,FALSE())</f>
        <v>Home Office</v>
      </c>
    </row>
    <row r="92" customFormat="false" ht="14.25" hidden="false" customHeight="false" outlineLevel="0" collapsed="false">
      <c r="A92" s="1" t="n">
        <v>2232</v>
      </c>
      <c r="B92" s="29" t="s">
        <v>2</v>
      </c>
      <c r="C92" s="30" t="n">
        <v>43214</v>
      </c>
      <c r="D92" s="31" t="n">
        <f aca="false">VLOOKUP(A92,'Order Shipping'!$A$2:$C$2000,3,FALSE())</f>
        <v>47.7</v>
      </c>
      <c r="E92" s="32" t="n">
        <f aca="false">VLOOKUP($A92,'Order Sales'!$A$2:$G$2154,E$1,FALSE())</f>
        <v>34</v>
      </c>
      <c r="F92" s="32" t="n">
        <f aca="false">VLOOKUP($A92,'Order Sales'!$A$2:$G$2154,F$1,FALSE())</f>
        <v>31399.44</v>
      </c>
      <c r="G92" s="32" t="str">
        <f aca="false">VLOOKUP($A92,'Order Sales'!$A$2:$G$2154,G$1,FALSE())</f>
        <v>Corporate</v>
      </c>
    </row>
    <row r="93" customFormat="false" ht="14.25" hidden="false" customHeight="false" outlineLevel="0" collapsed="false">
      <c r="A93" s="1" t="n">
        <v>2599</v>
      </c>
      <c r="B93" s="29" t="s">
        <v>2</v>
      </c>
      <c r="C93" s="30" t="n">
        <v>43215</v>
      </c>
      <c r="D93" s="31" t="n">
        <f aca="false">VLOOKUP(A93,'Order Shipping'!$A$2:$C$2000,3,FALSE())</f>
        <v>9.6</v>
      </c>
      <c r="E93" s="32" t="n">
        <f aca="false">VLOOKUP($A93,'Order Sales'!$A$2:$G$2154,E$1,FALSE())</f>
        <v>36</v>
      </c>
      <c r="F93" s="32" t="n">
        <f aca="false">VLOOKUP($A93,'Order Sales'!$A$2:$G$2154,F$1,FALSE())</f>
        <v>440.57</v>
      </c>
      <c r="G93" s="32" t="str">
        <f aca="false">VLOOKUP($A93,'Order Sales'!$A$2:$G$2154,G$1,FALSE())</f>
        <v>Corporate</v>
      </c>
    </row>
    <row r="94" customFormat="false" ht="14.25" hidden="false" customHeight="false" outlineLevel="0" collapsed="false">
      <c r="A94" s="1" t="n">
        <v>2631</v>
      </c>
      <c r="B94" s="29" t="s">
        <v>2</v>
      </c>
      <c r="C94" s="30" t="n">
        <v>43216</v>
      </c>
      <c r="D94" s="31" t="n">
        <f aca="false">VLOOKUP(A94,'Order Shipping'!$A$2:$C$2000,3,FALSE())</f>
        <v>19.1</v>
      </c>
      <c r="E94" s="32" t="n">
        <f aca="false">VLOOKUP($A94,'Order Sales'!$A$2:$G$2154,E$1,FALSE())</f>
        <v>5</v>
      </c>
      <c r="F94" s="32" t="n">
        <f aca="false">VLOOKUP($A94,'Order Sales'!$A$2:$G$2154,F$1,FALSE())</f>
        <v>809.08</v>
      </c>
      <c r="G94" s="32" t="str">
        <f aca="false">VLOOKUP($A94,'Order Sales'!$A$2:$G$2154,G$1,FALSE())</f>
        <v>Small Business</v>
      </c>
    </row>
    <row r="95" customFormat="false" ht="14.25" hidden="false" customHeight="false" outlineLevel="0" collapsed="false">
      <c r="A95" s="1" t="n">
        <v>2170</v>
      </c>
      <c r="B95" s="29" t="s">
        <v>2</v>
      </c>
      <c r="C95" s="30" t="n">
        <v>43217</v>
      </c>
      <c r="D95" s="31" t="n">
        <f aca="false">VLOOKUP(A95,'Order Shipping'!$A$2:$C$2000,3,FALSE())</f>
        <v>6</v>
      </c>
      <c r="E95" s="32" t="n">
        <f aca="false">VLOOKUP($A95,'Order Sales'!$A$2:$G$2154,E$1,FALSE())</f>
        <v>27</v>
      </c>
      <c r="F95" s="32" t="n">
        <f aca="false">VLOOKUP($A95,'Order Sales'!$A$2:$G$2154,F$1,FALSE())</f>
        <v>1501.24</v>
      </c>
      <c r="G95" s="32" t="str">
        <f aca="false">VLOOKUP($A95,'Order Sales'!$A$2:$G$2154,G$1,FALSE())</f>
        <v>Small Business</v>
      </c>
    </row>
    <row r="96" customFormat="false" ht="14.25" hidden="false" customHeight="false" outlineLevel="0" collapsed="false">
      <c r="A96" s="1" t="n">
        <v>1405</v>
      </c>
      <c r="B96" s="29" t="s">
        <v>2</v>
      </c>
      <c r="C96" s="30" t="n">
        <v>43218</v>
      </c>
      <c r="D96" s="31" t="n">
        <f aca="false">VLOOKUP(A96,'Order Shipping'!$A$2:$C$2000,3,FALSE())</f>
        <v>1.5</v>
      </c>
      <c r="E96" s="32" t="n">
        <f aca="false">VLOOKUP($A96,'Order Sales'!$A$2:$G$2154,E$1,FALSE())</f>
        <v>31</v>
      </c>
      <c r="F96" s="32" t="n">
        <f aca="false">VLOOKUP($A96,'Order Sales'!$A$2:$G$2154,F$1,FALSE())</f>
        <v>302.99</v>
      </c>
      <c r="G96" s="32" t="str">
        <f aca="false">VLOOKUP($A96,'Order Sales'!$A$2:$G$2154,G$1,FALSE())</f>
        <v>Home Office</v>
      </c>
    </row>
    <row r="97" customFormat="false" ht="14.25" hidden="false" customHeight="false" outlineLevel="0" collapsed="false">
      <c r="A97" s="1" t="n">
        <v>2266</v>
      </c>
      <c r="B97" s="29" t="s">
        <v>2</v>
      </c>
      <c r="C97" s="30" t="n">
        <v>43219</v>
      </c>
      <c r="D97" s="31" t="n">
        <f aca="false">VLOOKUP(A97,'Order Shipping'!$A$2:$C$2000,3,FALSE())</f>
        <v>1.6</v>
      </c>
      <c r="E97" s="32" t="n">
        <f aca="false">VLOOKUP($A97,'Order Sales'!$A$2:$G$2154,E$1,FALSE())</f>
        <v>39</v>
      </c>
      <c r="F97" s="32" t="n">
        <f aca="false">VLOOKUP($A97,'Order Sales'!$A$2:$G$2154,F$1,FALSE())</f>
        <v>76.01</v>
      </c>
      <c r="G97" s="32" t="str">
        <f aca="false">VLOOKUP($A97,'Order Sales'!$A$2:$G$2154,G$1,FALSE())</f>
        <v>Corporate</v>
      </c>
    </row>
    <row r="98" customFormat="false" ht="14.25" hidden="false" customHeight="false" outlineLevel="0" collapsed="false">
      <c r="A98" s="1" t="n">
        <v>1702</v>
      </c>
      <c r="B98" s="29" t="s">
        <v>2</v>
      </c>
      <c r="C98" s="30" t="n">
        <v>43220</v>
      </c>
      <c r="D98" s="31" t="n">
        <f aca="false">VLOOKUP(A98,'Order Shipping'!$A$2:$C$2000,3,FALSE())</f>
        <v>12.3</v>
      </c>
      <c r="E98" s="32" t="n">
        <f aca="false">VLOOKUP($A98,'Order Sales'!$A$2:$G$2154,E$1,FALSE())</f>
        <v>38</v>
      </c>
      <c r="F98" s="32" t="n">
        <f aca="false">VLOOKUP($A98,'Order Sales'!$A$2:$G$2154,F$1,FALSE())</f>
        <v>8361.61</v>
      </c>
      <c r="G98" s="32" t="str">
        <f aca="false">VLOOKUP($A98,'Order Sales'!$A$2:$G$2154,G$1,FALSE())</f>
        <v>Home Office</v>
      </c>
    </row>
    <row r="99" customFormat="false" ht="14.25" hidden="false" customHeight="false" outlineLevel="0" collapsed="false">
      <c r="A99" s="1" t="n">
        <v>1397</v>
      </c>
      <c r="B99" s="29" t="s">
        <v>2</v>
      </c>
      <c r="C99" s="30" t="n">
        <v>43221</v>
      </c>
      <c r="D99" s="31" t="n">
        <f aca="false">VLOOKUP(A99,'Order Shipping'!$A$2:$C$2000,3,FALSE())</f>
        <v>6.4</v>
      </c>
      <c r="E99" s="32" t="n">
        <f aca="false">VLOOKUP($A99,'Order Sales'!$A$2:$G$2154,E$1,FALSE())</f>
        <v>42</v>
      </c>
      <c r="F99" s="32" t="n">
        <f aca="false">VLOOKUP($A99,'Order Sales'!$A$2:$G$2154,F$1,FALSE())</f>
        <v>1363.73</v>
      </c>
      <c r="G99" s="32" t="str">
        <f aca="false">VLOOKUP($A99,'Order Sales'!$A$2:$G$2154,G$1,FALSE())</f>
        <v>Consumer</v>
      </c>
    </row>
    <row r="100" customFormat="false" ht="14.25" hidden="false" customHeight="false" outlineLevel="0" collapsed="false">
      <c r="A100" s="1" t="n">
        <v>2666</v>
      </c>
      <c r="B100" s="29" t="s">
        <v>2</v>
      </c>
      <c r="C100" s="30" t="n">
        <v>43222</v>
      </c>
      <c r="D100" s="31" t="n">
        <f aca="false">VLOOKUP(A100,'Order Shipping'!$A$2:$C$2000,3,FALSE())</f>
        <v>21.4</v>
      </c>
      <c r="E100" s="32" t="n">
        <f aca="false">VLOOKUP($A100,'Order Sales'!$A$2:$G$2154,E$1,FALSE())</f>
        <v>23</v>
      </c>
      <c r="F100" s="32" t="n">
        <f aca="false">VLOOKUP($A100,'Order Sales'!$A$2:$G$2154,F$1,FALSE())</f>
        <v>9281.07</v>
      </c>
      <c r="G100" s="32" t="str">
        <f aca="false">VLOOKUP($A100,'Order Sales'!$A$2:$G$2154,G$1,FALSE())</f>
        <v>Consumer</v>
      </c>
    </row>
    <row r="101" customFormat="false" ht="14.25" hidden="false" customHeight="false" outlineLevel="0" collapsed="false">
      <c r="A101" s="1" t="n">
        <v>2719</v>
      </c>
      <c r="B101" s="29" t="s">
        <v>2</v>
      </c>
      <c r="C101" s="30" t="n">
        <v>43223</v>
      </c>
      <c r="D101" s="31" t="n">
        <f aca="false">VLOOKUP(A101,'Order Shipping'!$A$2:$C$2000,3,FALSE())</f>
        <v>9.4</v>
      </c>
      <c r="E101" s="32" t="n">
        <f aca="false">VLOOKUP($A101,'Order Sales'!$A$2:$G$2154,E$1,FALSE())</f>
        <v>33</v>
      </c>
      <c r="F101" s="32" t="n">
        <f aca="false">VLOOKUP($A101,'Order Sales'!$A$2:$G$2154,F$1,FALSE())</f>
        <v>1879.66</v>
      </c>
      <c r="G101" s="32" t="str">
        <f aca="false">VLOOKUP($A101,'Order Sales'!$A$2:$G$2154,G$1,FALSE())</f>
        <v>Consumer</v>
      </c>
    </row>
    <row r="102" customFormat="false" ht="14.25" hidden="false" customHeight="false" outlineLevel="0" collapsed="false">
      <c r="A102" s="1" t="n">
        <v>2298</v>
      </c>
      <c r="B102" s="29" t="s">
        <v>2</v>
      </c>
      <c r="C102" s="30" t="n">
        <v>43224</v>
      </c>
      <c r="D102" s="31" t="n">
        <f aca="false">VLOOKUP(A102,'Order Shipping'!$A$2:$C$2000,3,FALSE())</f>
        <v>5.7</v>
      </c>
      <c r="E102" s="32" t="n">
        <f aca="false">VLOOKUP($A102,'Order Sales'!$A$2:$G$2154,E$1,FALSE())</f>
        <v>23</v>
      </c>
      <c r="F102" s="32" t="n">
        <f aca="false">VLOOKUP($A102,'Order Sales'!$A$2:$G$2154,F$1,FALSE())</f>
        <v>360.44</v>
      </c>
      <c r="G102" s="32" t="str">
        <f aca="false">VLOOKUP($A102,'Order Sales'!$A$2:$G$2154,G$1,FALSE())</f>
        <v>Corporate</v>
      </c>
    </row>
    <row r="103" customFormat="false" ht="14.25" hidden="false" customHeight="false" outlineLevel="0" collapsed="false">
      <c r="A103" s="1" t="n">
        <v>1847</v>
      </c>
      <c r="B103" s="29" t="s">
        <v>2</v>
      </c>
      <c r="C103" s="30" t="n">
        <v>43225</v>
      </c>
      <c r="D103" s="31" t="n">
        <f aca="false">VLOOKUP(A103,'Order Shipping'!$A$2:$C$2000,3,FALSE())</f>
        <v>3.9</v>
      </c>
      <c r="E103" s="32" t="n">
        <f aca="false">VLOOKUP($A103,'Order Sales'!$A$2:$G$2154,E$1,FALSE())</f>
        <v>46</v>
      </c>
      <c r="F103" s="32" t="n">
        <f aca="false">VLOOKUP($A103,'Order Sales'!$A$2:$G$2154,F$1,FALSE())</f>
        <v>428.27</v>
      </c>
      <c r="G103" s="32" t="str">
        <f aca="false">VLOOKUP($A103,'Order Sales'!$A$2:$G$2154,G$1,FALSE())</f>
        <v>Consumer</v>
      </c>
    </row>
    <row r="104" customFormat="false" ht="14.25" hidden="false" customHeight="false" outlineLevel="0" collapsed="false">
      <c r="A104" s="1" t="n">
        <v>1700</v>
      </c>
      <c r="B104" s="29" t="s">
        <v>2</v>
      </c>
      <c r="C104" s="30" t="n">
        <v>43226</v>
      </c>
      <c r="D104" s="31" t="n">
        <f aca="false">VLOOKUP(A104,'Order Shipping'!$A$2:$C$2000,3,FALSE())</f>
        <v>2.1</v>
      </c>
      <c r="E104" s="32" t="n">
        <f aca="false">VLOOKUP($A104,'Order Sales'!$A$2:$G$2154,E$1,FALSE())</f>
        <v>29</v>
      </c>
      <c r="F104" s="32" t="n">
        <f aca="false">VLOOKUP($A104,'Order Sales'!$A$2:$G$2154,F$1,FALSE())</f>
        <v>552.78</v>
      </c>
      <c r="G104" s="32" t="str">
        <f aca="false">VLOOKUP($A104,'Order Sales'!$A$2:$G$2154,G$1,FALSE())</f>
        <v>Small Business</v>
      </c>
    </row>
    <row r="105" customFormat="false" ht="14.25" hidden="false" customHeight="false" outlineLevel="0" collapsed="false">
      <c r="A105" s="1" t="n">
        <v>2471</v>
      </c>
      <c r="B105" s="29" t="s">
        <v>2</v>
      </c>
      <c r="C105" s="30" t="n">
        <v>43227</v>
      </c>
      <c r="D105" s="31" t="n">
        <f aca="false">VLOOKUP(A105,'Order Shipping'!$A$2:$C$2000,3,FALSE())</f>
        <v>0.5</v>
      </c>
      <c r="E105" s="32" t="n">
        <f aca="false">VLOOKUP($A105,'Order Sales'!$A$2:$G$2154,E$1,FALSE())</f>
        <v>31</v>
      </c>
      <c r="F105" s="32" t="n">
        <f aca="false">VLOOKUP($A105,'Order Sales'!$A$2:$G$2154,F$1,FALSE())</f>
        <v>136.85</v>
      </c>
      <c r="G105" s="32" t="str">
        <f aca="false">VLOOKUP($A105,'Order Sales'!$A$2:$G$2154,G$1,FALSE())</f>
        <v>Consumer</v>
      </c>
    </row>
    <row r="106" customFormat="false" ht="14.25" hidden="false" customHeight="false" outlineLevel="0" collapsed="false">
      <c r="A106" s="1" t="n">
        <v>2078</v>
      </c>
      <c r="B106" s="29" t="s">
        <v>2</v>
      </c>
      <c r="C106" s="30" t="n">
        <v>43228</v>
      </c>
      <c r="D106" s="31" t="n">
        <f aca="false">VLOOKUP(A106,'Order Shipping'!$A$2:$C$2000,3,FALSE())</f>
        <v>80.5</v>
      </c>
      <c r="E106" s="32" t="n">
        <f aca="false">VLOOKUP($A106,'Order Sales'!$A$2:$G$2154,E$1,FALSE())</f>
        <v>41</v>
      </c>
      <c r="F106" s="32" t="n">
        <f aca="false">VLOOKUP($A106,'Order Sales'!$A$2:$G$2154,F$1,FALSE())</f>
        <v>18670.16</v>
      </c>
      <c r="G106" s="32" t="str">
        <f aca="false">VLOOKUP($A106,'Order Sales'!$A$2:$G$2154,G$1,FALSE())</f>
        <v>Consumer</v>
      </c>
    </row>
    <row r="107" customFormat="false" ht="14.25" hidden="false" customHeight="false" outlineLevel="0" collapsed="false">
      <c r="A107" s="1" t="n">
        <v>1251</v>
      </c>
      <c r="B107" s="30" t="n">
        <v>43220</v>
      </c>
      <c r="C107" s="30" t="n">
        <v>43229</v>
      </c>
      <c r="D107" s="31" t="n">
        <f aca="false">VLOOKUP(A107,'Order Shipping'!$A$2:$C$2000,3,FALSE())</f>
        <v>3.6</v>
      </c>
      <c r="E107" s="32" t="n">
        <f aca="false">VLOOKUP($A107,'Order Sales'!$A$2:$G$2154,E$1,FALSE())</f>
        <v>42</v>
      </c>
      <c r="F107" s="32" t="n">
        <f aca="false">VLOOKUP($A107,'Order Sales'!$A$2:$G$2154,F$1,FALSE())</f>
        <v>274.6</v>
      </c>
      <c r="G107" s="32" t="str">
        <f aca="false">VLOOKUP($A107,'Order Sales'!$A$2:$G$2154,G$1,FALSE())</f>
        <v>Corporate</v>
      </c>
    </row>
    <row r="108" customFormat="false" ht="14.25" hidden="false" customHeight="false" outlineLevel="0" collapsed="false">
      <c r="A108" s="1" t="n">
        <v>2893</v>
      </c>
      <c r="B108" s="30" t="n">
        <v>43307</v>
      </c>
      <c r="C108" s="30" t="n">
        <v>43230</v>
      </c>
      <c r="D108" s="31" t="n">
        <f aca="false">VLOOKUP(A108,'Order Shipping'!$A$2:$C$2000,3,FALSE())</f>
        <v>0.7</v>
      </c>
      <c r="E108" s="32" t="n">
        <f aca="false">VLOOKUP($A108,'Order Sales'!$A$2:$G$2154,E$1,FALSE())</f>
        <v>37</v>
      </c>
      <c r="F108" s="32" t="n">
        <f aca="false">VLOOKUP($A108,'Order Sales'!$A$2:$G$2154,F$1,FALSE())</f>
        <v>119.19</v>
      </c>
      <c r="G108" s="32" t="str">
        <f aca="false">VLOOKUP($A108,'Order Sales'!$A$2:$G$2154,G$1,FALSE())</f>
        <v>Corporate</v>
      </c>
    </row>
    <row r="109" customFormat="false" ht="14.25" hidden="false" customHeight="false" outlineLevel="0" collapsed="false">
      <c r="A109" s="1" t="n">
        <v>2818</v>
      </c>
      <c r="B109" s="30" t="n">
        <v>43339</v>
      </c>
      <c r="C109" s="30" t="n">
        <v>43231</v>
      </c>
      <c r="D109" s="31" t="n">
        <f aca="false">VLOOKUP(A109,'Order Shipping'!$A$2:$C$2000,3,FALSE())</f>
        <v>6.7</v>
      </c>
      <c r="E109" s="32" t="n">
        <f aca="false">VLOOKUP($A109,'Order Sales'!$A$2:$G$2154,E$1,FALSE())</f>
        <v>7</v>
      </c>
      <c r="F109" s="32" t="n">
        <f aca="false">VLOOKUP($A109,'Order Sales'!$A$2:$G$2154,F$1,FALSE())</f>
        <v>96.92</v>
      </c>
      <c r="G109" s="32" t="str">
        <f aca="false">VLOOKUP($A109,'Order Sales'!$A$2:$G$2154,G$1,FALSE())</f>
        <v>Small Business</v>
      </c>
    </row>
    <row r="110" customFormat="false" ht="14.25" hidden="false" customHeight="false" outlineLevel="0" collapsed="false">
      <c r="A110" s="1" t="n">
        <v>1184</v>
      </c>
      <c r="B110" s="30" t="n">
        <v>43222</v>
      </c>
      <c r="C110" s="30" t="n">
        <v>43232</v>
      </c>
      <c r="D110" s="31" t="n">
        <f aca="false">VLOOKUP(A110,'Order Shipping'!$A$2:$C$2000,3,FALSE())</f>
        <v>21.4</v>
      </c>
      <c r="E110" s="32" t="n">
        <f aca="false">VLOOKUP($A110,'Order Sales'!$A$2:$G$2154,E$1,FALSE())</f>
        <v>4</v>
      </c>
      <c r="F110" s="32" t="n">
        <f aca="false">VLOOKUP($A110,'Order Sales'!$A$2:$G$2154,F$1,FALSE())</f>
        <v>2360.6</v>
      </c>
      <c r="G110" s="32" t="str">
        <f aca="false">VLOOKUP($A110,'Order Sales'!$A$2:$G$2154,G$1,FALSE())</f>
        <v>Consumer</v>
      </c>
    </row>
    <row r="111" customFormat="false" ht="14.25" hidden="false" customHeight="false" outlineLevel="0" collapsed="false">
      <c r="A111" s="1" t="n">
        <v>1954</v>
      </c>
      <c r="B111" s="30" t="n">
        <v>43191</v>
      </c>
      <c r="C111" s="30" t="n">
        <v>43233</v>
      </c>
      <c r="D111" s="31" t="n">
        <f aca="false">VLOOKUP(A111,'Order Shipping'!$A$2:$C$2000,3,FALSE())</f>
        <v>52.4</v>
      </c>
      <c r="E111" s="32" t="n">
        <f aca="false">VLOOKUP($A111,'Order Sales'!$A$2:$G$2154,E$1,FALSE())</f>
        <v>14</v>
      </c>
      <c r="F111" s="32" t="n">
        <f aca="false">VLOOKUP($A111,'Order Sales'!$A$2:$G$2154,F$1,FALSE())</f>
        <v>104.79</v>
      </c>
      <c r="G111" s="32" t="str">
        <f aca="false">VLOOKUP($A111,'Order Sales'!$A$2:$G$2154,G$1,FALSE())</f>
        <v>Corporate</v>
      </c>
    </row>
    <row r="112" customFormat="false" ht="14.25" hidden="false" customHeight="false" outlineLevel="0" collapsed="false">
      <c r="A112" s="1" t="n">
        <v>1878</v>
      </c>
      <c r="B112" s="30" t="n">
        <v>43455</v>
      </c>
      <c r="C112" s="30" t="n">
        <v>43234</v>
      </c>
      <c r="D112" s="31" t="n">
        <f aca="false">VLOOKUP(A112,'Order Shipping'!$A$2:$C$2000,3,FALSE())</f>
        <v>5.6</v>
      </c>
      <c r="E112" s="32" t="n">
        <f aca="false">VLOOKUP($A112,'Order Sales'!$A$2:$G$2154,E$1,FALSE())</f>
        <v>17</v>
      </c>
      <c r="F112" s="32" t="n">
        <f aca="false">VLOOKUP($A112,'Order Sales'!$A$2:$G$2154,F$1,FALSE())</f>
        <v>77.84</v>
      </c>
      <c r="G112" s="32" t="str">
        <f aca="false">VLOOKUP($A112,'Order Sales'!$A$2:$G$2154,G$1,FALSE())</f>
        <v>Small Business</v>
      </c>
    </row>
    <row r="113" customFormat="false" ht="14.25" hidden="false" customHeight="false" outlineLevel="0" collapsed="false">
      <c r="A113" s="1" t="n">
        <v>1038</v>
      </c>
      <c r="B113" s="30" t="n">
        <v>43295</v>
      </c>
      <c r="C113" s="30" t="n">
        <v>43235</v>
      </c>
      <c r="D113" s="31" t="n">
        <f aca="false">VLOOKUP(A113,'Order Shipping'!$A$2:$C$2000,3,FALSE())</f>
        <v>0.5</v>
      </c>
      <c r="E113" s="32" t="n">
        <f aca="false">VLOOKUP($A113,'Order Sales'!$A$2:$G$2154,E$1,FALSE())</f>
        <v>6</v>
      </c>
      <c r="F113" s="32" t="n">
        <f aca="false">VLOOKUP($A113,'Order Sales'!$A$2:$G$2154,F$1,FALSE())</f>
        <v>29.97</v>
      </c>
      <c r="G113" s="32" t="str">
        <f aca="false">VLOOKUP($A113,'Order Sales'!$A$2:$G$2154,G$1,FALSE())</f>
        <v>Corporate</v>
      </c>
    </row>
    <row r="114" customFormat="false" ht="14.25" hidden="false" customHeight="false" outlineLevel="0" collapsed="false">
      <c r="A114" s="1" t="n">
        <v>2792</v>
      </c>
      <c r="B114" s="30" t="n">
        <v>43322</v>
      </c>
      <c r="C114" s="30" t="n">
        <v>43236</v>
      </c>
      <c r="D114" s="31" t="n">
        <f aca="false">VLOOKUP(A114,'Order Shipping'!$A$2:$C$2000,3,FALSE())</f>
        <v>38.6</v>
      </c>
      <c r="E114" s="32" t="n">
        <f aca="false">VLOOKUP($A114,'Order Sales'!$A$2:$G$2154,E$1,FALSE())</f>
        <v>23</v>
      </c>
      <c r="F114" s="32" t="n">
        <f aca="false">VLOOKUP($A114,'Order Sales'!$A$2:$G$2154,F$1,FALSE())</f>
        <v>3532.42</v>
      </c>
      <c r="G114" s="32" t="str">
        <f aca="false">VLOOKUP($A114,'Order Sales'!$A$2:$G$2154,G$1,FALSE())</f>
        <v>Corporate</v>
      </c>
    </row>
    <row r="115" customFormat="false" ht="14.25" hidden="false" customHeight="false" outlineLevel="0" collapsed="false">
      <c r="A115" s="1" t="n">
        <v>2836</v>
      </c>
      <c r="B115" s="30" t="n">
        <v>43404</v>
      </c>
      <c r="C115" s="30" t="n">
        <v>43237</v>
      </c>
      <c r="D115" s="31" t="n">
        <f aca="false">VLOOKUP(A115,'Order Shipping'!$A$2:$C$2000,3,FALSE())</f>
        <v>8.2</v>
      </c>
      <c r="E115" s="32" t="n">
        <f aca="false">VLOOKUP($A115,'Order Sales'!$A$2:$G$2154,E$1,FALSE())</f>
        <v>42</v>
      </c>
      <c r="F115" s="32" t="n">
        <f aca="false">VLOOKUP($A115,'Order Sales'!$A$2:$G$2154,F$1,FALSE())</f>
        <v>4680.02</v>
      </c>
      <c r="G115" s="32" t="str">
        <f aca="false">VLOOKUP($A115,'Order Sales'!$A$2:$G$2154,G$1,FALSE())</f>
        <v>Corporate</v>
      </c>
    </row>
    <row r="116" customFormat="false" ht="14.25" hidden="false" customHeight="false" outlineLevel="0" collapsed="false">
      <c r="A116" s="1" t="n">
        <v>1793</v>
      </c>
      <c r="B116" s="30" t="n">
        <v>43371</v>
      </c>
      <c r="C116" s="30" t="n">
        <v>43238</v>
      </c>
      <c r="D116" s="31" t="n">
        <f aca="false">VLOOKUP(A116,'Order Shipping'!$A$2:$C$2000,3,FALSE())</f>
        <v>3.7</v>
      </c>
      <c r="E116" s="32" t="n">
        <f aca="false">VLOOKUP($A116,'Order Sales'!$A$2:$G$2154,E$1,FALSE())</f>
        <v>37</v>
      </c>
      <c r="F116" s="32" t="n">
        <f aca="false">VLOOKUP($A116,'Order Sales'!$A$2:$G$2154,F$1,FALSE())</f>
        <v>1708.64</v>
      </c>
      <c r="G116" s="32" t="str">
        <f aca="false">VLOOKUP($A116,'Order Sales'!$A$2:$G$2154,G$1,FALSE())</f>
        <v>Corporate</v>
      </c>
    </row>
    <row r="117" customFormat="false" ht="14.25" hidden="false" customHeight="false" outlineLevel="0" collapsed="false">
      <c r="A117" s="1" t="n">
        <v>2709</v>
      </c>
      <c r="B117" s="30" t="n">
        <v>43177</v>
      </c>
      <c r="C117" s="30" t="n">
        <v>43239</v>
      </c>
      <c r="D117" s="31" t="n">
        <f aca="false">VLOOKUP(A117,'Order Shipping'!$A$2:$C$2000,3,FALSE())</f>
        <v>1</v>
      </c>
      <c r="E117" s="32" t="n">
        <f aca="false">VLOOKUP($A117,'Order Sales'!$A$2:$G$2154,E$1,FALSE())</f>
        <v>35</v>
      </c>
      <c r="F117" s="32" t="n">
        <f aca="false">VLOOKUP($A117,'Order Sales'!$A$2:$G$2154,F$1,FALSE())</f>
        <v>142.38</v>
      </c>
      <c r="G117" s="32" t="str">
        <f aca="false">VLOOKUP($A117,'Order Sales'!$A$2:$G$2154,G$1,FALSE())</f>
        <v>Corporate</v>
      </c>
    </row>
    <row r="118" customFormat="false" ht="14.25" hidden="false" customHeight="false" outlineLevel="0" collapsed="false">
      <c r="A118" s="1" t="n">
        <v>2981</v>
      </c>
      <c r="B118" s="30" t="n">
        <v>43379</v>
      </c>
      <c r="C118" s="30" t="n">
        <v>43240</v>
      </c>
      <c r="D118" s="31" t="n">
        <f aca="false">VLOOKUP(A118,'Order Shipping'!$A$2:$C$2000,3,FALSE())</f>
        <v>9.6</v>
      </c>
      <c r="E118" s="32" t="n">
        <f aca="false">VLOOKUP($A118,'Order Sales'!$A$2:$G$2154,E$1,FALSE())</f>
        <v>39</v>
      </c>
      <c r="F118" s="32" t="n">
        <f aca="false">VLOOKUP($A118,'Order Sales'!$A$2:$G$2154,F$1,FALSE())</f>
        <v>4510.94</v>
      </c>
      <c r="G118" s="32" t="str">
        <f aca="false">VLOOKUP($A118,'Order Sales'!$A$2:$G$2154,G$1,FALSE())</f>
        <v>Corporate</v>
      </c>
    </row>
    <row r="119" customFormat="false" ht="14.25" hidden="false" customHeight="false" outlineLevel="0" collapsed="false">
      <c r="A119" s="1" t="n">
        <v>2439</v>
      </c>
      <c r="B119" s="30" t="n">
        <v>43334</v>
      </c>
      <c r="C119" s="30" t="n">
        <v>43241</v>
      </c>
      <c r="D119" s="31" t="n">
        <f aca="false">VLOOKUP(A119,'Order Shipping'!$A$2:$C$2000,3,FALSE())</f>
        <v>5.4</v>
      </c>
      <c r="E119" s="32" t="n">
        <f aca="false">VLOOKUP($A119,'Order Sales'!$A$2:$G$2154,E$1,FALSE())</f>
        <v>39</v>
      </c>
      <c r="F119" s="32" t="n">
        <f aca="false">VLOOKUP($A119,'Order Sales'!$A$2:$G$2154,F$1,FALSE())</f>
        <v>7370.87</v>
      </c>
      <c r="G119" s="32" t="str">
        <f aca="false">VLOOKUP($A119,'Order Sales'!$A$2:$G$2154,G$1,FALSE())</f>
        <v>Corporate</v>
      </c>
    </row>
    <row r="120" customFormat="false" ht="14.25" hidden="false" customHeight="false" outlineLevel="0" collapsed="false">
      <c r="A120" s="1" t="n">
        <v>2710</v>
      </c>
      <c r="B120" s="30" t="n">
        <v>43149</v>
      </c>
      <c r="C120" s="30" t="n">
        <v>43242</v>
      </c>
      <c r="D120" s="31" t="n">
        <f aca="false">VLOOKUP(A120,'Order Shipping'!$A$2:$C$2000,3,FALSE())</f>
        <v>21.4</v>
      </c>
      <c r="E120" s="32" t="n">
        <f aca="false">VLOOKUP($A120,'Order Sales'!$A$2:$G$2154,E$1,FALSE())</f>
        <v>4</v>
      </c>
      <c r="F120" s="32" t="n">
        <f aca="false">VLOOKUP($A120,'Order Sales'!$A$2:$G$2154,F$1,FALSE())</f>
        <v>3708.59</v>
      </c>
      <c r="G120" s="32" t="str">
        <f aca="false">VLOOKUP($A120,'Order Sales'!$A$2:$G$2154,G$1,FALSE())</f>
        <v>Small Business</v>
      </c>
    </row>
    <row r="121" customFormat="false" ht="14.25" hidden="false" customHeight="false" outlineLevel="0" collapsed="false">
      <c r="A121" s="1" t="n">
        <v>1029</v>
      </c>
      <c r="B121" s="30" t="n">
        <v>43290</v>
      </c>
      <c r="C121" s="30" t="n">
        <v>43243</v>
      </c>
      <c r="D121" s="31" t="n">
        <f aca="false">VLOOKUP(A121,'Order Shipping'!$A$2:$C$2000,3,FALSE())</f>
        <v>4.3</v>
      </c>
      <c r="E121" s="32" t="n">
        <f aca="false">VLOOKUP($A121,'Order Sales'!$A$2:$G$2154,E$1,FALSE())</f>
        <v>30</v>
      </c>
      <c r="F121" s="32" t="n">
        <f aca="false">VLOOKUP($A121,'Order Sales'!$A$2:$G$2154,F$1,FALSE())</f>
        <v>5313.36</v>
      </c>
      <c r="G121" s="32" t="str">
        <f aca="false">VLOOKUP($A121,'Order Sales'!$A$2:$G$2154,G$1,FALSE())</f>
        <v>Corporate</v>
      </c>
    </row>
    <row r="122" customFormat="false" ht="14.25" hidden="false" customHeight="false" outlineLevel="0" collapsed="false">
      <c r="A122" s="1" t="n">
        <v>1939</v>
      </c>
      <c r="B122" s="30" t="n">
        <v>43318</v>
      </c>
      <c r="C122" s="30" t="n">
        <v>43244</v>
      </c>
      <c r="D122" s="31" t="n">
        <f aca="false">VLOOKUP(A122,'Order Shipping'!$A$2:$C$2000,3,FALSE())</f>
        <v>3.7</v>
      </c>
      <c r="E122" s="32" t="n">
        <f aca="false">VLOOKUP($A122,'Order Sales'!$A$2:$G$2154,E$1,FALSE())</f>
        <v>48</v>
      </c>
      <c r="F122" s="32" t="n">
        <f aca="false">VLOOKUP($A122,'Order Sales'!$A$2:$G$2154,F$1,FALSE())</f>
        <v>413.01</v>
      </c>
      <c r="G122" s="32" t="str">
        <f aca="false">VLOOKUP($A122,'Order Sales'!$A$2:$G$2154,G$1,FALSE())</f>
        <v>Small Business</v>
      </c>
    </row>
    <row r="123" customFormat="false" ht="14.25" hidden="false" customHeight="false" outlineLevel="0" collapsed="false">
      <c r="A123" s="1" t="n">
        <v>2964</v>
      </c>
      <c r="B123" s="30" t="n">
        <v>43463</v>
      </c>
      <c r="C123" s="30" t="n">
        <v>43245</v>
      </c>
      <c r="D123" s="31" t="n">
        <f aca="false">VLOOKUP(A123,'Order Shipping'!$A$2:$C$2000,3,FALSE())</f>
        <v>69.3</v>
      </c>
      <c r="E123" s="32" t="n">
        <f aca="false">VLOOKUP($A123,'Order Sales'!$A$2:$G$2154,E$1,FALSE())</f>
        <v>23</v>
      </c>
      <c r="F123" s="32" t="n">
        <f aca="false">VLOOKUP($A123,'Order Sales'!$A$2:$G$2154,F$1,FALSE())</f>
        <v>7106.02</v>
      </c>
      <c r="G123" s="32" t="str">
        <f aca="false">VLOOKUP($A123,'Order Sales'!$A$2:$G$2154,G$1,FALSE())</f>
        <v>Small Business</v>
      </c>
    </row>
    <row r="124" customFormat="false" ht="14.25" hidden="false" customHeight="false" outlineLevel="0" collapsed="false">
      <c r="A124" s="1" t="n">
        <v>1930</v>
      </c>
      <c r="B124" s="30" t="n">
        <v>43279</v>
      </c>
      <c r="C124" s="30" t="n">
        <v>43246</v>
      </c>
      <c r="D124" s="31" t="n">
        <f aca="false">VLOOKUP(A124,'Order Shipping'!$A$2:$C$2000,3,FALSE())</f>
        <v>6</v>
      </c>
      <c r="E124" s="32" t="n">
        <f aca="false">VLOOKUP($A124,'Order Sales'!$A$2:$G$2154,E$1,FALSE())</f>
        <v>1</v>
      </c>
      <c r="F124" s="32" t="n">
        <f aca="false">VLOOKUP($A124,'Order Sales'!$A$2:$G$2154,F$1,FALSE())</f>
        <v>11.86</v>
      </c>
      <c r="G124" s="32" t="str">
        <f aca="false">VLOOKUP($A124,'Order Sales'!$A$2:$G$2154,G$1,FALSE())</f>
        <v>Home Office</v>
      </c>
    </row>
    <row r="125" customFormat="false" ht="14.25" hidden="false" customHeight="false" outlineLevel="0" collapsed="false">
      <c r="A125" s="1" t="n">
        <v>1837</v>
      </c>
      <c r="B125" s="30" t="n">
        <v>43422</v>
      </c>
      <c r="C125" s="30" t="n">
        <v>43247</v>
      </c>
      <c r="D125" s="31" t="n">
        <f aca="false">VLOOKUP(A125,'Order Shipping'!$A$2:$C$2000,3,FALSE())</f>
        <v>1.6</v>
      </c>
      <c r="E125" s="32" t="n">
        <f aca="false">VLOOKUP($A125,'Order Sales'!$A$2:$G$2154,E$1,FALSE())</f>
        <v>1</v>
      </c>
      <c r="F125" s="32" t="n">
        <f aca="false">VLOOKUP($A125,'Order Sales'!$A$2:$G$2154,F$1,FALSE())</f>
        <v>3.42</v>
      </c>
      <c r="G125" s="32" t="str">
        <f aca="false">VLOOKUP($A125,'Order Sales'!$A$2:$G$2154,G$1,FALSE())</f>
        <v>Small Business</v>
      </c>
    </row>
    <row r="126" customFormat="false" ht="14.25" hidden="false" customHeight="false" outlineLevel="0" collapsed="false">
      <c r="A126" s="1" t="n">
        <v>1050</v>
      </c>
      <c r="B126" s="30" t="n">
        <v>43238</v>
      </c>
      <c r="C126" s="30" t="n">
        <v>43248</v>
      </c>
      <c r="D126" s="31" t="n">
        <f aca="false">VLOOKUP(A126,'Order Shipping'!$A$2:$C$2000,3,FALSE())</f>
        <v>1.2</v>
      </c>
      <c r="E126" s="32" t="n">
        <f aca="false">VLOOKUP($A126,'Order Sales'!$A$2:$G$2154,E$1,FALSE())</f>
        <v>4</v>
      </c>
      <c r="F126" s="32" t="n">
        <f aca="false">VLOOKUP($A126,'Order Sales'!$A$2:$G$2154,F$1,FALSE())</f>
        <v>42.82</v>
      </c>
      <c r="G126" s="32" t="str">
        <f aca="false">VLOOKUP($A126,'Order Sales'!$A$2:$G$2154,G$1,FALSE())</f>
        <v>Corporate</v>
      </c>
    </row>
    <row r="127" customFormat="false" ht="14.25" hidden="false" customHeight="false" outlineLevel="0" collapsed="false">
      <c r="A127" s="1" t="n">
        <v>1688</v>
      </c>
      <c r="B127" s="30" t="n">
        <v>43223</v>
      </c>
      <c r="C127" s="30" t="n">
        <v>43249</v>
      </c>
      <c r="D127" s="31" t="n">
        <f aca="false">VLOOKUP(A127,'Order Shipping'!$A$2:$C$2000,3,FALSE())</f>
        <v>6</v>
      </c>
      <c r="E127" s="32" t="n">
        <f aca="false">VLOOKUP($A127,'Order Sales'!$A$2:$G$2154,E$1,FALSE())</f>
        <v>33</v>
      </c>
      <c r="F127" s="32" t="n">
        <f aca="false">VLOOKUP($A127,'Order Sales'!$A$2:$G$2154,F$1,FALSE())</f>
        <v>3736.03</v>
      </c>
      <c r="G127" s="32" t="str">
        <f aca="false">VLOOKUP($A127,'Order Sales'!$A$2:$G$2154,G$1,FALSE())</f>
        <v>Consumer</v>
      </c>
    </row>
    <row r="128" customFormat="false" ht="14.25" hidden="false" customHeight="false" outlineLevel="0" collapsed="false">
      <c r="A128" s="1" t="n">
        <v>2970</v>
      </c>
      <c r="B128" s="30" t="n">
        <v>43179</v>
      </c>
      <c r="C128" s="30" t="n">
        <v>43250</v>
      </c>
      <c r="D128" s="31" t="n">
        <f aca="false">VLOOKUP(A128,'Order Shipping'!$A$2:$C$2000,3,FALSE())</f>
        <v>1.1</v>
      </c>
      <c r="E128" s="32" t="n">
        <f aca="false">VLOOKUP($A128,'Order Sales'!$A$2:$G$2154,E$1,FALSE())</f>
        <v>29</v>
      </c>
      <c r="F128" s="32" t="n">
        <f aca="false">VLOOKUP($A128,'Order Sales'!$A$2:$G$2154,F$1,FALSE())</f>
        <v>93.82</v>
      </c>
      <c r="G128" s="32" t="str">
        <f aca="false">VLOOKUP($A128,'Order Sales'!$A$2:$G$2154,G$1,FALSE())</f>
        <v>Corporate</v>
      </c>
    </row>
    <row r="129" customFormat="false" ht="14.25" hidden="false" customHeight="false" outlineLevel="0" collapsed="false">
      <c r="A129" s="1" t="n">
        <v>1683</v>
      </c>
      <c r="B129" s="30" t="n">
        <v>43318</v>
      </c>
      <c r="C129" s="30" t="n">
        <v>43251</v>
      </c>
      <c r="D129" s="31" t="n">
        <f aca="false">VLOOKUP(A129,'Order Shipping'!$A$2:$C$2000,3,FALSE())</f>
        <v>1.6</v>
      </c>
      <c r="E129" s="32" t="n">
        <f aca="false">VLOOKUP($A129,'Order Sales'!$A$2:$G$2154,E$1,FALSE())</f>
        <v>34</v>
      </c>
      <c r="F129" s="32" t="n">
        <f aca="false">VLOOKUP($A129,'Order Sales'!$A$2:$G$2154,F$1,FALSE())</f>
        <v>1002.63</v>
      </c>
      <c r="G129" s="32" t="str">
        <f aca="false">VLOOKUP($A129,'Order Sales'!$A$2:$G$2154,G$1,FALSE())</f>
        <v>Corporate</v>
      </c>
    </row>
    <row r="130" customFormat="false" ht="14.25" hidden="false" customHeight="false" outlineLevel="0" collapsed="false">
      <c r="A130" s="1" t="n">
        <v>1645</v>
      </c>
      <c r="B130" s="30" t="n">
        <v>43255</v>
      </c>
      <c r="C130" s="30" t="n">
        <v>43252</v>
      </c>
      <c r="D130" s="31" t="n">
        <f aca="false">VLOOKUP(A130,'Order Shipping'!$A$2:$C$2000,3,FALSE())</f>
        <v>2.1</v>
      </c>
      <c r="E130" s="32" t="n">
        <f aca="false">VLOOKUP($A130,'Order Sales'!$A$2:$G$2154,E$1,FALSE())</f>
        <v>15</v>
      </c>
      <c r="F130" s="32" t="n">
        <f aca="false">VLOOKUP($A130,'Order Sales'!$A$2:$G$2154,F$1,FALSE())</f>
        <v>356.63</v>
      </c>
      <c r="G130" s="32" t="str">
        <f aca="false">VLOOKUP($A130,'Order Sales'!$A$2:$G$2154,G$1,FALSE())</f>
        <v>Small Business</v>
      </c>
    </row>
    <row r="131" customFormat="false" ht="14.25" hidden="false" customHeight="false" outlineLevel="0" collapsed="false">
      <c r="A131" s="1" t="n">
        <v>2755</v>
      </c>
      <c r="B131" s="30" t="n">
        <v>43382</v>
      </c>
      <c r="C131" s="30" t="n">
        <v>43253</v>
      </c>
      <c r="D131" s="31" t="n">
        <f aca="false">VLOOKUP(A131,'Order Shipping'!$A$2:$C$2000,3,FALSE())</f>
        <v>2.6</v>
      </c>
      <c r="E131" s="32" t="n">
        <f aca="false">VLOOKUP($A131,'Order Sales'!$A$2:$G$2154,E$1,FALSE())</f>
        <v>4</v>
      </c>
      <c r="F131" s="32" t="n">
        <f aca="false">VLOOKUP($A131,'Order Sales'!$A$2:$G$2154,F$1,FALSE())</f>
        <v>21.67</v>
      </c>
      <c r="G131" s="32" t="str">
        <f aca="false">VLOOKUP($A131,'Order Sales'!$A$2:$G$2154,G$1,FALSE())</f>
        <v>Small Business</v>
      </c>
    </row>
    <row r="132" customFormat="false" ht="14.25" hidden="false" customHeight="false" outlineLevel="0" collapsed="false">
      <c r="A132" s="1" t="n">
        <v>1456</v>
      </c>
      <c r="B132" s="30" t="n">
        <v>43346</v>
      </c>
      <c r="C132" s="30" t="n">
        <v>43254</v>
      </c>
      <c r="D132" s="31" t="n">
        <f aca="false">VLOOKUP(A132,'Order Shipping'!$A$2:$C$2000,3,FALSE())</f>
        <v>58.1</v>
      </c>
      <c r="E132" s="32" t="n">
        <f aca="false">VLOOKUP($A132,'Order Sales'!$A$2:$G$2154,E$1,FALSE())</f>
        <v>49</v>
      </c>
      <c r="F132" s="32" t="n">
        <f aca="false">VLOOKUP($A132,'Order Sales'!$A$2:$G$2154,F$1,FALSE())</f>
        <v>13887.64</v>
      </c>
      <c r="G132" s="32" t="str">
        <f aca="false">VLOOKUP($A132,'Order Sales'!$A$2:$G$2154,G$1,FALSE())</f>
        <v>Small Business</v>
      </c>
    </row>
    <row r="133" customFormat="false" ht="14.25" hidden="false" customHeight="false" outlineLevel="0" collapsed="false">
      <c r="A133" s="1" t="n">
        <v>1176</v>
      </c>
      <c r="B133" s="30" t="n">
        <v>43151</v>
      </c>
      <c r="C133" s="30" t="n">
        <v>43255</v>
      </c>
      <c r="D133" s="31" t="n">
        <f aca="false">VLOOKUP(A133,'Order Shipping'!$A$2:$C$2000,3,FALSE())</f>
        <v>5.4</v>
      </c>
      <c r="E133" s="32" t="n">
        <f aca="false">VLOOKUP($A133,'Order Sales'!$A$2:$G$2154,E$1,FALSE())</f>
        <v>39</v>
      </c>
      <c r="F133" s="32" t="n">
        <f aca="false">VLOOKUP($A133,'Order Sales'!$A$2:$G$2154,F$1,FALSE())</f>
        <v>295.35</v>
      </c>
      <c r="G133" s="32" t="str">
        <f aca="false">VLOOKUP($A133,'Order Sales'!$A$2:$G$2154,G$1,FALSE())</f>
        <v>Corporate</v>
      </c>
    </row>
    <row r="134" customFormat="false" ht="14.25" hidden="false" customHeight="false" outlineLevel="0" collapsed="false">
      <c r="A134" s="1" t="n">
        <v>2309</v>
      </c>
      <c r="B134" s="30" t="n">
        <v>43355</v>
      </c>
      <c r="C134" s="30" t="n">
        <v>43256</v>
      </c>
      <c r="D134" s="31" t="n">
        <f aca="false">VLOOKUP(A134,'Order Shipping'!$A$2:$C$2000,3,FALSE())</f>
        <v>9.1</v>
      </c>
      <c r="E134" s="32" t="n">
        <f aca="false">VLOOKUP($A134,'Order Sales'!$A$2:$G$2154,E$1,FALSE())</f>
        <v>23</v>
      </c>
      <c r="F134" s="32" t="n">
        <f aca="false">VLOOKUP($A134,'Order Sales'!$A$2:$G$2154,F$1,FALSE())</f>
        <v>159.86</v>
      </c>
      <c r="G134" s="32" t="str">
        <f aca="false">VLOOKUP($A134,'Order Sales'!$A$2:$G$2154,G$1,FALSE())</f>
        <v>Home Office</v>
      </c>
    </row>
    <row r="135" customFormat="false" ht="14.25" hidden="false" customHeight="false" outlineLevel="0" collapsed="false">
      <c r="A135" s="1" t="n">
        <v>1937</v>
      </c>
      <c r="B135" s="30" t="n">
        <v>43177</v>
      </c>
      <c r="C135" s="30" t="n">
        <v>43257</v>
      </c>
      <c r="D135" s="31" t="n">
        <f aca="false">VLOOKUP(A135,'Order Shipping'!$A$2:$C$2000,3,FALSE())</f>
        <v>6.5</v>
      </c>
      <c r="E135" s="32" t="n">
        <f aca="false">VLOOKUP($A135,'Order Sales'!$A$2:$G$2154,E$1,FALSE())</f>
        <v>31</v>
      </c>
      <c r="F135" s="32" t="n">
        <f aca="false">VLOOKUP($A135,'Order Sales'!$A$2:$G$2154,F$1,FALSE())</f>
        <v>168.84</v>
      </c>
      <c r="G135" s="32" t="str">
        <f aca="false">VLOOKUP($A135,'Order Sales'!$A$2:$G$2154,G$1,FALSE())</f>
        <v>Corporate</v>
      </c>
    </row>
    <row r="136" customFormat="false" ht="14.25" hidden="false" customHeight="false" outlineLevel="0" collapsed="false">
      <c r="A136" s="1" t="n">
        <v>2649</v>
      </c>
      <c r="B136" s="30" t="n">
        <v>43282</v>
      </c>
      <c r="C136" s="30" t="n">
        <v>43258</v>
      </c>
      <c r="D136" s="31" t="n">
        <f aca="false">VLOOKUP(A136,'Order Shipping'!$A$2:$C$2000,3,FALSE())</f>
        <v>9.2</v>
      </c>
      <c r="E136" s="32" t="n">
        <f aca="false">VLOOKUP($A136,'Order Sales'!$A$2:$G$2154,E$1,FALSE())</f>
        <v>8</v>
      </c>
      <c r="F136" s="32" t="n">
        <f aca="false">VLOOKUP($A136,'Order Sales'!$A$2:$G$2154,F$1,FALSE())</f>
        <v>937.33</v>
      </c>
      <c r="G136" s="32" t="str">
        <f aca="false">VLOOKUP($A136,'Order Sales'!$A$2:$G$2154,G$1,FALSE())</f>
        <v>Small Business</v>
      </c>
    </row>
    <row r="137" customFormat="false" ht="14.25" hidden="false" customHeight="false" outlineLevel="0" collapsed="false">
      <c r="A137" s="1" t="n">
        <v>2185</v>
      </c>
      <c r="B137" s="30" t="n">
        <v>43381</v>
      </c>
      <c r="C137" s="30" t="n">
        <v>43259</v>
      </c>
      <c r="D137" s="31" t="n">
        <f aca="false">VLOOKUP(A137,'Order Shipping'!$A$2:$C$2000,3,FALSE())</f>
        <v>1.6</v>
      </c>
      <c r="E137" s="32" t="n">
        <f aca="false">VLOOKUP($A137,'Order Sales'!$A$2:$G$2154,E$1,FALSE())</f>
        <v>9</v>
      </c>
      <c r="F137" s="32" t="n">
        <f aca="false">VLOOKUP($A137,'Order Sales'!$A$2:$G$2154,F$1,FALSE())</f>
        <v>46.29</v>
      </c>
      <c r="G137" s="32" t="str">
        <f aca="false">VLOOKUP($A137,'Order Sales'!$A$2:$G$2154,G$1,FALSE())</f>
        <v>Consumer</v>
      </c>
    </row>
    <row r="138" customFormat="false" ht="14.25" hidden="false" customHeight="false" outlineLevel="0" collapsed="false">
      <c r="A138" s="1" t="n">
        <v>1106</v>
      </c>
      <c r="B138" s="30" t="n">
        <v>43214</v>
      </c>
      <c r="C138" s="30" t="n">
        <v>43260</v>
      </c>
      <c r="D138" s="31" t="n">
        <f aca="false">VLOOKUP(A138,'Order Shipping'!$A$2:$C$2000,3,FALSE())</f>
        <v>7.3</v>
      </c>
      <c r="E138" s="32" t="n">
        <f aca="false">VLOOKUP($A138,'Order Sales'!$A$2:$G$2154,E$1,FALSE())</f>
        <v>8</v>
      </c>
      <c r="F138" s="32" t="n">
        <f aca="false">VLOOKUP($A138,'Order Sales'!$A$2:$G$2154,F$1,FALSE())</f>
        <v>61.03</v>
      </c>
      <c r="G138" s="32" t="str">
        <f aca="false">VLOOKUP($A138,'Order Sales'!$A$2:$G$2154,G$1,FALSE())</f>
        <v>Consumer</v>
      </c>
    </row>
    <row r="139" customFormat="false" ht="14.25" hidden="false" customHeight="false" outlineLevel="0" collapsed="false">
      <c r="A139" s="1" t="n">
        <v>1252</v>
      </c>
      <c r="B139" s="30" t="n">
        <v>43220</v>
      </c>
      <c r="C139" s="30" t="n">
        <v>43261</v>
      </c>
      <c r="D139" s="31" t="n">
        <f aca="false">VLOOKUP(A139,'Order Shipping'!$A$2:$C$2000,3,FALSE())</f>
        <v>3.7</v>
      </c>
      <c r="E139" s="32" t="n">
        <f aca="false">VLOOKUP($A139,'Order Sales'!$A$2:$G$2154,E$1,FALSE())</f>
        <v>41</v>
      </c>
      <c r="F139" s="32" t="n">
        <f aca="false">VLOOKUP($A139,'Order Sales'!$A$2:$G$2154,F$1,FALSE())</f>
        <v>367.69</v>
      </c>
      <c r="G139" s="32" t="str">
        <f aca="false">VLOOKUP($A139,'Order Sales'!$A$2:$G$2154,G$1,FALSE())</f>
        <v>Corporate</v>
      </c>
    </row>
    <row r="140" customFormat="false" ht="14.25" hidden="false" customHeight="false" outlineLevel="0" collapsed="false">
      <c r="A140" s="1" t="n">
        <v>2968</v>
      </c>
      <c r="B140" s="30" t="n">
        <v>43436</v>
      </c>
      <c r="C140" s="30" t="n">
        <v>43262</v>
      </c>
      <c r="D140" s="31" t="n">
        <f aca="false">VLOOKUP(A140,'Order Shipping'!$A$2:$C$2000,3,FALSE())</f>
        <v>7.6</v>
      </c>
      <c r="E140" s="32" t="n">
        <f aca="false">VLOOKUP($A140,'Order Sales'!$A$2:$G$2154,E$1,FALSE())</f>
        <v>18</v>
      </c>
      <c r="F140" s="32" t="n">
        <f aca="false">VLOOKUP($A140,'Order Sales'!$A$2:$G$2154,F$1,FALSE())</f>
        <v>50.41</v>
      </c>
      <c r="G140" s="32" t="str">
        <f aca="false">VLOOKUP($A140,'Order Sales'!$A$2:$G$2154,G$1,FALSE())</f>
        <v>Home Office</v>
      </c>
    </row>
    <row r="141" customFormat="false" ht="14.25" hidden="false" customHeight="false" outlineLevel="0" collapsed="false">
      <c r="A141" s="1" t="n">
        <v>2396</v>
      </c>
      <c r="B141" s="30" t="n">
        <v>43451</v>
      </c>
      <c r="C141" s="30" t="n">
        <v>43263</v>
      </c>
      <c r="D141" s="31" t="n">
        <f aca="false">VLOOKUP(A141,'Order Shipping'!$A$2:$C$2000,3,FALSE())</f>
        <v>7.9</v>
      </c>
      <c r="E141" s="32" t="n">
        <f aca="false">VLOOKUP($A141,'Order Sales'!$A$2:$G$2154,E$1,FALSE())</f>
        <v>35</v>
      </c>
      <c r="F141" s="32" t="n">
        <f aca="false">VLOOKUP($A141,'Order Sales'!$A$2:$G$2154,F$1,FALSE())</f>
        <v>581.25</v>
      </c>
      <c r="G141" s="32" t="str">
        <f aca="false">VLOOKUP($A141,'Order Sales'!$A$2:$G$2154,G$1,FALSE())</f>
        <v>Corporate</v>
      </c>
    </row>
    <row r="142" customFormat="false" ht="14.25" hidden="false" customHeight="false" outlineLevel="0" collapsed="false">
      <c r="A142" s="1" t="n">
        <v>2695</v>
      </c>
      <c r="B142" s="30" t="n">
        <v>43430</v>
      </c>
      <c r="C142" s="30" t="n">
        <v>43264</v>
      </c>
      <c r="D142" s="31" t="n">
        <f aca="false">VLOOKUP(A142,'Order Shipping'!$A$2:$C$2000,3,FALSE())</f>
        <v>4.7</v>
      </c>
      <c r="E142" s="32" t="n">
        <f aca="false">VLOOKUP($A142,'Order Sales'!$A$2:$G$2154,E$1,FALSE())</f>
        <v>34</v>
      </c>
      <c r="F142" s="32" t="n">
        <f aca="false">VLOOKUP($A142,'Order Sales'!$A$2:$G$2154,F$1,FALSE())</f>
        <v>342.44</v>
      </c>
      <c r="G142" s="32" t="str">
        <f aca="false">VLOOKUP($A142,'Order Sales'!$A$2:$G$2154,G$1,FALSE())</f>
        <v>Small Business</v>
      </c>
    </row>
    <row r="143" customFormat="false" ht="14.25" hidden="false" customHeight="false" outlineLevel="0" collapsed="false">
      <c r="A143" s="1" t="n">
        <v>1632</v>
      </c>
      <c r="B143" s="30" t="n">
        <v>43349</v>
      </c>
      <c r="C143" s="30" t="n">
        <v>43265</v>
      </c>
      <c r="D143" s="31" t="n">
        <f aca="false">VLOOKUP(A143,'Order Shipping'!$A$2:$C$2000,3,FALSE())</f>
        <v>7</v>
      </c>
      <c r="E143" s="32" t="n">
        <f aca="false">VLOOKUP($A143,'Order Sales'!$A$2:$G$2154,E$1,FALSE())</f>
        <v>15</v>
      </c>
      <c r="F143" s="32" t="n">
        <f aca="false">VLOOKUP($A143,'Order Sales'!$A$2:$G$2154,F$1,FALSE())</f>
        <v>150.68</v>
      </c>
      <c r="G143" s="32" t="str">
        <f aca="false">VLOOKUP($A143,'Order Sales'!$A$2:$G$2154,G$1,FALSE())</f>
        <v>Corporate</v>
      </c>
    </row>
    <row r="144" customFormat="false" ht="14.25" hidden="false" customHeight="false" outlineLevel="0" collapsed="false">
      <c r="A144" s="1" t="n">
        <v>2725</v>
      </c>
      <c r="B144" s="30" t="n">
        <v>43430</v>
      </c>
      <c r="C144" s="30" t="n">
        <v>43266</v>
      </c>
      <c r="D144" s="31" t="n">
        <f aca="false">VLOOKUP(A144,'Order Shipping'!$A$2:$C$2000,3,FALSE())</f>
        <v>6</v>
      </c>
      <c r="E144" s="32" t="n">
        <f aca="false">VLOOKUP($A144,'Order Sales'!$A$2:$G$2154,E$1,FALSE())</f>
        <v>14</v>
      </c>
      <c r="F144" s="32" t="n">
        <f aca="false">VLOOKUP($A144,'Order Sales'!$A$2:$G$2154,F$1,FALSE())</f>
        <v>146.43</v>
      </c>
      <c r="G144" s="32" t="str">
        <f aca="false">VLOOKUP($A144,'Order Sales'!$A$2:$G$2154,G$1,FALSE())</f>
        <v>Consumer</v>
      </c>
    </row>
    <row r="145" customFormat="false" ht="14.25" hidden="false" customHeight="false" outlineLevel="0" collapsed="false">
      <c r="A145" s="1" t="n">
        <v>2015</v>
      </c>
      <c r="B145" s="30" t="n">
        <v>43429</v>
      </c>
      <c r="C145" s="30" t="n">
        <v>43267</v>
      </c>
      <c r="D145" s="31" t="n">
        <f aca="false">VLOOKUP(A145,'Order Shipping'!$A$2:$C$2000,3,FALSE())</f>
        <v>5.4</v>
      </c>
      <c r="E145" s="32" t="n">
        <f aca="false">VLOOKUP($A145,'Order Sales'!$A$2:$G$2154,E$1,FALSE())</f>
        <v>45</v>
      </c>
      <c r="F145" s="32" t="n">
        <f aca="false">VLOOKUP($A145,'Order Sales'!$A$2:$G$2154,F$1,FALSE())</f>
        <v>550.01</v>
      </c>
      <c r="G145" s="32" t="str">
        <f aca="false">VLOOKUP($A145,'Order Sales'!$A$2:$G$2154,G$1,FALSE())</f>
        <v>Home Office</v>
      </c>
    </row>
    <row r="146" customFormat="false" ht="14.25" hidden="false" customHeight="false" outlineLevel="0" collapsed="false">
      <c r="A146" s="1" t="n">
        <v>2071</v>
      </c>
      <c r="B146" s="30" t="n">
        <v>43307</v>
      </c>
      <c r="C146" s="30" t="n">
        <v>43268</v>
      </c>
      <c r="D146" s="31" t="n">
        <f aca="false">VLOOKUP(A146,'Order Shipping'!$A$2:$C$2000,3,FALSE())</f>
        <v>44.9</v>
      </c>
      <c r="E146" s="32" t="n">
        <f aca="false">VLOOKUP($A146,'Order Sales'!$A$2:$G$2154,E$1,FALSE())</f>
        <v>13</v>
      </c>
      <c r="F146" s="32" t="n">
        <f aca="false">VLOOKUP($A146,'Order Sales'!$A$2:$G$2154,F$1,FALSE())</f>
        <v>1277.17</v>
      </c>
      <c r="G146" s="32" t="str">
        <f aca="false">VLOOKUP($A146,'Order Sales'!$A$2:$G$2154,G$1,FALSE())</f>
        <v>Consumer</v>
      </c>
    </row>
    <row r="147" customFormat="false" ht="14.25" hidden="false" customHeight="false" outlineLevel="0" collapsed="false">
      <c r="A147" s="1" t="n">
        <v>2894</v>
      </c>
      <c r="B147" s="30" t="n">
        <v>43307</v>
      </c>
      <c r="C147" s="30" t="n">
        <v>43269</v>
      </c>
      <c r="D147" s="31" t="n">
        <f aca="false">VLOOKUP(A147,'Order Shipping'!$A$2:$C$2000,3,FALSE())</f>
        <v>15</v>
      </c>
      <c r="E147" s="32" t="n">
        <f aca="false">VLOOKUP($A147,'Order Sales'!$A$2:$G$2154,E$1,FALSE())</f>
        <v>13</v>
      </c>
      <c r="F147" s="32" t="n">
        <f aca="false">VLOOKUP($A147,'Order Sales'!$A$2:$G$2154,F$1,FALSE())</f>
        <v>1291.51</v>
      </c>
      <c r="G147" s="32" t="str">
        <f aca="false">VLOOKUP($A147,'Order Sales'!$A$2:$G$2154,G$1,FALSE())</f>
        <v>Corporate</v>
      </c>
    </row>
    <row r="148" customFormat="false" ht="14.25" hidden="false" customHeight="false" outlineLevel="0" collapsed="false">
      <c r="A148" s="1" t="n">
        <v>2996</v>
      </c>
      <c r="B148" s="30" t="n">
        <v>43272</v>
      </c>
      <c r="C148" s="30" t="n">
        <v>43270</v>
      </c>
      <c r="D148" s="31" t="n">
        <f aca="false">VLOOKUP(A148,'Order Shipping'!$A$2:$C$2000,3,FALSE())</f>
        <v>21.4</v>
      </c>
      <c r="E148" s="32" t="n">
        <f aca="false">VLOOKUP($A148,'Order Sales'!$A$2:$G$2154,E$1,FALSE())</f>
        <v>46</v>
      </c>
      <c r="F148" s="32" t="n">
        <f aca="false">VLOOKUP($A148,'Order Sales'!$A$2:$G$2154,F$1,FALSE())</f>
        <v>9909.53</v>
      </c>
      <c r="G148" s="32" t="str">
        <f aca="false">VLOOKUP($A148,'Order Sales'!$A$2:$G$2154,G$1,FALSE())</f>
        <v>Consumer</v>
      </c>
    </row>
    <row r="149" customFormat="false" ht="14.25" hidden="false" customHeight="false" outlineLevel="0" collapsed="false">
      <c r="A149" s="1" t="n">
        <v>2163</v>
      </c>
      <c r="B149" s="30" t="n">
        <v>43371</v>
      </c>
      <c r="C149" s="30" t="n">
        <v>43271</v>
      </c>
      <c r="D149" s="31" t="n">
        <f aca="false">VLOOKUP(A149,'Order Shipping'!$A$2:$C$2000,3,FALSE())</f>
        <v>7.3</v>
      </c>
      <c r="E149" s="32" t="n">
        <f aca="false">VLOOKUP($A149,'Order Sales'!$A$2:$G$2154,E$1,FALSE())</f>
        <v>49</v>
      </c>
      <c r="F149" s="32" t="n">
        <f aca="false">VLOOKUP($A149,'Order Sales'!$A$2:$G$2154,F$1,FALSE())</f>
        <v>697.53</v>
      </c>
      <c r="G149" s="32" t="str">
        <f aca="false">VLOOKUP($A149,'Order Sales'!$A$2:$G$2154,G$1,FALSE())</f>
        <v>Small Business</v>
      </c>
    </row>
    <row r="150" customFormat="false" ht="14.25" hidden="false" customHeight="false" outlineLevel="0" collapsed="false">
      <c r="A150" s="1" t="n">
        <v>2689</v>
      </c>
      <c r="B150" s="30" t="n">
        <v>43450</v>
      </c>
      <c r="C150" s="30" t="n">
        <v>43272</v>
      </c>
      <c r="D150" s="31" t="n">
        <f aca="false">VLOOKUP(A150,'Order Shipping'!$A$2:$C$2000,3,FALSE())</f>
        <v>4.2</v>
      </c>
      <c r="E150" s="32" t="n">
        <f aca="false">VLOOKUP($A150,'Order Sales'!$A$2:$G$2154,E$1,FALSE())</f>
        <v>7</v>
      </c>
      <c r="F150" s="32" t="n">
        <f aca="false">VLOOKUP($A150,'Order Sales'!$A$2:$G$2154,F$1,FALSE())</f>
        <v>433.71</v>
      </c>
      <c r="G150" s="32" t="str">
        <f aca="false">VLOOKUP($A150,'Order Sales'!$A$2:$G$2154,G$1,FALSE())</f>
        <v>Corporate</v>
      </c>
    </row>
    <row r="151" customFormat="false" ht="14.25" hidden="false" customHeight="false" outlineLevel="0" collapsed="false">
      <c r="A151" s="1" t="n">
        <v>1559</v>
      </c>
      <c r="B151" s="30" t="n">
        <v>43400</v>
      </c>
      <c r="C151" s="30" t="n">
        <v>43273</v>
      </c>
      <c r="D151" s="31" t="n">
        <f aca="false">VLOOKUP(A151,'Order Shipping'!$A$2:$C$2000,3,FALSE())</f>
        <v>1.3</v>
      </c>
      <c r="E151" s="32" t="n">
        <f aca="false">VLOOKUP($A151,'Order Sales'!$A$2:$G$2154,E$1,FALSE())</f>
        <v>39</v>
      </c>
      <c r="F151" s="32" t="n">
        <f aca="false">VLOOKUP($A151,'Order Sales'!$A$2:$G$2154,F$1,FALSE())</f>
        <v>118.11</v>
      </c>
      <c r="G151" s="32" t="str">
        <f aca="false">VLOOKUP($A151,'Order Sales'!$A$2:$G$2154,G$1,FALSE())</f>
        <v>Corporate</v>
      </c>
    </row>
    <row r="152" customFormat="false" ht="14.25" hidden="false" customHeight="false" outlineLevel="0" collapsed="false">
      <c r="A152" s="1" t="n">
        <v>1232</v>
      </c>
      <c r="B152" s="30" t="n">
        <v>43454</v>
      </c>
      <c r="C152" s="30" t="n">
        <v>43274</v>
      </c>
      <c r="D152" s="31" t="n">
        <f aca="false">VLOOKUP(A152,'Order Shipping'!$A$2:$C$2000,3,FALSE())</f>
        <v>6.4</v>
      </c>
      <c r="E152" s="32" t="n">
        <f aca="false">VLOOKUP($A152,'Order Sales'!$A$2:$G$2154,E$1,FALSE())</f>
        <v>14</v>
      </c>
      <c r="F152" s="32" t="n">
        <f aca="false">VLOOKUP($A152,'Order Sales'!$A$2:$G$2154,F$1,FALSE())</f>
        <v>325.84</v>
      </c>
      <c r="G152" s="32" t="str">
        <f aca="false">VLOOKUP($A152,'Order Sales'!$A$2:$G$2154,G$1,FALSE())</f>
        <v>Consumer</v>
      </c>
    </row>
    <row r="153" customFormat="false" ht="14.25" hidden="false" customHeight="false" outlineLevel="0" collapsed="false">
      <c r="A153" s="1" t="n">
        <v>1247</v>
      </c>
      <c r="B153" s="30" t="n">
        <v>43275</v>
      </c>
      <c r="C153" s="30" t="n">
        <v>43275</v>
      </c>
      <c r="D153" s="31" t="n">
        <f aca="false">VLOOKUP(A153,'Order Shipping'!$A$2:$C$2000,3,FALSE())</f>
        <v>1.6</v>
      </c>
      <c r="E153" s="32" t="n">
        <f aca="false">VLOOKUP($A153,'Order Sales'!$A$2:$G$2154,E$1,FALSE())</f>
        <v>20</v>
      </c>
      <c r="F153" s="32" t="n">
        <f aca="false">VLOOKUP($A153,'Order Sales'!$A$2:$G$2154,F$1,FALSE())</f>
        <v>42.85</v>
      </c>
      <c r="G153" s="32" t="str">
        <f aca="false">VLOOKUP($A153,'Order Sales'!$A$2:$G$2154,G$1,FALSE())</f>
        <v>Corporate</v>
      </c>
    </row>
    <row r="154" customFormat="false" ht="14.25" hidden="false" customHeight="false" outlineLevel="0" collapsed="false">
      <c r="A154" s="1" t="n">
        <v>2393</v>
      </c>
      <c r="B154" s="30" t="n">
        <v>43445</v>
      </c>
      <c r="C154" s="30" t="n">
        <v>43276</v>
      </c>
      <c r="D154" s="31" t="n">
        <f aca="false">VLOOKUP(A154,'Order Shipping'!$A$2:$C$2000,3,FALSE())</f>
        <v>5.3</v>
      </c>
      <c r="E154" s="32" t="n">
        <f aca="false">VLOOKUP($A154,'Order Sales'!$A$2:$G$2154,E$1,FALSE())</f>
        <v>16</v>
      </c>
      <c r="F154" s="32" t="n">
        <f aca="false">VLOOKUP($A154,'Order Sales'!$A$2:$G$2154,F$1,FALSE())</f>
        <v>92.34</v>
      </c>
      <c r="G154" s="32" t="str">
        <f aca="false">VLOOKUP($A154,'Order Sales'!$A$2:$G$2154,G$1,FALSE())</f>
        <v>Home Office</v>
      </c>
    </row>
    <row r="155" customFormat="false" ht="14.25" hidden="false" customHeight="false" outlineLevel="0" collapsed="false">
      <c r="A155" s="1" t="n">
        <v>1159</v>
      </c>
      <c r="B155" s="30" t="n">
        <v>43455</v>
      </c>
      <c r="C155" s="30" t="n">
        <v>43277</v>
      </c>
      <c r="D155" s="31" t="n">
        <f aca="false">VLOOKUP(A155,'Order Shipping'!$A$2:$C$2000,3,FALSE())</f>
        <v>31.3</v>
      </c>
      <c r="E155" s="32" t="n">
        <f aca="false">VLOOKUP($A155,'Order Sales'!$A$2:$G$2154,E$1,FALSE())</f>
        <v>48</v>
      </c>
      <c r="F155" s="32" t="n">
        <f aca="false">VLOOKUP($A155,'Order Sales'!$A$2:$G$2154,F$1,FALSE())</f>
        <v>7218.55</v>
      </c>
      <c r="G155" s="32" t="str">
        <f aca="false">VLOOKUP($A155,'Order Sales'!$A$2:$G$2154,G$1,FALSE())</f>
        <v>Home Office</v>
      </c>
    </row>
    <row r="156" customFormat="false" ht="14.25" hidden="false" customHeight="false" outlineLevel="0" collapsed="false">
      <c r="A156" s="1" t="n">
        <v>1744</v>
      </c>
      <c r="B156" s="30" t="n">
        <v>43144</v>
      </c>
      <c r="C156" s="30" t="n">
        <v>43278</v>
      </c>
      <c r="D156" s="31" t="n">
        <f aca="false">VLOOKUP(A156,'Order Shipping'!$A$2:$C$2000,3,FALSE())</f>
        <v>10.4</v>
      </c>
      <c r="E156" s="32" t="n">
        <f aca="false">VLOOKUP($A156,'Order Sales'!$A$2:$G$2154,E$1,FALSE())</f>
        <v>27</v>
      </c>
      <c r="F156" s="32" t="n">
        <f aca="false">VLOOKUP($A156,'Order Sales'!$A$2:$G$2154,F$1,FALSE())</f>
        <v>212</v>
      </c>
      <c r="G156" s="32" t="str">
        <f aca="false">VLOOKUP($A156,'Order Sales'!$A$2:$G$2154,G$1,FALSE())</f>
        <v>Corporate</v>
      </c>
    </row>
    <row r="157" customFormat="false" ht="14.25" hidden="false" customHeight="false" outlineLevel="0" collapsed="false">
      <c r="A157" s="1" t="n">
        <v>1980</v>
      </c>
      <c r="B157" s="30" t="n">
        <v>43421</v>
      </c>
      <c r="C157" s="30" t="n">
        <v>43279</v>
      </c>
      <c r="D157" s="31" t="n">
        <f aca="false">VLOOKUP(A157,'Order Shipping'!$A$2:$C$2000,3,FALSE())</f>
        <v>9.3</v>
      </c>
      <c r="E157" s="32" t="n">
        <f aca="false">VLOOKUP($A157,'Order Sales'!$A$2:$G$2154,E$1,FALSE())</f>
        <v>28</v>
      </c>
      <c r="F157" s="32" t="n">
        <f aca="false">VLOOKUP($A157,'Order Sales'!$A$2:$G$2154,F$1,FALSE())</f>
        <v>208.77</v>
      </c>
      <c r="G157" s="32" t="str">
        <f aca="false">VLOOKUP($A157,'Order Sales'!$A$2:$G$2154,G$1,FALSE())</f>
        <v>Corporate</v>
      </c>
    </row>
    <row r="158" customFormat="false" ht="14.25" hidden="false" customHeight="false" outlineLevel="0" collapsed="false">
      <c r="A158" s="1" t="n">
        <v>2692</v>
      </c>
      <c r="B158" s="30" t="n">
        <v>43314</v>
      </c>
      <c r="C158" s="30" t="n">
        <v>43280</v>
      </c>
      <c r="D158" s="31" t="n">
        <f aca="false">VLOOKUP(A158,'Order Shipping'!$A$2:$C$2000,3,FALSE())</f>
        <v>6.4</v>
      </c>
      <c r="E158" s="32" t="n">
        <f aca="false">VLOOKUP($A158,'Order Sales'!$A$2:$G$2154,E$1,FALSE())</f>
        <v>42</v>
      </c>
      <c r="F158" s="32" t="n">
        <f aca="false">VLOOKUP($A158,'Order Sales'!$A$2:$G$2154,F$1,FALSE())</f>
        <v>528.11</v>
      </c>
      <c r="G158" s="32" t="str">
        <f aca="false">VLOOKUP($A158,'Order Sales'!$A$2:$G$2154,G$1,FALSE())</f>
        <v>Consumer</v>
      </c>
    </row>
    <row r="159" customFormat="false" ht="14.25" hidden="false" customHeight="false" outlineLevel="0" collapsed="false">
      <c r="A159" s="1" t="n">
        <v>1034</v>
      </c>
      <c r="B159" s="30" t="n">
        <v>43267</v>
      </c>
      <c r="C159" s="30" t="n">
        <v>43281</v>
      </c>
      <c r="D159" s="31" t="n">
        <f aca="false">VLOOKUP(A159,'Order Shipping'!$A$2:$C$2000,3,FALSE())</f>
        <v>6.7</v>
      </c>
      <c r="E159" s="32" t="n">
        <f aca="false">VLOOKUP($A159,'Order Sales'!$A$2:$G$2154,E$1,FALSE())</f>
        <v>22</v>
      </c>
      <c r="F159" s="32" t="n">
        <f aca="false">VLOOKUP($A159,'Order Sales'!$A$2:$G$2154,F$1,FALSE())</f>
        <v>968.44</v>
      </c>
      <c r="G159" s="32" t="str">
        <f aca="false">VLOOKUP($A159,'Order Sales'!$A$2:$G$2154,G$1,FALSE())</f>
        <v>Corporate</v>
      </c>
    </row>
    <row r="160" customFormat="false" ht="14.25" hidden="false" customHeight="false" outlineLevel="0" collapsed="false">
      <c r="A160" s="1" t="n">
        <v>1866</v>
      </c>
      <c r="B160" s="30" t="n">
        <v>43431</v>
      </c>
      <c r="C160" s="30" t="n">
        <v>43282</v>
      </c>
      <c r="D160" s="31" t="n">
        <f aca="false">VLOOKUP(A160,'Order Shipping'!$A$2:$C$2000,3,FALSE())</f>
        <v>0.7</v>
      </c>
      <c r="E160" s="32" t="n">
        <f aca="false">VLOOKUP($A160,'Order Sales'!$A$2:$G$2154,E$1,FALSE())</f>
        <v>48</v>
      </c>
      <c r="F160" s="32" t="n">
        <f aca="false">VLOOKUP($A160,'Order Sales'!$A$2:$G$2154,F$1,FALSE())</f>
        <v>272.33</v>
      </c>
      <c r="G160" s="32" t="str">
        <f aca="false">VLOOKUP($A160,'Order Sales'!$A$2:$G$2154,G$1,FALSE())</f>
        <v>Corporate</v>
      </c>
    </row>
    <row r="161" customFormat="false" ht="14.25" hidden="false" customHeight="false" outlineLevel="0" collapsed="false">
      <c r="A161" s="1" t="n">
        <v>1915</v>
      </c>
      <c r="B161" s="30" t="n">
        <v>43287</v>
      </c>
      <c r="C161" s="30" t="n">
        <v>43283</v>
      </c>
      <c r="D161" s="31" t="n">
        <f aca="false">VLOOKUP(A161,'Order Shipping'!$A$2:$C$2000,3,FALSE())</f>
        <v>3.2</v>
      </c>
      <c r="E161" s="32" t="n">
        <f aca="false">VLOOKUP($A161,'Order Sales'!$A$2:$G$2154,E$1,FALSE())</f>
        <v>21</v>
      </c>
      <c r="F161" s="32" t="n">
        <f aca="false">VLOOKUP($A161,'Order Sales'!$A$2:$G$2154,F$1,FALSE())</f>
        <v>452.87</v>
      </c>
      <c r="G161" s="32" t="str">
        <f aca="false">VLOOKUP($A161,'Order Sales'!$A$2:$G$2154,G$1,FALSE())</f>
        <v>Consumer</v>
      </c>
    </row>
    <row r="162" customFormat="false" ht="14.25" hidden="false" customHeight="false" outlineLevel="0" collapsed="false">
      <c r="A162" s="1" t="n">
        <v>2878</v>
      </c>
      <c r="B162" s="30" t="n">
        <v>43246</v>
      </c>
      <c r="C162" s="30" t="n">
        <v>43284</v>
      </c>
      <c r="D162" s="31" t="n">
        <f aca="false">VLOOKUP(A162,'Order Shipping'!$A$2:$C$2000,3,FALSE())</f>
        <v>39.2</v>
      </c>
      <c r="E162" s="32" t="n">
        <f aca="false">VLOOKUP($A162,'Order Sales'!$A$2:$G$2154,E$1,FALSE())</f>
        <v>17</v>
      </c>
      <c r="F162" s="32" t="n">
        <f aca="false">VLOOKUP($A162,'Order Sales'!$A$2:$G$2154,F$1,FALSE())</f>
        <v>1048.09</v>
      </c>
      <c r="G162" s="32" t="str">
        <f aca="false">VLOOKUP($A162,'Order Sales'!$A$2:$G$2154,G$1,FALSE())</f>
        <v>Small Business</v>
      </c>
    </row>
    <row r="163" customFormat="false" ht="14.25" hidden="false" customHeight="false" outlineLevel="0" collapsed="false">
      <c r="A163" s="1" t="n">
        <v>1120</v>
      </c>
      <c r="B163" s="30" t="n">
        <v>43364</v>
      </c>
      <c r="C163" s="30" t="n">
        <v>43285</v>
      </c>
      <c r="D163" s="31" t="n">
        <f aca="false">VLOOKUP(A163,'Order Shipping'!$A$2:$C$2000,3,FALSE())</f>
        <v>12.2</v>
      </c>
      <c r="E163" s="32" t="n">
        <f aca="false">VLOOKUP($A163,'Order Sales'!$A$2:$G$2154,E$1,FALSE())</f>
        <v>21</v>
      </c>
      <c r="F163" s="32" t="n">
        <f aca="false">VLOOKUP($A163,'Order Sales'!$A$2:$G$2154,F$1,FALSE())</f>
        <v>8758.9</v>
      </c>
      <c r="G163" s="32" t="str">
        <f aca="false">VLOOKUP($A163,'Order Sales'!$A$2:$G$2154,G$1,FALSE())</f>
        <v>Home Office</v>
      </c>
    </row>
    <row r="164" customFormat="false" ht="14.25" hidden="false" customHeight="false" outlineLevel="0" collapsed="false">
      <c r="A164" s="1" t="n">
        <v>2629</v>
      </c>
      <c r="B164" s="30" t="n">
        <v>43341</v>
      </c>
      <c r="C164" s="30" t="n">
        <v>43286</v>
      </c>
      <c r="D164" s="31" t="n">
        <f aca="false">VLOOKUP(A164,'Order Shipping'!$A$2:$C$2000,3,FALSE())</f>
        <v>7.1</v>
      </c>
      <c r="E164" s="32" t="n">
        <f aca="false">VLOOKUP($A164,'Order Sales'!$A$2:$G$2154,E$1,FALSE())</f>
        <v>39</v>
      </c>
      <c r="F164" s="32" t="n">
        <f aca="false">VLOOKUP($A164,'Order Sales'!$A$2:$G$2154,F$1,FALSE())</f>
        <v>291.46</v>
      </c>
      <c r="G164" s="32" t="str">
        <f aca="false">VLOOKUP($A164,'Order Sales'!$A$2:$G$2154,G$1,FALSE())</f>
        <v>Consumer</v>
      </c>
    </row>
    <row r="165" customFormat="false" ht="14.25" hidden="false" customHeight="false" outlineLevel="0" collapsed="false">
      <c r="A165" s="1" t="n">
        <v>1949</v>
      </c>
      <c r="B165" s="30" t="n">
        <v>43375</v>
      </c>
      <c r="C165" s="30" t="n">
        <v>43287</v>
      </c>
      <c r="D165" s="31" t="n">
        <f aca="false">VLOOKUP(A165,'Order Shipping'!$A$2:$C$2000,3,FALSE())</f>
        <v>4.5</v>
      </c>
      <c r="E165" s="32" t="n">
        <f aca="false">VLOOKUP($A165,'Order Sales'!$A$2:$G$2154,E$1,FALSE())</f>
        <v>17</v>
      </c>
      <c r="F165" s="32" t="n">
        <f aca="false">VLOOKUP($A165,'Order Sales'!$A$2:$G$2154,F$1,FALSE())</f>
        <v>1842.16</v>
      </c>
      <c r="G165" s="32" t="str">
        <f aca="false">VLOOKUP($A165,'Order Sales'!$A$2:$G$2154,G$1,FALSE())</f>
        <v>Home Office</v>
      </c>
    </row>
    <row r="166" customFormat="false" ht="14.25" hidden="false" customHeight="false" outlineLevel="0" collapsed="false">
      <c r="A166" s="1" t="n">
        <v>1177</v>
      </c>
      <c r="B166" s="30" t="n">
        <v>43151</v>
      </c>
      <c r="C166" s="30" t="n">
        <v>43288</v>
      </c>
      <c r="D166" s="31" t="n">
        <f aca="false">VLOOKUP(A166,'Order Shipping'!$A$2:$C$2000,3,FALSE())</f>
        <v>5.6</v>
      </c>
      <c r="E166" s="32" t="n">
        <f aca="false">VLOOKUP($A166,'Order Sales'!$A$2:$G$2154,E$1,FALSE())</f>
        <v>1</v>
      </c>
      <c r="F166" s="32" t="n">
        <f aca="false">VLOOKUP($A166,'Order Sales'!$A$2:$G$2154,F$1,FALSE())</f>
        <v>200.31</v>
      </c>
      <c r="G166" s="32" t="str">
        <f aca="false">VLOOKUP($A166,'Order Sales'!$A$2:$G$2154,G$1,FALSE())</f>
        <v>Corporate</v>
      </c>
    </row>
    <row r="167" customFormat="false" ht="14.25" hidden="false" customHeight="false" outlineLevel="0" collapsed="false">
      <c r="A167" s="1" t="n">
        <v>2412</v>
      </c>
      <c r="B167" s="30" t="n">
        <v>43424</v>
      </c>
      <c r="C167" s="30" t="n">
        <v>43289</v>
      </c>
      <c r="D167" s="31" t="n">
        <f aca="false">VLOOKUP(A167,'Order Shipping'!$A$2:$C$2000,3,FALSE())</f>
        <v>5.2</v>
      </c>
      <c r="E167" s="32" t="n">
        <f aca="false">VLOOKUP($A167,'Order Sales'!$A$2:$G$2154,E$1,FALSE())</f>
        <v>33</v>
      </c>
      <c r="F167" s="32" t="n">
        <f aca="false">VLOOKUP($A167,'Order Sales'!$A$2:$G$2154,F$1,FALSE())</f>
        <v>134.04</v>
      </c>
      <c r="G167" s="32" t="str">
        <f aca="false">VLOOKUP($A167,'Order Sales'!$A$2:$G$2154,G$1,FALSE())</f>
        <v>Home Office</v>
      </c>
    </row>
    <row r="168" customFormat="false" ht="14.25" hidden="false" customHeight="false" outlineLevel="0" collapsed="false">
      <c r="A168" s="1" t="n">
        <v>2250</v>
      </c>
      <c r="B168" s="30" t="n">
        <v>43209</v>
      </c>
      <c r="C168" s="30" t="n">
        <v>43290</v>
      </c>
      <c r="D168" s="31" t="n">
        <f aca="false">VLOOKUP(A168,'Order Shipping'!$A$2:$C$2000,3,FALSE())</f>
        <v>4.3</v>
      </c>
      <c r="E168" s="32" t="n">
        <f aca="false">VLOOKUP($A168,'Order Sales'!$A$2:$G$2154,E$1,FALSE())</f>
        <v>23</v>
      </c>
      <c r="F168" s="32" t="n">
        <f aca="false">VLOOKUP($A168,'Order Sales'!$A$2:$G$2154,F$1,FALSE())</f>
        <v>524.48</v>
      </c>
      <c r="G168" s="32" t="str">
        <f aca="false">VLOOKUP($A168,'Order Sales'!$A$2:$G$2154,G$1,FALSE())</f>
        <v>Corporate</v>
      </c>
    </row>
    <row r="169" customFormat="false" ht="14.25" hidden="false" customHeight="false" outlineLevel="0" collapsed="false">
      <c r="A169" s="1" t="n">
        <v>2074</v>
      </c>
      <c r="B169" s="30" t="n">
        <v>43231</v>
      </c>
      <c r="C169" s="30" t="n">
        <v>43291</v>
      </c>
      <c r="D169" s="31" t="n">
        <f aca="false">VLOOKUP(A169,'Order Shipping'!$A$2:$C$2000,3,FALSE())</f>
        <v>11.9</v>
      </c>
      <c r="E169" s="32" t="n">
        <f aca="false">VLOOKUP($A169,'Order Sales'!$A$2:$G$2154,E$1,FALSE())</f>
        <v>16</v>
      </c>
      <c r="F169" s="32" t="n">
        <f aca="false">VLOOKUP($A169,'Order Sales'!$A$2:$G$2154,F$1,FALSE())</f>
        <v>133.63</v>
      </c>
      <c r="G169" s="32" t="str">
        <f aca="false">VLOOKUP($A169,'Order Sales'!$A$2:$G$2154,G$1,FALSE())</f>
        <v>Small Business</v>
      </c>
    </row>
    <row r="170" customFormat="false" ht="14.25" hidden="false" customHeight="false" outlineLevel="0" collapsed="false">
      <c r="A170" s="1" t="n">
        <v>2611</v>
      </c>
      <c r="B170" s="30" t="n">
        <v>43251</v>
      </c>
      <c r="C170" s="30" t="n">
        <v>43292</v>
      </c>
      <c r="D170" s="31" t="n">
        <f aca="false">VLOOKUP(A170,'Order Shipping'!$A$2:$C$2000,3,FALSE())</f>
        <v>5.4</v>
      </c>
      <c r="E170" s="32" t="n">
        <f aca="false">VLOOKUP($A170,'Order Sales'!$A$2:$G$2154,E$1,FALSE())</f>
        <v>11</v>
      </c>
      <c r="F170" s="32" t="n">
        <f aca="false">VLOOKUP($A170,'Order Sales'!$A$2:$G$2154,F$1,FALSE())</f>
        <v>131.97</v>
      </c>
      <c r="G170" s="32" t="str">
        <f aca="false">VLOOKUP($A170,'Order Sales'!$A$2:$G$2154,G$1,FALSE())</f>
        <v>Home Office</v>
      </c>
    </row>
    <row r="171" customFormat="false" ht="14.25" hidden="false" customHeight="false" outlineLevel="0" collapsed="false">
      <c r="A171" s="1" t="n">
        <v>2481</v>
      </c>
      <c r="B171" s="30" t="n">
        <v>43133</v>
      </c>
      <c r="C171" s="30" t="n">
        <v>43293</v>
      </c>
      <c r="D171" s="31" t="n">
        <f aca="false">VLOOKUP(A171,'Order Shipping'!$A$2:$C$2000,3,FALSE())</f>
        <v>9.3</v>
      </c>
      <c r="E171" s="32" t="n">
        <f aca="false">VLOOKUP($A171,'Order Sales'!$A$2:$G$2154,E$1,FALSE())</f>
        <v>4</v>
      </c>
      <c r="F171" s="32" t="n">
        <f aca="false">VLOOKUP($A171,'Order Sales'!$A$2:$G$2154,F$1,FALSE())</f>
        <v>139.25</v>
      </c>
      <c r="G171" s="32" t="str">
        <f aca="false">VLOOKUP($A171,'Order Sales'!$A$2:$G$2154,G$1,FALSE())</f>
        <v>Consumer</v>
      </c>
    </row>
    <row r="172" customFormat="false" ht="14.25" hidden="false" customHeight="false" outlineLevel="0" collapsed="false">
      <c r="A172" s="1" t="n">
        <v>1811</v>
      </c>
      <c r="B172" s="30" t="n">
        <v>43357</v>
      </c>
      <c r="C172" s="30" t="n">
        <v>43294</v>
      </c>
      <c r="D172" s="31" t="n">
        <f aca="false">VLOOKUP(A172,'Order Shipping'!$A$2:$C$2000,3,FALSE())</f>
        <v>8.3</v>
      </c>
      <c r="E172" s="32" t="n">
        <f aca="false">VLOOKUP($A172,'Order Sales'!$A$2:$G$2154,E$1,FALSE())</f>
        <v>34</v>
      </c>
      <c r="F172" s="32" t="n">
        <f aca="false">VLOOKUP($A172,'Order Sales'!$A$2:$G$2154,F$1,FALSE())</f>
        <v>278.75</v>
      </c>
      <c r="G172" s="32" t="str">
        <f aca="false">VLOOKUP($A172,'Order Sales'!$A$2:$G$2154,G$1,FALSE())</f>
        <v>Consumer</v>
      </c>
    </row>
    <row r="173" customFormat="false" ht="14.25" hidden="false" customHeight="false" outlineLevel="0" collapsed="false">
      <c r="A173" s="1" t="n">
        <v>1787</v>
      </c>
      <c r="B173" s="30" t="n">
        <v>43173</v>
      </c>
      <c r="C173" s="30" t="n">
        <v>43295</v>
      </c>
      <c r="D173" s="31" t="n">
        <f aca="false">VLOOKUP(A173,'Order Shipping'!$A$2:$C$2000,3,FALSE())</f>
        <v>26.2</v>
      </c>
      <c r="E173" s="32" t="n">
        <f aca="false">VLOOKUP($A173,'Order Sales'!$A$2:$G$2154,E$1,FALSE())</f>
        <v>3</v>
      </c>
      <c r="F173" s="32" t="n">
        <f aca="false">VLOOKUP($A173,'Order Sales'!$A$2:$G$2154,F$1,FALSE())</f>
        <v>461.48</v>
      </c>
      <c r="G173" s="32" t="str">
        <f aca="false">VLOOKUP($A173,'Order Sales'!$A$2:$G$2154,G$1,FALSE())</f>
        <v>Corporate</v>
      </c>
    </row>
    <row r="174" customFormat="false" ht="14.25" hidden="false" customHeight="false" outlineLevel="0" collapsed="false">
      <c r="A174" s="1" t="n">
        <v>2768</v>
      </c>
      <c r="B174" s="30" t="n">
        <v>43411</v>
      </c>
      <c r="C174" s="30" t="n">
        <v>43296</v>
      </c>
      <c r="D174" s="31" t="n">
        <f aca="false">VLOOKUP(A174,'Order Shipping'!$A$2:$C$2000,3,FALSE())</f>
        <v>1.3</v>
      </c>
      <c r="E174" s="32" t="n">
        <f aca="false">VLOOKUP($A174,'Order Sales'!$A$2:$G$2154,E$1,FALSE())</f>
        <v>40</v>
      </c>
      <c r="F174" s="32" t="n">
        <f aca="false">VLOOKUP($A174,'Order Sales'!$A$2:$G$2154,F$1,FALSE())</f>
        <v>1996.18</v>
      </c>
      <c r="G174" s="32" t="str">
        <f aca="false">VLOOKUP($A174,'Order Sales'!$A$2:$G$2154,G$1,FALSE())</f>
        <v>Corporate</v>
      </c>
    </row>
    <row r="175" customFormat="false" ht="14.25" hidden="false" customHeight="false" outlineLevel="0" collapsed="false">
      <c r="A175" s="1" t="n">
        <v>1790</v>
      </c>
      <c r="B175" s="30" t="n">
        <v>43239</v>
      </c>
      <c r="C175" s="30" t="n">
        <v>43297</v>
      </c>
      <c r="D175" s="31" t="n">
        <f aca="false">VLOOKUP(A175,'Order Shipping'!$A$2:$C$2000,3,FALSE())</f>
        <v>37.5</v>
      </c>
      <c r="E175" s="32" t="n">
        <f aca="false">VLOOKUP($A175,'Order Sales'!$A$2:$G$2154,E$1,FALSE())</f>
        <v>36</v>
      </c>
      <c r="F175" s="32" t="n">
        <f aca="false">VLOOKUP($A175,'Order Sales'!$A$2:$G$2154,F$1,FALSE())</f>
        <v>883.63</v>
      </c>
      <c r="G175" s="32" t="str">
        <f aca="false">VLOOKUP($A175,'Order Sales'!$A$2:$G$2154,G$1,FALSE())</f>
        <v>Corporate</v>
      </c>
    </row>
    <row r="176" customFormat="false" ht="14.25" hidden="false" customHeight="false" outlineLevel="0" collapsed="false">
      <c r="A176" s="1" t="n">
        <v>1816</v>
      </c>
      <c r="B176" s="30" t="n">
        <v>43410</v>
      </c>
      <c r="C176" s="30" t="n">
        <v>43298</v>
      </c>
      <c r="D176" s="31" t="n">
        <f aca="false">VLOOKUP(A176,'Order Shipping'!$A$2:$C$2000,3,FALSE())</f>
        <v>5.4</v>
      </c>
      <c r="E176" s="32" t="n">
        <f aca="false">VLOOKUP($A176,'Order Sales'!$A$2:$G$2154,E$1,FALSE())</f>
        <v>9</v>
      </c>
      <c r="F176" s="32" t="n">
        <f aca="false">VLOOKUP($A176,'Order Sales'!$A$2:$G$2154,F$1,FALSE())</f>
        <v>160.11</v>
      </c>
      <c r="G176" s="32" t="str">
        <f aca="false">VLOOKUP($A176,'Order Sales'!$A$2:$G$2154,G$1,FALSE())</f>
        <v>Home Office</v>
      </c>
    </row>
    <row r="177" customFormat="false" ht="14.25" hidden="false" customHeight="false" outlineLevel="0" collapsed="false">
      <c r="A177" s="1" t="n">
        <v>2315</v>
      </c>
      <c r="B177" s="30" t="n">
        <v>43206</v>
      </c>
      <c r="C177" s="30" t="n">
        <v>43299</v>
      </c>
      <c r="D177" s="31" t="n">
        <f aca="false">VLOOKUP(A177,'Order Shipping'!$A$2:$C$2000,3,FALSE())</f>
        <v>2.1</v>
      </c>
      <c r="E177" s="32" t="n">
        <f aca="false">VLOOKUP($A177,'Order Sales'!$A$2:$G$2154,E$1,FALSE())</f>
        <v>29</v>
      </c>
      <c r="F177" s="32" t="n">
        <f aca="false">VLOOKUP($A177,'Order Sales'!$A$2:$G$2154,F$1,FALSE())</f>
        <v>228.28</v>
      </c>
      <c r="G177" s="32" t="str">
        <f aca="false">VLOOKUP($A177,'Order Sales'!$A$2:$G$2154,G$1,FALSE())</f>
        <v>Corporate</v>
      </c>
    </row>
    <row r="178" customFormat="false" ht="14.25" hidden="false" customHeight="false" outlineLevel="0" collapsed="false">
      <c r="A178" s="1" t="n">
        <v>1608</v>
      </c>
      <c r="B178" s="30" t="n">
        <v>43174</v>
      </c>
      <c r="C178" s="30" t="n">
        <v>43300</v>
      </c>
      <c r="D178" s="31" t="n">
        <f aca="false">VLOOKUP(A178,'Order Shipping'!$A$2:$C$2000,3,FALSE())</f>
        <v>9.8</v>
      </c>
      <c r="E178" s="32" t="n">
        <f aca="false">VLOOKUP($A178,'Order Sales'!$A$2:$G$2154,E$1,FALSE())</f>
        <v>50</v>
      </c>
      <c r="F178" s="32" t="n">
        <f aca="false">VLOOKUP($A178,'Order Sales'!$A$2:$G$2154,F$1,FALSE())</f>
        <v>1667.25</v>
      </c>
      <c r="G178" s="32" t="str">
        <f aca="false">VLOOKUP($A178,'Order Sales'!$A$2:$G$2154,G$1,FALSE())</f>
        <v>Small Business</v>
      </c>
    </row>
    <row r="179" customFormat="false" ht="14.25" hidden="false" customHeight="false" outlineLevel="0" collapsed="false">
      <c r="A179" s="1" t="n">
        <v>2937</v>
      </c>
      <c r="B179" s="30" t="n">
        <v>43399</v>
      </c>
      <c r="C179" s="30" t="n">
        <v>43301</v>
      </c>
      <c r="D179" s="31" t="n">
        <f aca="false">VLOOKUP(A179,'Order Shipping'!$A$2:$C$2000,3,FALSE())</f>
        <v>5.6</v>
      </c>
      <c r="E179" s="32" t="n">
        <f aca="false">VLOOKUP($A179,'Order Sales'!$A$2:$G$2154,E$1,FALSE())</f>
        <v>26</v>
      </c>
      <c r="F179" s="32" t="n">
        <f aca="false">VLOOKUP($A179,'Order Sales'!$A$2:$G$2154,F$1,FALSE())</f>
        <v>223.2</v>
      </c>
      <c r="G179" s="32" t="str">
        <f aca="false">VLOOKUP($A179,'Order Sales'!$A$2:$G$2154,G$1,FALSE())</f>
        <v>Consumer</v>
      </c>
    </row>
    <row r="180" customFormat="false" ht="14.25" hidden="false" customHeight="false" outlineLevel="0" collapsed="false">
      <c r="A180" s="1" t="n">
        <v>1107</v>
      </c>
      <c r="B180" s="30" t="n">
        <v>43221</v>
      </c>
      <c r="C180" s="30" t="n">
        <v>43302</v>
      </c>
      <c r="D180" s="31" t="n">
        <f aca="false">VLOOKUP(A180,'Order Shipping'!$A$2:$C$2000,3,FALSE())</f>
        <v>21.4</v>
      </c>
      <c r="E180" s="32" t="n">
        <f aca="false">VLOOKUP($A180,'Order Sales'!$A$2:$G$2154,E$1,FALSE())</f>
        <v>34</v>
      </c>
      <c r="F180" s="32" t="n">
        <f aca="false">VLOOKUP($A180,'Order Sales'!$A$2:$G$2154,F$1,FALSE())</f>
        <v>6702.68</v>
      </c>
      <c r="G180" s="32" t="str">
        <f aca="false">VLOOKUP($A180,'Order Sales'!$A$2:$G$2154,G$1,FALSE())</f>
        <v>Corporate</v>
      </c>
    </row>
    <row r="181" customFormat="false" ht="14.25" hidden="false" customHeight="false" outlineLevel="0" collapsed="false">
      <c r="A181" s="1" t="n">
        <v>1833</v>
      </c>
      <c r="B181" s="30" t="n">
        <v>43434</v>
      </c>
      <c r="C181" s="30" t="n">
        <v>43303</v>
      </c>
      <c r="D181" s="31" t="n">
        <f aca="false">VLOOKUP(A181,'Order Shipping'!$A$2:$C$2000,3,FALSE())</f>
        <v>2.1</v>
      </c>
      <c r="E181" s="32" t="n">
        <f aca="false">VLOOKUP($A181,'Order Sales'!$A$2:$G$2154,E$1,FALSE())</f>
        <v>33</v>
      </c>
      <c r="F181" s="32" t="n">
        <f aca="false">VLOOKUP($A181,'Order Sales'!$A$2:$G$2154,F$1,FALSE())</f>
        <v>290.12</v>
      </c>
      <c r="G181" s="32" t="str">
        <f aca="false">VLOOKUP($A181,'Order Sales'!$A$2:$G$2154,G$1,FALSE())</f>
        <v>Small Business</v>
      </c>
    </row>
    <row r="182" customFormat="false" ht="14.25" hidden="false" customHeight="false" outlineLevel="0" collapsed="false">
      <c r="A182" s="1" t="n">
        <v>2095</v>
      </c>
      <c r="B182" s="30" t="n">
        <v>43449</v>
      </c>
      <c r="C182" s="30" t="n">
        <v>43304</v>
      </c>
      <c r="D182" s="31" t="n">
        <f aca="false">VLOOKUP(A182,'Order Shipping'!$A$2:$C$2000,3,FALSE())</f>
        <v>4.3</v>
      </c>
      <c r="E182" s="32" t="n">
        <f aca="false">VLOOKUP($A182,'Order Sales'!$A$2:$G$2154,E$1,FALSE())</f>
        <v>41</v>
      </c>
      <c r="F182" s="32" t="n">
        <f aca="false">VLOOKUP($A182,'Order Sales'!$A$2:$G$2154,F$1,FALSE())</f>
        <v>7677.19</v>
      </c>
      <c r="G182" s="32" t="str">
        <f aca="false">VLOOKUP($A182,'Order Sales'!$A$2:$G$2154,G$1,FALSE())</f>
        <v>Consumer</v>
      </c>
    </row>
    <row r="183" customFormat="false" ht="14.25" hidden="false" customHeight="false" outlineLevel="0" collapsed="false">
      <c r="A183" s="1" t="n">
        <v>2273</v>
      </c>
      <c r="B183" s="30" t="n">
        <v>43192</v>
      </c>
      <c r="C183" s="30" t="n">
        <v>43305</v>
      </c>
      <c r="D183" s="31" t="n">
        <f aca="false">VLOOKUP(A183,'Order Shipping'!$A$2:$C$2000,3,FALSE())</f>
        <v>1.2</v>
      </c>
      <c r="E183" s="32" t="n">
        <f aca="false">VLOOKUP($A183,'Order Sales'!$A$2:$G$2154,E$1,FALSE())</f>
        <v>50</v>
      </c>
      <c r="F183" s="32" t="n">
        <f aca="false">VLOOKUP($A183,'Order Sales'!$A$2:$G$2154,F$1,FALSE())</f>
        <v>180.97</v>
      </c>
      <c r="G183" s="32" t="str">
        <f aca="false">VLOOKUP($A183,'Order Sales'!$A$2:$G$2154,G$1,FALSE())</f>
        <v>Corporate</v>
      </c>
    </row>
    <row r="184" customFormat="false" ht="14.25" hidden="false" customHeight="false" outlineLevel="0" collapsed="false">
      <c r="A184" s="1" t="n">
        <v>1506</v>
      </c>
      <c r="B184" s="30" t="n">
        <v>43336</v>
      </c>
      <c r="C184" s="30" t="n">
        <v>43306</v>
      </c>
      <c r="D184" s="31" t="n">
        <f aca="false">VLOOKUP(A184,'Order Shipping'!$A$2:$C$2000,3,FALSE())</f>
        <v>10.4</v>
      </c>
      <c r="E184" s="32" t="n">
        <f aca="false">VLOOKUP($A184,'Order Sales'!$A$2:$G$2154,E$1,FALSE())</f>
        <v>21</v>
      </c>
      <c r="F184" s="32" t="n">
        <f aca="false">VLOOKUP($A184,'Order Sales'!$A$2:$G$2154,F$1,FALSE())</f>
        <v>145.51</v>
      </c>
      <c r="G184" s="32" t="str">
        <f aca="false">VLOOKUP($A184,'Order Sales'!$A$2:$G$2154,G$1,FALSE())</f>
        <v>Consumer</v>
      </c>
    </row>
    <row r="185" customFormat="false" ht="14.25" hidden="false" customHeight="false" outlineLevel="0" collapsed="false">
      <c r="A185" s="1" t="n">
        <v>2350</v>
      </c>
      <c r="B185" s="30" t="n">
        <v>43202</v>
      </c>
      <c r="C185" s="30" t="n">
        <v>43307</v>
      </c>
      <c r="D185" s="31" t="n">
        <f aca="false">VLOOKUP(A185,'Order Shipping'!$A$2:$C$2000,3,FALSE())</f>
        <v>69.3</v>
      </c>
      <c r="E185" s="32" t="n">
        <f aca="false">VLOOKUP($A185,'Order Sales'!$A$2:$G$2154,E$1,FALSE())</f>
        <v>35</v>
      </c>
      <c r="F185" s="32" t="n">
        <f aca="false">VLOOKUP($A185,'Order Sales'!$A$2:$G$2154,F$1,FALSE())</f>
        <v>10998.31</v>
      </c>
      <c r="G185" s="32" t="str">
        <f aca="false">VLOOKUP($A185,'Order Sales'!$A$2:$G$2154,G$1,FALSE())</f>
        <v>Small Business</v>
      </c>
    </row>
    <row r="186" customFormat="false" ht="14.25" hidden="false" customHeight="false" outlineLevel="0" collapsed="false">
      <c r="A186" s="1" t="n">
        <v>2610</v>
      </c>
      <c r="B186" s="30" t="n">
        <v>43224</v>
      </c>
      <c r="C186" s="30" t="n">
        <v>43308</v>
      </c>
      <c r="D186" s="31" t="n">
        <f aca="false">VLOOKUP(A186,'Order Shipping'!$A$2:$C$2000,3,FALSE())</f>
        <v>6</v>
      </c>
      <c r="E186" s="32" t="n">
        <f aca="false">VLOOKUP($A186,'Order Sales'!$A$2:$G$2154,E$1,FALSE())</f>
        <v>50</v>
      </c>
      <c r="F186" s="32" t="n">
        <f aca="false">VLOOKUP($A186,'Order Sales'!$A$2:$G$2154,F$1,FALSE())</f>
        <v>296.12</v>
      </c>
      <c r="G186" s="32" t="str">
        <f aca="false">VLOOKUP($A186,'Order Sales'!$A$2:$G$2154,G$1,FALSE())</f>
        <v>Corporate</v>
      </c>
    </row>
    <row r="187" customFormat="false" ht="14.25" hidden="false" customHeight="false" outlineLevel="0" collapsed="false">
      <c r="A187" s="1" t="n">
        <v>2402</v>
      </c>
      <c r="B187" s="30" t="n">
        <v>43451</v>
      </c>
      <c r="C187" s="30" t="n">
        <v>43309</v>
      </c>
      <c r="D187" s="31" t="n">
        <f aca="false">VLOOKUP(A187,'Order Shipping'!$A$2:$C$2000,3,FALSE())</f>
        <v>3.2</v>
      </c>
      <c r="E187" s="32" t="n">
        <f aca="false">VLOOKUP($A187,'Order Sales'!$A$2:$G$2154,E$1,FALSE())</f>
        <v>15</v>
      </c>
      <c r="F187" s="32" t="n">
        <f aca="false">VLOOKUP($A187,'Order Sales'!$A$2:$G$2154,F$1,FALSE())</f>
        <v>81.77</v>
      </c>
      <c r="G187" s="32" t="str">
        <f aca="false">VLOOKUP($A187,'Order Sales'!$A$2:$G$2154,G$1,FALSE())</f>
        <v>Small Business</v>
      </c>
    </row>
    <row r="188" customFormat="false" ht="14.25" hidden="false" customHeight="false" outlineLevel="0" collapsed="false">
      <c r="A188" s="1" t="n">
        <v>1755</v>
      </c>
      <c r="B188" s="30" t="n">
        <v>43261</v>
      </c>
      <c r="C188" s="30" t="n">
        <v>43310</v>
      </c>
      <c r="D188" s="31" t="n">
        <f aca="false">VLOOKUP(A188,'Order Shipping'!$A$2:$C$2000,3,FALSE())</f>
        <v>8.1</v>
      </c>
      <c r="E188" s="32" t="n">
        <f aca="false">VLOOKUP($A188,'Order Sales'!$A$2:$G$2154,E$1,FALSE())</f>
        <v>7</v>
      </c>
      <c r="F188" s="32" t="n">
        <f aca="false">VLOOKUP($A188,'Order Sales'!$A$2:$G$2154,F$1,FALSE())</f>
        <v>46.32</v>
      </c>
      <c r="G188" s="32" t="str">
        <f aca="false">VLOOKUP($A188,'Order Sales'!$A$2:$G$2154,G$1,FALSE())</f>
        <v>Consumer</v>
      </c>
    </row>
    <row r="189" customFormat="false" ht="14.25" hidden="false" customHeight="false" outlineLevel="0" collapsed="false">
      <c r="A189" s="1" t="n">
        <v>1097</v>
      </c>
      <c r="B189" s="30" t="n">
        <v>43364</v>
      </c>
      <c r="C189" s="30" t="n">
        <v>43311</v>
      </c>
      <c r="D189" s="31" t="n">
        <f aca="false">VLOOKUP(A189,'Order Shipping'!$A$2:$C$2000,3,FALSE())</f>
        <v>10.2</v>
      </c>
      <c r="E189" s="32" t="n">
        <f aca="false">VLOOKUP($A189,'Order Sales'!$A$2:$G$2154,E$1,FALSE())</f>
        <v>34</v>
      </c>
      <c r="F189" s="32" t="n">
        <f aca="false">VLOOKUP($A189,'Order Sales'!$A$2:$G$2154,F$1,FALSE())</f>
        <v>245.58</v>
      </c>
      <c r="G189" s="32" t="str">
        <f aca="false">VLOOKUP($A189,'Order Sales'!$A$2:$G$2154,G$1,FALSE())</f>
        <v>Small Business</v>
      </c>
    </row>
    <row r="190" customFormat="false" ht="14.25" hidden="false" customHeight="false" outlineLevel="0" collapsed="false">
      <c r="A190" s="1" t="n">
        <v>2982</v>
      </c>
      <c r="B190" s="30" t="n">
        <v>43128</v>
      </c>
      <c r="C190" s="30" t="n">
        <v>43312</v>
      </c>
      <c r="D190" s="31" t="n">
        <f aca="false">VLOOKUP(A190,'Order Shipping'!$A$2:$C$2000,3,FALSE())</f>
        <v>3.7</v>
      </c>
      <c r="E190" s="32" t="n">
        <f aca="false">VLOOKUP($A190,'Order Sales'!$A$2:$G$2154,E$1,FALSE())</f>
        <v>12</v>
      </c>
      <c r="F190" s="32" t="n">
        <f aca="false">VLOOKUP($A190,'Order Sales'!$A$2:$G$2154,F$1,FALSE())</f>
        <v>908.98</v>
      </c>
      <c r="G190" s="32" t="str">
        <f aca="false">VLOOKUP($A190,'Order Sales'!$A$2:$G$2154,G$1,FALSE())</f>
        <v>Home Office</v>
      </c>
    </row>
    <row r="191" customFormat="false" ht="14.25" hidden="false" customHeight="false" outlineLevel="0" collapsed="false">
      <c r="A191" s="1" t="n">
        <v>2522</v>
      </c>
      <c r="B191" s="30" t="n">
        <v>43156</v>
      </c>
      <c r="C191" s="30" t="n">
        <v>43313</v>
      </c>
      <c r="D191" s="31" t="n">
        <f aca="false">VLOOKUP(A191,'Order Shipping'!$A$2:$C$2000,3,FALSE())</f>
        <v>17.2</v>
      </c>
      <c r="E191" s="32" t="n">
        <f aca="false">VLOOKUP($A191,'Order Sales'!$A$2:$G$2154,E$1,FALSE())</f>
        <v>7</v>
      </c>
      <c r="F191" s="32" t="n">
        <f aca="false">VLOOKUP($A191,'Order Sales'!$A$2:$G$2154,F$1,FALSE())</f>
        <v>401.86</v>
      </c>
      <c r="G191" s="32" t="str">
        <f aca="false">VLOOKUP($A191,'Order Sales'!$A$2:$G$2154,G$1,FALSE())</f>
        <v>Consumer</v>
      </c>
    </row>
    <row r="192" customFormat="false" ht="14.25" hidden="false" customHeight="false" outlineLevel="0" collapsed="false">
      <c r="A192" s="1" t="n">
        <v>1763</v>
      </c>
      <c r="B192" s="30" t="n">
        <v>43207</v>
      </c>
      <c r="C192" s="30" t="n">
        <v>43314</v>
      </c>
      <c r="D192" s="31" t="n">
        <f aca="false">VLOOKUP(A192,'Order Shipping'!$A$2:$C$2000,3,FALSE())</f>
        <v>4.1</v>
      </c>
      <c r="E192" s="32" t="n">
        <f aca="false">VLOOKUP($A192,'Order Sales'!$A$2:$G$2154,E$1,FALSE())</f>
        <v>4</v>
      </c>
      <c r="F192" s="32" t="n">
        <f aca="false">VLOOKUP($A192,'Order Sales'!$A$2:$G$2154,F$1,FALSE())</f>
        <v>30.45</v>
      </c>
      <c r="G192" s="32" t="str">
        <f aca="false">VLOOKUP($A192,'Order Sales'!$A$2:$G$2154,G$1,FALSE())</f>
        <v>Corporate</v>
      </c>
    </row>
    <row r="193" customFormat="false" ht="14.25" hidden="false" customHeight="false" outlineLevel="0" collapsed="false">
      <c r="A193" s="1" t="n">
        <v>2423</v>
      </c>
      <c r="B193" s="30" t="n">
        <v>43288</v>
      </c>
      <c r="C193" s="30" t="n">
        <v>43315</v>
      </c>
      <c r="D193" s="31" t="n">
        <f aca="false">VLOOKUP(A193,'Order Shipping'!$A$2:$C$2000,3,FALSE())</f>
        <v>7</v>
      </c>
      <c r="E193" s="32" t="n">
        <f aca="false">VLOOKUP($A193,'Order Sales'!$A$2:$G$2154,E$1,FALSE())</f>
        <v>17</v>
      </c>
      <c r="F193" s="32" t="n">
        <f aca="false">VLOOKUP($A193,'Order Sales'!$A$2:$G$2154,F$1,FALSE())</f>
        <v>144.86</v>
      </c>
      <c r="G193" s="32" t="str">
        <f aca="false">VLOOKUP($A193,'Order Sales'!$A$2:$G$2154,G$1,FALSE())</f>
        <v>Corporate</v>
      </c>
    </row>
    <row r="194" customFormat="false" ht="14.25" hidden="false" customHeight="false" outlineLevel="0" collapsed="false">
      <c r="A194" s="1" t="n">
        <v>1637</v>
      </c>
      <c r="B194" s="30" t="n">
        <v>43319</v>
      </c>
      <c r="C194" s="30" t="n">
        <v>43316</v>
      </c>
      <c r="D194" s="31" t="n">
        <f aca="false">VLOOKUP(A194,'Order Shipping'!$A$2:$C$2000,3,FALSE())</f>
        <v>6.6</v>
      </c>
      <c r="E194" s="32" t="n">
        <f aca="false">VLOOKUP($A194,'Order Sales'!$A$2:$G$2154,E$1,FALSE())</f>
        <v>49</v>
      </c>
      <c r="F194" s="32" t="n">
        <f aca="false">VLOOKUP($A194,'Order Sales'!$A$2:$G$2154,F$1,FALSE())</f>
        <v>482.21</v>
      </c>
      <c r="G194" s="32" t="str">
        <f aca="false">VLOOKUP($A194,'Order Sales'!$A$2:$G$2154,G$1,FALSE())</f>
        <v>Corporate</v>
      </c>
    </row>
    <row r="195" customFormat="false" ht="14.25" hidden="false" customHeight="false" outlineLevel="0" collapsed="false">
      <c r="A195" s="1" t="n">
        <v>1192</v>
      </c>
      <c r="B195" s="30" t="n">
        <v>43386</v>
      </c>
      <c r="C195" s="30" t="n">
        <v>43317</v>
      </c>
      <c r="D195" s="31" t="n">
        <f aca="false">VLOOKUP(A195,'Order Shipping'!$A$2:$C$2000,3,FALSE())</f>
        <v>5.7</v>
      </c>
      <c r="E195" s="32" t="n">
        <f aca="false">VLOOKUP($A195,'Order Sales'!$A$2:$G$2154,E$1,FALSE())</f>
        <v>6</v>
      </c>
      <c r="F195" s="32" t="n">
        <f aca="false">VLOOKUP($A195,'Order Sales'!$A$2:$G$2154,F$1,FALSE())</f>
        <v>166.36</v>
      </c>
      <c r="G195" s="32" t="str">
        <f aca="false">VLOOKUP($A195,'Order Sales'!$A$2:$G$2154,G$1,FALSE())</f>
        <v>Corporate</v>
      </c>
    </row>
    <row r="196" customFormat="false" ht="14.25" hidden="false" customHeight="false" outlineLevel="0" collapsed="false">
      <c r="A196" s="1" t="n">
        <v>2880</v>
      </c>
      <c r="B196" s="30" t="n">
        <v>43197</v>
      </c>
      <c r="C196" s="30" t="n">
        <v>43318</v>
      </c>
      <c r="D196" s="31" t="n">
        <f aca="false">VLOOKUP(A196,'Order Shipping'!$A$2:$C$2000,3,FALSE())</f>
        <v>5.4</v>
      </c>
      <c r="E196" s="32" t="n">
        <f aca="false">VLOOKUP($A196,'Order Sales'!$A$2:$G$2154,E$1,FALSE())</f>
        <v>37</v>
      </c>
      <c r="F196" s="32" t="n">
        <f aca="false">VLOOKUP($A196,'Order Sales'!$A$2:$G$2154,F$1,FALSE())</f>
        <v>881.44</v>
      </c>
      <c r="G196" s="32" t="str">
        <f aca="false">VLOOKUP($A196,'Order Sales'!$A$2:$G$2154,G$1,FALSE())</f>
        <v>Home Office</v>
      </c>
    </row>
    <row r="197" customFormat="false" ht="14.25" hidden="false" customHeight="false" outlineLevel="0" collapsed="false">
      <c r="A197" s="1" t="n">
        <v>1875</v>
      </c>
      <c r="B197" s="30" t="n">
        <v>43127</v>
      </c>
      <c r="C197" s="30" t="n">
        <v>43319</v>
      </c>
      <c r="D197" s="31" t="n">
        <f aca="false">VLOOKUP(A197,'Order Shipping'!$A$2:$C$2000,3,FALSE())</f>
        <v>15.7</v>
      </c>
      <c r="E197" s="32" t="n">
        <f aca="false">VLOOKUP($A197,'Order Sales'!$A$2:$G$2154,E$1,FALSE())</f>
        <v>41</v>
      </c>
      <c r="F197" s="32" t="n">
        <f aca="false">VLOOKUP($A197,'Order Sales'!$A$2:$G$2154,F$1,FALSE())</f>
        <v>12973.9</v>
      </c>
      <c r="G197" s="32" t="str">
        <f aca="false">VLOOKUP($A197,'Order Sales'!$A$2:$G$2154,G$1,FALSE())</f>
        <v>Consumer</v>
      </c>
    </row>
    <row r="198" customFormat="false" ht="14.25" hidden="false" customHeight="false" outlineLevel="0" collapsed="false">
      <c r="A198" s="1" t="n">
        <v>2061</v>
      </c>
      <c r="B198" s="30" t="n">
        <v>43245</v>
      </c>
      <c r="C198" s="30" t="n">
        <v>43320</v>
      </c>
      <c r="D198" s="31" t="n">
        <f aca="false">VLOOKUP(A198,'Order Shipping'!$A$2:$C$2000,3,FALSE())</f>
        <v>7.8</v>
      </c>
      <c r="E198" s="32" t="n">
        <f aca="false">VLOOKUP($A198,'Order Sales'!$A$2:$G$2154,E$1,FALSE())</f>
        <v>31</v>
      </c>
      <c r="F198" s="32" t="n">
        <f aca="false">VLOOKUP($A198,'Order Sales'!$A$2:$G$2154,F$1,FALSE())</f>
        <v>442.04</v>
      </c>
      <c r="G198" s="32" t="str">
        <f aca="false">VLOOKUP($A198,'Order Sales'!$A$2:$G$2154,G$1,FALSE())</f>
        <v>Small Business</v>
      </c>
    </row>
    <row r="199" customFormat="false" ht="14.25" hidden="false" customHeight="false" outlineLevel="0" collapsed="false">
      <c r="A199" s="1" t="n">
        <v>2128</v>
      </c>
      <c r="B199" s="30" t="n">
        <v>43196</v>
      </c>
      <c r="C199" s="30" t="n">
        <v>43321</v>
      </c>
      <c r="D199" s="31" t="n">
        <f aca="false">VLOOKUP(A199,'Order Shipping'!$A$2:$C$2000,3,FALSE())</f>
        <v>8.8</v>
      </c>
      <c r="E199" s="32" t="n">
        <f aca="false">VLOOKUP($A199,'Order Sales'!$A$2:$G$2154,E$1,FALSE())</f>
        <v>36</v>
      </c>
      <c r="F199" s="32" t="n">
        <f aca="false">VLOOKUP($A199,'Order Sales'!$A$2:$G$2154,F$1,FALSE())</f>
        <v>278.34</v>
      </c>
      <c r="G199" s="32" t="str">
        <f aca="false">VLOOKUP($A199,'Order Sales'!$A$2:$G$2154,G$1,FALSE())</f>
        <v>Corporate</v>
      </c>
    </row>
    <row r="200" customFormat="false" ht="14.25" hidden="false" customHeight="false" outlineLevel="0" collapsed="false">
      <c r="A200" s="1" t="n">
        <v>1834</v>
      </c>
      <c r="B200" s="30" t="n">
        <v>43434</v>
      </c>
      <c r="C200" s="30" t="n">
        <v>43322</v>
      </c>
      <c r="D200" s="31" t="n">
        <f aca="false">VLOOKUP(A200,'Order Shipping'!$A$2:$C$2000,3,FALSE())</f>
        <v>6.2</v>
      </c>
      <c r="E200" s="32" t="n">
        <f aca="false">VLOOKUP($A200,'Order Sales'!$A$2:$G$2154,E$1,FALSE())</f>
        <v>26</v>
      </c>
      <c r="F200" s="32" t="n">
        <f aca="false">VLOOKUP($A200,'Order Sales'!$A$2:$G$2154,F$1,FALSE())</f>
        <v>1230.82</v>
      </c>
      <c r="G200" s="32" t="str">
        <f aca="false">VLOOKUP($A200,'Order Sales'!$A$2:$G$2154,G$1,FALSE())</f>
        <v>Small Business</v>
      </c>
    </row>
    <row r="201" customFormat="false" ht="14.25" hidden="false" customHeight="false" outlineLevel="0" collapsed="false">
      <c r="A201" s="1" t="n">
        <v>2624</v>
      </c>
      <c r="B201" s="30" t="n">
        <v>43143</v>
      </c>
      <c r="C201" s="30" t="n">
        <v>43323</v>
      </c>
      <c r="D201" s="31" t="n">
        <f aca="false">VLOOKUP(A201,'Order Shipping'!$A$2:$C$2000,3,FALSE())</f>
        <v>90.8</v>
      </c>
      <c r="E201" s="32" t="n">
        <f aca="false">VLOOKUP($A201,'Order Sales'!$A$2:$G$2154,E$1,FALSE())</f>
        <v>6</v>
      </c>
      <c r="F201" s="32" t="n">
        <f aca="false">VLOOKUP($A201,'Order Sales'!$A$2:$G$2154,F$1,FALSE())</f>
        <v>2482.77</v>
      </c>
      <c r="G201" s="32" t="str">
        <f aca="false">VLOOKUP($A201,'Order Sales'!$A$2:$G$2154,G$1,FALSE())</f>
        <v>Corporate</v>
      </c>
    </row>
    <row r="202" customFormat="false" ht="14.25" hidden="false" customHeight="false" outlineLevel="0" collapsed="false">
      <c r="A202" s="1" t="n">
        <v>2864</v>
      </c>
      <c r="B202" s="30" t="n">
        <v>43214</v>
      </c>
      <c r="C202" s="30" t="n">
        <v>43324</v>
      </c>
      <c r="D202" s="31" t="n">
        <f aca="false">VLOOKUP(A202,'Order Shipping'!$A$2:$C$2000,3,FALSE())</f>
        <v>32.1</v>
      </c>
      <c r="E202" s="32" t="n">
        <f aca="false">VLOOKUP($A202,'Order Sales'!$A$2:$G$2154,E$1,FALSE())</f>
        <v>30</v>
      </c>
      <c r="F202" s="32" t="n">
        <f aca="false">VLOOKUP($A202,'Order Sales'!$A$2:$G$2154,F$1,FALSE())</f>
        <v>5583.04</v>
      </c>
      <c r="G202" s="32" t="str">
        <f aca="false">VLOOKUP($A202,'Order Sales'!$A$2:$G$2154,G$1,FALSE())</f>
        <v>Corporate</v>
      </c>
    </row>
    <row r="203" customFormat="false" ht="14.25" hidden="false" customHeight="false" outlineLevel="0" collapsed="false">
      <c r="A203" s="1" t="n">
        <v>1127</v>
      </c>
      <c r="B203" s="30" t="n">
        <v>43173</v>
      </c>
      <c r="C203" s="30" t="n">
        <v>43325</v>
      </c>
      <c r="D203" s="31" t="n">
        <f aca="false">VLOOKUP(A203,'Order Shipping'!$A$2:$C$2000,3,FALSE())</f>
        <v>6.6</v>
      </c>
      <c r="E203" s="32" t="n">
        <f aca="false">VLOOKUP($A203,'Order Sales'!$A$2:$G$2154,E$1,FALSE())</f>
        <v>20</v>
      </c>
      <c r="F203" s="32" t="n">
        <f aca="false">VLOOKUP($A203,'Order Sales'!$A$2:$G$2154,F$1,FALSE())</f>
        <v>263.28</v>
      </c>
      <c r="G203" s="32" t="str">
        <f aca="false">VLOOKUP($A203,'Order Sales'!$A$2:$G$2154,G$1,FALSE())</f>
        <v>Small Business</v>
      </c>
    </row>
    <row r="204" customFormat="false" ht="14.25" hidden="false" customHeight="false" outlineLevel="0" collapsed="false">
      <c r="A204" s="1" t="n">
        <v>1105</v>
      </c>
      <c r="B204" s="30" t="n">
        <v>43121</v>
      </c>
      <c r="C204" s="30" t="n">
        <v>43326</v>
      </c>
      <c r="D204" s="31" t="n">
        <f aca="false">VLOOKUP(A204,'Order Shipping'!$A$2:$C$2000,3,FALSE())</f>
        <v>7.4</v>
      </c>
      <c r="E204" s="32" t="n">
        <f aca="false">VLOOKUP($A204,'Order Sales'!$A$2:$G$2154,E$1,FALSE())</f>
        <v>34</v>
      </c>
      <c r="F204" s="32" t="n">
        <f aca="false">VLOOKUP($A204,'Order Sales'!$A$2:$G$2154,F$1,FALSE())</f>
        <v>2305.14</v>
      </c>
      <c r="G204" s="32" t="str">
        <f aca="false">VLOOKUP($A204,'Order Sales'!$A$2:$G$2154,G$1,FALSE())</f>
        <v>Consumer</v>
      </c>
    </row>
    <row r="205" customFormat="false" ht="14.25" hidden="false" customHeight="false" outlineLevel="0" collapsed="false">
      <c r="A205" s="1" t="n">
        <v>1838</v>
      </c>
      <c r="B205" s="30" t="n">
        <v>43422</v>
      </c>
      <c r="C205" s="30" t="n">
        <v>43327</v>
      </c>
      <c r="D205" s="31" t="n">
        <f aca="false">VLOOKUP(A205,'Order Shipping'!$A$2:$C$2000,3,FALSE())</f>
        <v>11.2</v>
      </c>
      <c r="E205" s="32" t="n">
        <f aca="false">VLOOKUP($A205,'Order Sales'!$A$2:$G$2154,E$1,FALSE())</f>
        <v>22</v>
      </c>
      <c r="F205" s="32" t="n">
        <f aca="false">VLOOKUP($A205,'Order Sales'!$A$2:$G$2154,F$1,FALSE())</f>
        <v>471.78</v>
      </c>
      <c r="G205" s="32" t="str">
        <f aca="false">VLOOKUP($A205,'Order Sales'!$A$2:$G$2154,G$1,FALSE())</f>
        <v>Small Business</v>
      </c>
    </row>
    <row r="206" customFormat="false" ht="14.25" hidden="false" customHeight="false" outlineLevel="0" collapsed="false">
      <c r="A206" s="1" t="n">
        <v>1290</v>
      </c>
      <c r="B206" s="30" t="n">
        <v>43178</v>
      </c>
      <c r="C206" s="30" t="n">
        <v>43328</v>
      </c>
      <c r="D206" s="31" t="n">
        <f aca="false">VLOOKUP(A206,'Order Shipping'!$A$2:$C$2000,3,FALSE())</f>
        <v>9.6</v>
      </c>
      <c r="E206" s="32" t="n">
        <f aca="false">VLOOKUP($A206,'Order Sales'!$A$2:$G$2154,E$1,FALSE())</f>
        <v>19</v>
      </c>
      <c r="F206" s="32" t="n">
        <f aca="false">VLOOKUP($A206,'Order Sales'!$A$2:$G$2154,F$1,FALSE())</f>
        <v>1953.2</v>
      </c>
      <c r="G206" s="32" t="str">
        <f aca="false">VLOOKUP($A206,'Order Sales'!$A$2:$G$2154,G$1,FALSE())</f>
        <v>Consumer</v>
      </c>
    </row>
    <row r="207" customFormat="false" ht="14.25" hidden="false" customHeight="false" outlineLevel="0" collapsed="false">
      <c r="A207" s="1" t="n">
        <v>2703</v>
      </c>
      <c r="B207" s="30" t="n">
        <v>43251</v>
      </c>
      <c r="C207" s="30" t="n">
        <v>43329</v>
      </c>
      <c r="D207" s="31" t="n">
        <f aca="false">VLOOKUP(A207,'Order Shipping'!$A$2:$C$2000,3,FALSE())</f>
        <v>30</v>
      </c>
      <c r="E207" s="32" t="n">
        <f aca="false">VLOOKUP($A207,'Order Sales'!$A$2:$G$2154,E$1,FALSE())</f>
        <v>43</v>
      </c>
      <c r="F207" s="32" t="n">
        <f aca="false">VLOOKUP($A207,'Order Sales'!$A$2:$G$2154,F$1,FALSE())</f>
        <v>11614.67</v>
      </c>
      <c r="G207" s="32" t="str">
        <f aca="false">VLOOKUP($A207,'Order Sales'!$A$2:$G$2154,G$1,FALSE())</f>
        <v>Consumer</v>
      </c>
    </row>
    <row r="208" customFormat="false" ht="14.25" hidden="false" customHeight="false" outlineLevel="0" collapsed="false">
      <c r="A208" s="1" t="n">
        <v>1686</v>
      </c>
      <c r="B208" s="30" t="n">
        <v>43293</v>
      </c>
      <c r="C208" s="30" t="n">
        <v>43330</v>
      </c>
      <c r="D208" s="31" t="n">
        <f aca="false">VLOOKUP(A208,'Order Shipping'!$A$2:$C$2000,3,FALSE())</f>
        <v>7.3</v>
      </c>
      <c r="E208" s="32" t="n">
        <f aca="false">VLOOKUP($A208,'Order Sales'!$A$2:$G$2154,E$1,FALSE())</f>
        <v>38</v>
      </c>
      <c r="F208" s="32" t="n">
        <f aca="false">VLOOKUP($A208,'Order Sales'!$A$2:$G$2154,F$1,FALSE())</f>
        <v>146.66</v>
      </c>
      <c r="G208" s="32" t="str">
        <f aca="false">VLOOKUP($A208,'Order Sales'!$A$2:$G$2154,G$1,FALSE())</f>
        <v>Home Office</v>
      </c>
    </row>
    <row r="209" customFormat="false" ht="14.25" hidden="false" customHeight="false" outlineLevel="0" collapsed="false">
      <c r="A209" s="1" t="n">
        <v>2192</v>
      </c>
      <c r="B209" s="30" t="n">
        <v>43227</v>
      </c>
      <c r="C209" s="30" t="n">
        <v>43331</v>
      </c>
      <c r="D209" s="31" t="n">
        <f aca="false">VLOOKUP(A209,'Order Shipping'!$A$2:$C$2000,3,FALSE())</f>
        <v>1.5</v>
      </c>
      <c r="E209" s="32" t="n">
        <f aca="false">VLOOKUP($A209,'Order Sales'!$A$2:$G$2154,E$1,FALSE())</f>
        <v>23</v>
      </c>
      <c r="F209" s="32" t="n">
        <f aca="false">VLOOKUP($A209,'Order Sales'!$A$2:$G$2154,F$1,FALSE())</f>
        <v>246.54</v>
      </c>
      <c r="G209" s="32" t="str">
        <f aca="false">VLOOKUP($A209,'Order Sales'!$A$2:$G$2154,G$1,FALSE())</f>
        <v>Small Business</v>
      </c>
    </row>
    <row r="210" customFormat="false" ht="14.25" hidden="false" customHeight="false" outlineLevel="0" collapsed="false">
      <c r="A210" s="1" t="n">
        <v>2900</v>
      </c>
      <c r="B210" s="30" t="n">
        <v>43436</v>
      </c>
      <c r="C210" s="30" t="n">
        <v>43332</v>
      </c>
      <c r="D210" s="31" t="n">
        <f aca="false">VLOOKUP(A210,'Order Shipping'!$A$2:$C$2000,3,FALSE())</f>
        <v>6.3</v>
      </c>
      <c r="E210" s="32" t="n">
        <f aca="false">VLOOKUP($A210,'Order Sales'!$A$2:$G$2154,E$1,FALSE())</f>
        <v>34</v>
      </c>
      <c r="F210" s="32" t="n">
        <f aca="false">VLOOKUP($A210,'Order Sales'!$A$2:$G$2154,F$1,FALSE())</f>
        <v>2083.75</v>
      </c>
      <c r="G210" s="32" t="str">
        <f aca="false">VLOOKUP($A210,'Order Sales'!$A$2:$G$2154,G$1,FALSE())</f>
        <v>Corporate</v>
      </c>
    </row>
    <row r="211" customFormat="false" ht="14.25" hidden="false" customHeight="false" outlineLevel="0" collapsed="false">
      <c r="A211" s="1" t="n">
        <v>1268</v>
      </c>
      <c r="B211" s="30" t="n">
        <v>43295</v>
      </c>
      <c r="C211" s="30" t="n">
        <v>43333</v>
      </c>
      <c r="D211" s="31" t="n">
        <f aca="false">VLOOKUP(A211,'Order Shipping'!$A$2:$C$2000,3,FALSE())</f>
        <v>4.8</v>
      </c>
      <c r="E211" s="32" t="n">
        <f aca="false">VLOOKUP($A211,'Order Sales'!$A$2:$G$2154,E$1,FALSE())</f>
        <v>8</v>
      </c>
      <c r="F211" s="32" t="n">
        <f aca="false">VLOOKUP($A211,'Order Sales'!$A$2:$G$2154,F$1,FALSE())</f>
        <v>90.56</v>
      </c>
      <c r="G211" s="32" t="str">
        <f aca="false">VLOOKUP($A211,'Order Sales'!$A$2:$G$2154,G$1,FALSE())</f>
        <v>Small Business</v>
      </c>
    </row>
    <row r="212" customFormat="false" ht="14.25" hidden="false" customHeight="false" outlineLevel="0" collapsed="false">
      <c r="A212" s="1" t="n">
        <v>2797</v>
      </c>
      <c r="B212" s="30" t="n">
        <v>43406</v>
      </c>
      <c r="C212" s="30" t="n">
        <v>43334</v>
      </c>
      <c r="D212" s="31" t="n">
        <f aca="false">VLOOKUP(A212,'Order Shipping'!$A$2:$C$2000,3,FALSE())</f>
        <v>17.1</v>
      </c>
      <c r="E212" s="32" t="n">
        <f aca="false">VLOOKUP($A212,'Order Sales'!$A$2:$G$2154,E$1,FALSE())</f>
        <v>22</v>
      </c>
      <c r="F212" s="32" t="n">
        <f aca="false">VLOOKUP($A212,'Order Sales'!$A$2:$G$2154,F$1,FALSE())</f>
        <v>3562.32</v>
      </c>
      <c r="G212" s="32" t="str">
        <f aca="false">VLOOKUP($A212,'Order Sales'!$A$2:$G$2154,G$1,FALSE())</f>
        <v>Small Business</v>
      </c>
    </row>
    <row r="213" customFormat="false" ht="14.25" hidden="false" customHeight="false" outlineLevel="0" collapsed="false">
      <c r="A213" s="1" t="n">
        <v>2837</v>
      </c>
      <c r="B213" s="30" t="n">
        <v>43404</v>
      </c>
      <c r="C213" s="30" t="n">
        <v>43335</v>
      </c>
      <c r="D213" s="31" t="n">
        <f aca="false">VLOOKUP(A213,'Order Shipping'!$A$2:$C$2000,3,FALSE())</f>
        <v>10.1</v>
      </c>
      <c r="E213" s="32" t="n">
        <f aca="false">VLOOKUP($A213,'Order Sales'!$A$2:$G$2154,E$1,FALSE())</f>
        <v>7</v>
      </c>
      <c r="F213" s="32" t="n">
        <f aca="false">VLOOKUP($A213,'Order Sales'!$A$2:$G$2154,F$1,FALSE())</f>
        <v>79.03</v>
      </c>
      <c r="G213" s="32" t="str">
        <f aca="false">VLOOKUP($A213,'Order Sales'!$A$2:$G$2154,G$1,FALSE())</f>
        <v>Corporate</v>
      </c>
    </row>
    <row r="214" customFormat="false" ht="14.25" hidden="false" customHeight="false" outlineLevel="0" collapsed="false">
      <c r="A214" s="1" t="n">
        <v>1218</v>
      </c>
      <c r="B214" s="30" t="n">
        <v>43301</v>
      </c>
      <c r="C214" s="30" t="n">
        <v>43336</v>
      </c>
      <c r="D214" s="31" t="n">
        <f aca="false">VLOOKUP(A214,'Order Shipping'!$A$2:$C$2000,3,FALSE())</f>
        <v>30.1</v>
      </c>
      <c r="E214" s="32" t="n">
        <f aca="false">VLOOKUP($A214,'Order Sales'!$A$2:$G$2154,E$1,FALSE())</f>
        <v>36</v>
      </c>
      <c r="F214" s="32" t="n">
        <f aca="false">VLOOKUP($A214,'Order Sales'!$A$2:$G$2154,F$1,FALSE())</f>
        <v>19290.03</v>
      </c>
      <c r="G214" s="32" t="str">
        <f aca="false">VLOOKUP($A214,'Order Sales'!$A$2:$G$2154,G$1,FALSE())</f>
        <v>Corporate</v>
      </c>
    </row>
    <row r="215" customFormat="false" ht="14.25" hidden="false" customHeight="false" outlineLevel="0" collapsed="false">
      <c r="A215" s="1" t="n">
        <v>2196</v>
      </c>
      <c r="B215" s="30" t="n">
        <v>43186</v>
      </c>
      <c r="C215" s="30" t="n">
        <v>43337</v>
      </c>
      <c r="D215" s="31" t="n">
        <f aca="false">VLOOKUP(A215,'Order Shipping'!$A$2:$C$2000,3,FALSE())</f>
        <v>5.3</v>
      </c>
      <c r="E215" s="32" t="n">
        <f aca="false">VLOOKUP($A215,'Order Sales'!$A$2:$G$2154,E$1,FALSE())</f>
        <v>47</v>
      </c>
      <c r="F215" s="32" t="n">
        <f aca="false">VLOOKUP($A215,'Order Sales'!$A$2:$G$2154,F$1,FALSE())</f>
        <v>603.9</v>
      </c>
      <c r="G215" s="32" t="str">
        <f aca="false">VLOOKUP($A215,'Order Sales'!$A$2:$G$2154,G$1,FALSE())</f>
        <v>Home Office</v>
      </c>
    </row>
    <row r="216" customFormat="false" ht="14.25" hidden="false" customHeight="false" outlineLevel="0" collapsed="false">
      <c r="A216" s="1" t="n">
        <v>2274</v>
      </c>
      <c r="B216" s="30" t="n">
        <v>43240</v>
      </c>
      <c r="C216" s="30" t="n">
        <v>43338</v>
      </c>
      <c r="D216" s="31" t="n">
        <f aca="false">VLOOKUP(A216,'Order Shipping'!$A$2:$C$2000,3,FALSE())</f>
        <v>1.1</v>
      </c>
      <c r="E216" s="32" t="n">
        <f aca="false">VLOOKUP($A216,'Order Sales'!$A$2:$G$2154,E$1,FALSE())</f>
        <v>49</v>
      </c>
      <c r="F216" s="32" t="n">
        <f aca="false">VLOOKUP($A216,'Order Sales'!$A$2:$G$2154,F$1,FALSE())</f>
        <v>152.05</v>
      </c>
      <c r="G216" s="32" t="str">
        <f aca="false">VLOOKUP($A216,'Order Sales'!$A$2:$G$2154,G$1,FALSE())</f>
        <v>Home Office</v>
      </c>
    </row>
    <row r="217" customFormat="false" ht="14.25" hidden="false" customHeight="false" outlineLevel="0" collapsed="false">
      <c r="A217" s="1" t="n">
        <v>1165</v>
      </c>
      <c r="B217" s="30" t="n">
        <v>43401</v>
      </c>
      <c r="C217" s="30" t="n">
        <v>43339</v>
      </c>
      <c r="D217" s="31" t="n">
        <f aca="false">VLOOKUP(A217,'Order Shipping'!$A$2:$C$2000,3,FALSE())</f>
        <v>14.2</v>
      </c>
      <c r="E217" s="32" t="n">
        <f aca="false">VLOOKUP($A217,'Order Sales'!$A$2:$G$2154,E$1,FALSE())</f>
        <v>25</v>
      </c>
      <c r="F217" s="32" t="n">
        <f aca="false">VLOOKUP($A217,'Order Sales'!$A$2:$G$2154,F$1,FALSE())</f>
        <v>1047.28</v>
      </c>
      <c r="G217" s="32" t="str">
        <f aca="false">VLOOKUP($A217,'Order Sales'!$A$2:$G$2154,G$1,FALSE())</f>
        <v>Consumer</v>
      </c>
    </row>
    <row r="218" customFormat="false" ht="14.25" hidden="false" customHeight="false" outlineLevel="0" collapsed="false">
      <c r="A218" s="1" t="n">
        <v>1238</v>
      </c>
      <c r="B218" s="30" t="n">
        <v>43255</v>
      </c>
      <c r="C218" s="30" t="n">
        <v>43340</v>
      </c>
      <c r="D218" s="31" t="n">
        <f aca="false">VLOOKUP(A218,'Order Shipping'!$A$2:$C$2000,3,FALSE())</f>
        <v>1</v>
      </c>
      <c r="E218" s="32" t="n">
        <f aca="false">VLOOKUP($A218,'Order Sales'!$A$2:$G$2154,E$1,FALSE())</f>
        <v>48</v>
      </c>
      <c r="F218" s="32" t="n">
        <f aca="false">VLOOKUP($A218,'Order Sales'!$A$2:$G$2154,F$1,FALSE())</f>
        <v>288.83</v>
      </c>
      <c r="G218" s="32" t="str">
        <f aca="false">VLOOKUP($A218,'Order Sales'!$A$2:$G$2154,G$1,FALSE())</f>
        <v>Small Business</v>
      </c>
    </row>
    <row r="219" customFormat="false" ht="14.25" hidden="false" customHeight="false" outlineLevel="0" collapsed="false">
      <c r="A219" s="1" t="n">
        <v>2341</v>
      </c>
      <c r="B219" s="30" t="n">
        <v>43109</v>
      </c>
      <c r="C219" s="30" t="n">
        <v>43341</v>
      </c>
      <c r="D219" s="31" t="n">
        <f aca="false">VLOOKUP(A219,'Order Shipping'!$A$2:$C$2000,3,FALSE())</f>
        <v>1.6</v>
      </c>
      <c r="E219" s="32" t="n">
        <f aca="false">VLOOKUP($A219,'Order Sales'!$A$2:$G$2154,E$1,FALSE())</f>
        <v>22</v>
      </c>
      <c r="F219" s="32" t="n">
        <f aca="false">VLOOKUP($A219,'Order Sales'!$A$2:$G$2154,F$1,FALSE())</f>
        <v>63.22</v>
      </c>
      <c r="G219" s="32" t="str">
        <f aca="false">VLOOKUP($A219,'Order Sales'!$A$2:$G$2154,G$1,FALSE())</f>
        <v>Corporate</v>
      </c>
    </row>
    <row r="220" customFormat="false" ht="14.25" hidden="false" customHeight="false" outlineLevel="0" collapsed="false">
      <c r="A220" s="1" t="n">
        <v>1899</v>
      </c>
      <c r="B220" s="30" t="n">
        <v>43353</v>
      </c>
      <c r="C220" s="30" t="n">
        <v>43342</v>
      </c>
      <c r="D220" s="31" t="n">
        <f aca="false">VLOOKUP(A220,'Order Shipping'!$A$2:$C$2000,3,FALSE())</f>
        <v>5.6</v>
      </c>
      <c r="E220" s="32" t="n">
        <f aca="false">VLOOKUP($A220,'Order Sales'!$A$2:$G$2154,E$1,FALSE())</f>
        <v>16</v>
      </c>
      <c r="F220" s="32" t="n">
        <f aca="false">VLOOKUP($A220,'Order Sales'!$A$2:$G$2154,F$1,FALSE())</f>
        <v>117.59</v>
      </c>
      <c r="G220" s="32" t="str">
        <f aca="false">VLOOKUP($A220,'Order Sales'!$A$2:$G$2154,G$1,FALSE())</f>
        <v>Corporate</v>
      </c>
    </row>
    <row r="221" customFormat="false" ht="14.25" hidden="false" customHeight="false" outlineLevel="0" collapsed="false">
      <c r="A221" s="1" t="n">
        <v>2946</v>
      </c>
      <c r="B221" s="30" t="n">
        <v>43191</v>
      </c>
      <c r="C221" s="30" t="n">
        <v>43343</v>
      </c>
      <c r="D221" s="31" t="n">
        <f aca="false">VLOOKUP(A221,'Order Shipping'!$A$2:$C$2000,3,FALSE())</f>
        <v>1.1</v>
      </c>
      <c r="E221" s="32" t="n">
        <f aca="false">VLOOKUP($A221,'Order Sales'!$A$2:$G$2154,E$1,FALSE())</f>
        <v>16</v>
      </c>
      <c r="F221" s="32" t="n">
        <f aca="false">VLOOKUP($A221,'Order Sales'!$A$2:$G$2154,F$1,FALSE())</f>
        <v>40.87</v>
      </c>
      <c r="G221" s="32" t="str">
        <f aca="false">VLOOKUP($A221,'Order Sales'!$A$2:$G$2154,G$1,FALSE())</f>
        <v>Corporate</v>
      </c>
    </row>
    <row r="222" customFormat="false" ht="14.25" hidden="false" customHeight="false" outlineLevel="0" collapsed="false">
      <c r="A222" s="1" t="n">
        <v>2627</v>
      </c>
      <c r="B222" s="30" t="n">
        <v>43166</v>
      </c>
      <c r="C222" s="30" t="n">
        <v>43344</v>
      </c>
      <c r="D222" s="31" t="n">
        <f aca="false">VLOOKUP(A222,'Order Shipping'!$A$2:$C$2000,3,FALSE())</f>
        <v>8.8</v>
      </c>
      <c r="E222" s="32" t="n">
        <f aca="false">VLOOKUP($A222,'Order Sales'!$A$2:$G$2154,E$1,FALSE())</f>
        <v>26</v>
      </c>
      <c r="F222" s="32" t="n">
        <f aca="false">VLOOKUP($A222,'Order Sales'!$A$2:$G$2154,F$1,FALSE())</f>
        <v>183.7</v>
      </c>
      <c r="G222" s="32" t="str">
        <f aca="false">VLOOKUP($A222,'Order Sales'!$A$2:$G$2154,G$1,FALSE())</f>
        <v>Small Business</v>
      </c>
    </row>
    <row r="223" customFormat="false" ht="14.25" hidden="false" customHeight="false" outlineLevel="0" collapsed="false">
      <c r="A223" s="1" t="n">
        <v>2086</v>
      </c>
      <c r="B223" s="30" t="n">
        <v>43412</v>
      </c>
      <c r="C223" s="30" t="n">
        <v>43345</v>
      </c>
      <c r="D223" s="31" t="n">
        <f aca="false">VLOOKUP(A223,'Order Shipping'!$A$2:$C$2000,3,FALSE())</f>
        <v>5.9</v>
      </c>
      <c r="E223" s="32" t="n">
        <f aca="false">VLOOKUP($A223,'Order Sales'!$A$2:$G$2154,E$1,FALSE())</f>
        <v>31</v>
      </c>
      <c r="F223" s="32" t="n">
        <f aca="false">VLOOKUP($A223,'Order Sales'!$A$2:$G$2154,F$1,FALSE())</f>
        <v>257.47</v>
      </c>
      <c r="G223" s="32" t="str">
        <f aca="false">VLOOKUP($A223,'Order Sales'!$A$2:$G$2154,G$1,FALSE())</f>
        <v>Consumer</v>
      </c>
    </row>
    <row r="224" customFormat="false" ht="14.25" hidden="false" customHeight="false" outlineLevel="0" collapsed="false">
      <c r="A224" s="1" t="n">
        <v>2408</v>
      </c>
      <c r="B224" s="30" t="n">
        <v>43243</v>
      </c>
      <c r="C224" s="30" t="n">
        <v>43346</v>
      </c>
      <c r="D224" s="31" t="n">
        <f aca="false">VLOOKUP(A224,'Order Shipping'!$A$2:$C$2000,3,FALSE())</f>
        <v>6.2</v>
      </c>
      <c r="E224" s="32" t="n">
        <f aca="false">VLOOKUP($A224,'Order Sales'!$A$2:$G$2154,E$1,FALSE())</f>
        <v>28</v>
      </c>
      <c r="F224" s="32" t="n">
        <f aca="false">VLOOKUP($A224,'Order Sales'!$A$2:$G$2154,F$1,FALSE())</f>
        <v>196.51</v>
      </c>
      <c r="G224" s="32" t="str">
        <f aca="false">VLOOKUP($A224,'Order Sales'!$A$2:$G$2154,G$1,FALSE())</f>
        <v>Home Office</v>
      </c>
    </row>
    <row r="225" customFormat="false" ht="14.25" hidden="false" customHeight="false" outlineLevel="0" collapsed="false">
      <c r="A225" s="1" t="n">
        <v>1248</v>
      </c>
      <c r="B225" s="30" t="n">
        <v>43275</v>
      </c>
      <c r="C225" s="30" t="n">
        <v>43347</v>
      </c>
      <c r="D225" s="31" t="n">
        <f aca="false">VLOOKUP(A225,'Order Shipping'!$A$2:$C$2000,3,FALSE())</f>
        <v>6.3</v>
      </c>
      <c r="E225" s="32" t="n">
        <f aca="false">VLOOKUP($A225,'Order Sales'!$A$2:$G$2154,E$1,FALSE())</f>
        <v>20</v>
      </c>
      <c r="F225" s="32" t="n">
        <f aca="false">VLOOKUP($A225,'Order Sales'!$A$2:$G$2154,F$1,FALSE())</f>
        <v>591.57</v>
      </c>
      <c r="G225" s="32" t="str">
        <f aca="false">VLOOKUP($A225,'Order Sales'!$A$2:$G$2154,G$1,FALSE())</f>
        <v>Corporate</v>
      </c>
    </row>
    <row r="226" customFormat="false" ht="14.25" hidden="false" customHeight="false" outlineLevel="0" collapsed="false">
      <c r="A226" s="1" t="n">
        <v>2082</v>
      </c>
      <c r="B226" s="30" t="n">
        <v>43422</v>
      </c>
      <c r="C226" s="30" t="n">
        <v>43348</v>
      </c>
      <c r="D226" s="31" t="n">
        <f aca="false">VLOOKUP(A226,'Order Shipping'!$A$2:$C$2000,3,FALSE())</f>
        <v>19.1</v>
      </c>
      <c r="E226" s="32" t="n">
        <f aca="false">VLOOKUP($A226,'Order Sales'!$A$2:$G$2154,E$1,FALSE())</f>
        <v>8</v>
      </c>
      <c r="F226" s="32" t="n">
        <f aca="false">VLOOKUP($A226,'Order Sales'!$A$2:$G$2154,F$1,FALSE())</f>
        <v>1177</v>
      </c>
      <c r="G226" s="32" t="str">
        <f aca="false">VLOOKUP($A226,'Order Sales'!$A$2:$G$2154,G$1,FALSE())</f>
        <v>Consumer</v>
      </c>
    </row>
    <row r="227" customFormat="false" ht="14.25" hidden="false" customHeight="false" outlineLevel="0" collapsed="false">
      <c r="A227" s="1" t="n">
        <v>2938</v>
      </c>
      <c r="B227" s="30" t="n">
        <v>43168</v>
      </c>
      <c r="C227" s="30" t="n">
        <v>43349</v>
      </c>
      <c r="D227" s="31" t="n">
        <f aca="false">VLOOKUP(A227,'Order Shipping'!$A$2:$C$2000,3,FALSE())</f>
        <v>14.9</v>
      </c>
      <c r="E227" s="32" t="n">
        <f aca="false">VLOOKUP($A227,'Order Sales'!$A$2:$G$2154,E$1,FALSE())</f>
        <v>31</v>
      </c>
      <c r="F227" s="32" t="n">
        <f aca="false">VLOOKUP($A227,'Order Sales'!$A$2:$G$2154,F$1,FALSE())</f>
        <v>1752.87</v>
      </c>
      <c r="G227" s="32" t="str">
        <f aca="false">VLOOKUP($A227,'Order Sales'!$A$2:$G$2154,G$1,FALSE())</f>
        <v>Corporate</v>
      </c>
    </row>
    <row r="228" customFormat="false" ht="14.25" hidden="false" customHeight="false" outlineLevel="0" collapsed="false">
      <c r="A228" s="1" t="n">
        <v>1856</v>
      </c>
      <c r="B228" s="30" t="n">
        <v>43422</v>
      </c>
      <c r="C228" s="30" t="n">
        <v>43350</v>
      </c>
      <c r="D228" s="31" t="n">
        <f aca="false">VLOOKUP(A228,'Order Shipping'!$A$2:$C$2000,3,FALSE())</f>
        <v>5.1</v>
      </c>
      <c r="E228" s="32" t="n">
        <f aca="false">VLOOKUP($A228,'Order Sales'!$A$2:$G$2154,E$1,FALSE())</f>
        <v>30</v>
      </c>
      <c r="F228" s="32" t="n">
        <f aca="false">VLOOKUP($A228,'Order Sales'!$A$2:$G$2154,F$1,FALSE())</f>
        <v>593.24</v>
      </c>
      <c r="G228" s="32" t="str">
        <f aca="false">VLOOKUP($A228,'Order Sales'!$A$2:$G$2154,G$1,FALSE())</f>
        <v>Home Office</v>
      </c>
    </row>
    <row r="229" customFormat="false" ht="14.25" hidden="false" customHeight="false" outlineLevel="0" collapsed="false">
      <c r="A229" s="1" t="n">
        <v>1366</v>
      </c>
      <c r="B229" s="30" t="n">
        <v>43395</v>
      </c>
      <c r="C229" s="30" t="n">
        <v>43351</v>
      </c>
      <c r="D229" s="31" t="n">
        <f aca="false">VLOOKUP(A229,'Order Shipping'!$A$2:$C$2000,3,FALSE())</f>
        <v>7.2</v>
      </c>
      <c r="E229" s="32" t="n">
        <f aca="false">VLOOKUP($A229,'Order Sales'!$A$2:$G$2154,E$1,FALSE())</f>
        <v>44</v>
      </c>
      <c r="F229" s="32" t="n">
        <f aca="false">VLOOKUP($A229,'Order Sales'!$A$2:$G$2154,F$1,FALSE())</f>
        <v>1179.44</v>
      </c>
      <c r="G229" s="32" t="str">
        <f aca="false">VLOOKUP($A229,'Order Sales'!$A$2:$G$2154,G$1,FALSE())</f>
        <v>Corporate</v>
      </c>
    </row>
    <row r="230" customFormat="false" ht="14.25" hidden="false" customHeight="false" outlineLevel="0" collapsed="false">
      <c r="A230" s="1" t="n">
        <v>1086</v>
      </c>
      <c r="B230" s="30" t="n">
        <v>43352</v>
      </c>
      <c r="C230" s="30" t="n">
        <v>43352</v>
      </c>
      <c r="D230" s="31" t="n">
        <f aca="false">VLOOKUP(A230,'Order Shipping'!$A$2:$C$2000,3,FALSE())</f>
        <v>5.9</v>
      </c>
      <c r="E230" s="32" t="n">
        <f aca="false">VLOOKUP($A230,'Order Sales'!$A$2:$G$2154,E$1,FALSE())</f>
        <v>14</v>
      </c>
      <c r="F230" s="32" t="n">
        <f aca="false">VLOOKUP($A230,'Order Sales'!$A$2:$G$2154,F$1,FALSE())</f>
        <v>353.32</v>
      </c>
      <c r="G230" s="32" t="str">
        <f aca="false">VLOOKUP($A230,'Order Sales'!$A$2:$G$2154,G$1,FALSE())</f>
        <v>Corporate</v>
      </c>
    </row>
    <row r="231" customFormat="false" ht="14.25" hidden="false" customHeight="false" outlineLevel="0" collapsed="false">
      <c r="A231" s="1" t="n">
        <v>2653</v>
      </c>
      <c r="B231" s="30" t="n">
        <v>43348</v>
      </c>
      <c r="C231" s="30" t="n">
        <v>43353</v>
      </c>
      <c r="D231" s="31" t="n">
        <f aca="false">VLOOKUP(A231,'Order Shipping'!$A$2:$C$2000,3,FALSE())</f>
        <v>1.1</v>
      </c>
      <c r="E231" s="32" t="n">
        <f aca="false">VLOOKUP($A231,'Order Sales'!$A$2:$G$2154,E$1,FALSE())</f>
        <v>45</v>
      </c>
      <c r="F231" s="32" t="n">
        <f aca="false">VLOOKUP($A231,'Order Sales'!$A$2:$G$2154,F$1,FALSE())</f>
        <v>117.05</v>
      </c>
      <c r="G231" s="32" t="str">
        <f aca="false">VLOOKUP($A231,'Order Sales'!$A$2:$G$2154,G$1,FALSE())</f>
        <v>Consumer</v>
      </c>
    </row>
    <row r="232" customFormat="false" ht="14.25" hidden="false" customHeight="false" outlineLevel="0" collapsed="false">
      <c r="A232" s="1" t="n">
        <v>1212</v>
      </c>
      <c r="B232" s="30" t="n">
        <v>43331</v>
      </c>
      <c r="C232" s="30" t="n">
        <v>43354</v>
      </c>
      <c r="D232" s="31" t="n">
        <f aca="false">VLOOKUP(A232,'Order Shipping'!$A$2:$C$2000,3,FALSE())</f>
        <v>6.2</v>
      </c>
      <c r="E232" s="32" t="n">
        <f aca="false">VLOOKUP($A232,'Order Sales'!$A$2:$G$2154,E$1,FALSE())</f>
        <v>16</v>
      </c>
      <c r="F232" s="32" t="n">
        <f aca="false">VLOOKUP($A232,'Order Sales'!$A$2:$G$2154,F$1,FALSE())</f>
        <v>124.24</v>
      </c>
      <c r="G232" s="32" t="str">
        <f aca="false">VLOOKUP($A232,'Order Sales'!$A$2:$G$2154,G$1,FALSE())</f>
        <v>Home Office</v>
      </c>
    </row>
    <row r="233" customFormat="false" ht="14.25" hidden="false" customHeight="false" outlineLevel="0" collapsed="false">
      <c r="A233" s="1" t="n">
        <v>2207</v>
      </c>
      <c r="B233" s="30" t="n">
        <v>43285</v>
      </c>
      <c r="C233" s="30" t="n">
        <v>43355</v>
      </c>
      <c r="D233" s="31" t="n">
        <f aca="false">VLOOKUP(A233,'Order Shipping'!$A$2:$C$2000,3,FALSE())</f>
        <v>26.2</v>
      </c>
      <c r="E233" s="32" t="n">
        <f aca="false">VLOOKUP($A233,'Order Sales'!$A$2:$G$2154,E$1,FALSE())</f>
        <v>27</v>
      </c>
      <c r="F233" s="32" t="n">
        <f aca="false">VLOOKUP($A233,'Order Sales'!$A$2:$G$2154,F$1,FALSE())</f>
        <v>2862.34</v>
      </c>
      <c r="G233" s="32" t="str">
        <f aca="false">VLOOKUP($A233,'Order Sales'!$A$2:$G$2154,G$1,FALSE())</f>
        <v>Small Business</v>
      </c>
    </row>
    <row r="234" customFormat="false" ht="14.25" hidden="false" customHeight="false" outlineLevel="0" collapsed="false">
      <c r="A234" s="1" t="n">
        <v>2512</v>
      </c>
      <c r="B234" s="30" t="n">
        <v>43114</v>
      </c>
      <c r="C234" s="30" t="n">
        <v>43356</v>
      </c>
      <c r="D234" s="31" t="n">
        <f aca="false">VLOOKUP(A234,'Order Shipping'!$A$2:$C$2000,3,FALSE())</f>
        <v>6.5</v>
      </c>
      <c r="E234" s="32" t="n">
        <f aca="false">VLOOKUP($A234,'Order Sales'!$A$2:$G$2154,E$1,FALSE())</f>
        <v>39</v>
      </c>
      <c r="F234" s="32" t="n">
        <f aca="false">VLOOKUP($A234,'Order Sales'!$A$2:$G$2154,F$1,FALSE())</f>
        <v>302.25</v>
      </c>
      <c r="G234" s="32" t="str">
        <f aca="false">VLOOKUP($A234,'Order Sales'!$A$2:$G$2154,G$1,FALSE())</f>
        <v>Corporate</v>
      </c>
    </row>
    <row r="235" customFormat="false" ht="14.25" hidden="false" customHeight="false" outlineLevel="0" collapsed="false">
      <c r="A235" s="1" t="n">
        <v>1475</v>
      </c>
      <c r="B235" s="30" t="n">
        <v>43419</v>
      </c>
      <c r="C235" s="30" t="n">
        <v>43357</v>
      </c>
      <c r="D235" s="31" t="n">
        <f aca="false">VLOOKUP(A235,'Order Shipping'!$A$2:$C$2000,3,FALSE())</f>
        <v>9.6</v>
      </c>
      <c r="E235" s="32" t="n">
        <f aca="false">VLOOKUP($A235,'Order Sales'!$A$2:$G$2154,E$1,FALSE())</f>
        <v>48</v>
      </c>
      <c r="F235" s="32" t="n">
        <f aca="false">VLOOKUP($A235,'Order Sales'!$A$2:$G$2154,F$1,FALSE())</f>
        <v>5499.67</v>
      </c>
      <c r="G235" s="32" t="str">
        <f aca="false">VLOOKUP($A235,'Order Sales'!$A$2:$G$2154,G$1,FALSE())</f>
        <v>Corporate</v>
      </c>
    </row>
    <row r="236" customFormat="false" ht="14.25" hidden="false" customHeight="false" outlineLevel="0" collapsed="false">
      <c r="A236" s="1" t="n">
        <v>2507</v>
      </c>
      <c r="B236" s="30" t="n">
        <v>43144</v>
      </c>
      <c r="C236" s="30" t="n">
        <v>43358</v>
      </c>
      <c r="D236" s="31" t="n">
        <f aca="false">VLOOKUP(A236,'Order Shipping'!$A$2:$C$2000,3,FALSE())</f>
        <v>0.5</v>
      </c>
      <c r="E236" s="32" t="n">
        <f aca="false">VLOOKUP($A236,'Order Sales'!$A$2:$G$2154,E$1,FALSE())</f>
        <v>50</v>
      </c>
      <c r="F236" s="32" t="n">
        <f aca="false">VLOOKUP($A236,'Order Sales'!$A$2:$G$2154,F$1,FALSE())</f>
        <v>210.14</v>
      </c>
      <c r="G236" s="32" t="str">
        <f aca="false">VLOOKUP($A236,'Order Sales'!$A$2:$G$2154,G$1,FALSE())</f>
        <v>Consumer</v>
      </c>
    </row>
    <row r="237" customFormat="false" ht="14.25" hidden="false" customHeight="false" outlineLevel="0" collapsed="false">
      <c r="A237" s="1" t="n">
        <v>2843</v>
      </c>
      <c r="B237" s="30" t="n">
        <v>43173</v>
      </c>
      <c r="C237" s="30" t="n">
        <v>43359</v>
      </c>
      <c r="D237" s="31" t="n">
        <f aca="false">VLOOKUP(A237,'Order Shipping'!$A$2:$C$2000,3,FALSE())</f>
        <v>1</v>
      </c>
      <c r="E237" s="32" t="n">
        <f aca="false">VLOOKUP($A237,'Order Sales'!$A$2:$G$2154,E$1,FALSE())</f>
        <v>47</v>
      </c>
      <c r="F237" s="32" t="n">
        <f aca="false">VLOOKUP($A237,'Order Sales'!$A$2:$G$2154,F$1,FALSE())</f>
        <v>206.67</v>
      </c>
      <c r="G237" s="32" t="str">
        <f aca="false">VLOOKUP($A237,'Order Sales'!$A$2:$G$2154,G$1,FALSE())</f>
        <v>Home Office</v>
      </c>
    </row>
    <row r="238" customFormat="false" ht="14.25" hidden="false" customHeight="false" outlineLevel="0" collapsed="false">
      <c r="A238" s="1" t="n">
        <v>1597</v>
      </c>
      <c r="B238" s="30" t="n">
        <v>43219</v>
      </c>
      <c r="C238" s="30" t="n">
        <v>43360</v>
      </c>
      <c r="D238" s="31" t="n">
        <f aca="false">VLOOKUP(A238,'Order Shipping'!$A$2:$C$2000,3,FALSE())</f>
        <v>8.5</v>
      </c>
      <c r="E238" s="32" t="n">
        <f aca="false">VLOOKUP($A238,'Order Sales'!$A$2:$G$2154,E$1,FALSE())</f>
        <v>22</v>
      </c>
      <c r="F238" s="32" t="n">
        <f aca="false">VLOOKUP($A238,'Order Sales'!$A$2:$G$2154,F$1,FALSE())</f>
        <v>145.78</v>
      </c>
      <c r="G238" s="32" t="str">
        <f aca="false">VLOOKUP($A238,'Order Sales'!$A$2:$G$2154,G$1,FALSE())</f>
        <v>Corporate</v>
      </c>
    </row>
    <row r="239" customFormat="false" ht="14.25" hidden="false" customHeight="false" outlineLevel="0" collapsed="false">
      <c r="A239" s="1" t="n">
        <v>2428</v>
      </c>
      <c r="B239" s="30" t="n">
        <v>43220</v>
      </c>
      <c r="C239" s="30" t="n">
        <v>43361</v>
      </c>
      <c r="D239" s="31" t="n">
        <f aca="false">VLOOKUP(A239,'Order Shipping'!$A$2:$C$2000,3,FALSE())</f>
        <v>32.1</v>
      </c>
      <c r="E239" s="32" t="n">
        <f aca="false">VLOOKUP($A239,'Order Sales'!$A$2:$G$2154,E$1,FALSE())</f>
        <v>29</v>
      </c>
      <c r="F239" s="32" t="n">
        <f aca="false">VLOOKUP($A239,'Order Sales'!$A$2:$G$2154,F$1,FALSE())</f>
        <v>2964.75</v>
      </c>
      <c r="G239" s="32" t="str">
        <f aca="false">VLOOKUP($A239,'Order Sales'!$A$2:$G$2154,G$1,FALSE())</f>
        <v>Corporate</v>
      </c>
    </row>
    <row r="240" customFormat="false" ht="14.25" hidden="false" customHeight="false" outlineLevel="0" collapsed="false">
      <c r="A240" s="1" t="n">
        <v>2815</v>
      </c>
      <c r="B240" s="30" t="n">
        <v>43136</v>
      </c>
      <c r="C240" s="30" t="n">
        <v>43362</v>
      </c>
      <c r="D240" s="31" t="n">
        <f aca="false">VLOOKUP(A240,'Order Shipping'!$A$2:$C$2000,3,FALSE())</f>
        <v>0.5</v>
      </c>
      <c r="E240" s="32" t="n">
        <f aca="false">VLOOKUP($A240,'Order Sales'!$A$2:$G$2154,E$1,FALSE())</f>
        <v>17</v>
      </c>
      <c r="F240" s="32" t="n">
        <f aca="false">VLOOKUP($A240,'Order Sales'!$A$2:$G$2154,F$1,FALSE())</f>
        <v>92.33</v>
      </c>
      <c r="G240" s="32" t="str">
        <f aca="false">VLOOKUP($A240,'Order Sales'!$A$2:$G$2154,G$1,FALSE())</f>
        <v>Consumer</v>
      </c>
    </row>
    <row r="241" customFormat="false" ht="14.25" hidden="false" customHeight="false" outlineLevel="0" collapsed="false">
      <c r="A241" s="1" t="n">
        <v>2914</v>
      </c>
      <c r="B241" s="30" t="n">
        <v>43120</v>
      </c>
      <c r="C241" s="30" t="n">
        <v>43363</v>
      </c>
      <c r="D241" s="31" t="n">
        <f aca="false">VLOOKUP(A241,'Order Shipping'!$A$2:$C$2000,3,FALSE())</f>
        <v>8.5</v>
      </c>
      <c r="E241" s="32" t="n">
        <f aca="false">VLOOKUP($A241,'Order Sales'!$A$2:$G$2154,E$1,FALSE())</f>
        <v>35</v>
      </c>
      <c r="F241" s="32" t="n">
        <f aca="false">VLOOKUP($A241,'Order Sales'!$A$2:$G$2154,F$1,FALSE())</f>
        <v>451.81</v>
      </c>
      <c r="G241" s="32" t="str">
        <f aca="false">VLOOKUP($A241,'Order Sales'!$A$2:$G$2154,G$1,FALSE())</f>
        <v>Consumer</v>
      </c>
    </row>
    <row r="242" customFormat="false" ht="14.25" hidden="false" customHeight="false" outlineLevel="0" collapsed="false">
      <c r="A242" s="1" t="n">
        <v>1069</v>
      </c>
      <c r="B242" s="30" t="n">
        <v>43137</v>
      </c>
      <c r="C242" s="30" t="n">
        <v>43364</v>
      </c>
      <c r="D242" s="31" t="n">
        <f aca="false">VLOOKUP(A242,'Order Shipping'!$A$2:$C$2000,3,FALSE())</f>
        <v>21.4</v>
      </c>
      <c r="E242" s="32" t="n">
        <f aca="false">VLOOKUP($A242,'Order Sales'!$A$2:$G$2154,E$1,FALSE())</f>
        <v>10</v>
      </c>
      <c r="F242" s="32" t="n">
        <f aca="false">VLOOKUP($A242,'Order Sales'!$A$2:$G$2154,F$1,FALSE())</f>
        <v>1095.99</v>
      </c>
      <c r="G242" s="32" t="str">
        <f aca="false">VLOOKUP($A242,'Order Sales'!$A$2:$G$2154,G$1,FALSE())</f>
        <v>Corporate</v>
      </c>
    </row>
    <row r="243" customFormat="false" ht="14.25" hidden="false" customHeight="false" outlineLevel="0" collapsed="false">
      <c r="A243" s="1" t="n">
        <v>2924</v>
      </c>
      <c r="B243" s="30" t="n">
        <v>43173</v>
      </c>
      <c r="C243" s="30" t="n">
        <v>43365</v>
      </c>
      <c r="D243" s="31" t="n">
        <f aca="false">VLOOKUP(A243,'Order Shipping'!$A$2:$C$2000,3,FALSE())</f>
        <v>0.5</v>
      </c>
      <c r="E243" s="32" t="n">
        <f aca="false">VLOOKUP($A243,'Order Sales'!$A$2:$G$2154,E$1,FALSE())</f>
        <v>37</v>
      </c>
      <c r="F243" s="32" t="n">
        <f aca="false">VLOOKUP($A243,'Order Sales'!$A$2:$G$2154,F$1,FALSE())</f>
        <v>141.37</v>
      </c>
      <c r="G243" s="32" t="str">
        <f aca="false">VLOOKUP($A243,'Order Sales'!$A$2:$G$2154,G$1,FALSE())</f>
        <v>Corporate</v>
      </c>
    </row>
    <row r="244" customFormat="false" ht="14.25" hidden="false" customHeight="false" outlineLevel="0" collapsed="false">
      <c r="A244" s="1" t="n">
        <v>2773</v>
      </c>
      <c r="B244" s="30" t="n">
        <v>43406</v>
      </c>
      <c r="C244" s="30" t="n">
        <v>43366</v>
      </c>
      <c r="D244" s="31" t="n">
        <f aca="false">VLOOKUP(A244,'Order Shipping'!$A$2:$C$2000,3,FALSE())</f>
        <v>9.6</v>
      </c>
      <c r="E244" s="32" t="n">
        <f aca="false">VLOOKUP($A244,'Order Sales'!$A$2:$G$2154,E$1,FALSE())</f>
        <v>13</v>
      </c>
      <c r="F244" s="32" t="n">
        <f aca="false">VLOOKUP($A244,'Order Sales'!$A$2:$G$2154,F$1,FALSE())</f>
        <v>545.15</v>
      </c>
      <c r="G244" s="32" t="str">
        <f aca="false">VLOOKUP($A244,'Order Sales'!$A$2:$G$2154,G$1,FALSE())</f>
        <v>Corporate</v>
      </c>
    </row>
    <row r="245" customFormat="false" ht="14.25" hidden="false" customHeight="false" outlineLevel="0" collapsed="false">
      <c r="A245" s="1" t="n">
        <v>1989</v>
      </c>
      <c r="B245" s="30" t="n">
        <v>43283</v>
      </c>
      <c r="C245" s="30" t="n">
        <v>43367</v>
      </c>
      <c r="D245" s="31" t="n">
        <f aca="false">VLOOKUP(A245,'Order Shipping'!$A$2:$C$2000,3,FALSE())</f>
        <v>26.2</v>
      </c>
      <c r="E245" s="32" t="n">
        <f aca="false">VLOOKUP($A245,'Order Sales'!$A$2:$G$2154,E$1,FALSE())</f>
        <v>46</v>
      </c>
      <c r="F245" s="32" t="n">
        <f aca="false">VLOOKUP($A245,'Order Sales'!$A$2:$G$2154,F$1,FALSE())</f>
        <v>29661.45</v>
      </c>
      <c r="G245" s="32" t="str">
        <f aca="false">VLOOKUP($A245,'Order Sales'!$A$2:$G$2154,G$1,FALSE())</f>
        <v>Consumer</v>
      </c>
    </row>
    <row r="246" customFormat="false" ht="14.25" hidden="false" customHeight="false" outlineLevel="0" collapsed="false">
      <c r="A246" s="1" t="n">
        <v>1933</v>
      </c>
      <c r="B246" s="30" t="n">
        <v>43385</v>
      </c>
      <c r="C246" s="30" t="n">
        <v>43368</v>
      </c>
      <c r="D246" s="31" t="n">
        <f aca="false">VLOOKUP(A246,'Order Shipping'!$A$2:$C$2000,3,FALSE())</f>
        <v>7.8</v>
      </c>
      <c r="E246" s="32" t="n">
        <f aca="false">VLOOKUP($A246,'Order Sales'!$A$2:$G$2154,E$1,FALSE())</f>
        <v>25</v>
      </c>
      <c r="F246" s="32" t="n">
        <f aca="false">VLOOKUP($A246,'Order Sales'!$A$2:$G$2154,F$1,FALSE())</f>
        <v>415.92</v>
      </c>
      <c r="G246" s="32" t="str">
        <f aca="false">VLOOKUP($A246,'Order Sales'!$A$2:$G$2154,G$1,FALSE())</f>
        <v>Corporate</v>
      </c>
    </row>
    <row r="247" customFormat="false" ht="14.25" hidden="false" customHeight="false" outlineLevel="0" collapsed="false">
      <c r="A247" s="1" t="n">
        <v>1931</v>
      </c>
      <c r="B247" s="30" t="n">
        <v>43279</v>
      </c>
      <c r="C247" s="30" t="n">
        <v>43369</v>
      </c>
      <c r="D247" s="31" t="n">
        <f aca="false">VLOOKUP(A247,'Order Shipping'!$A$2:$C$2000,3,FALSE())</f>
        <v>5.9</v>
      </c>
      <c r="E247" s="32" t="n">
        <f aca="false">VLOOKUP($A247,'Order Sales'!$A$2:$G$2154,E$1,FALSE())</f>
        <v>27</v>
      </c>
      <c r="F247" s="32" t="n">
        <f aca="false">VLOOKUP($A247,'Order Sales'!$A$2:$G$2154,F$1,FALSE())</f>
        <v>145.37</v>
      </c>
      <c r="G247" s="32" t="str">
        <f aca="false">VLOOKUP($A247,'Order Sales'!$A$2:$G$2154,G$1,FALSE())</f>
        <v>Home Office</v>
      </c>
    </row>
    <row r="248" customFormat="false" ht="14.25" hidden="false" customHeight="false" outlineLevel="0" collapsed="false">
      <c r="A248" s="1" t="n">
        <v>1532</v>
      </c>
      <c r="B248" s="30" t="n">
        <v>43260</v>
      </c>
      <c r="C248" s="30" t="n">
        <v>43370</v>
      </c>
      <c r="D248" s="31" t="n">
        <f aca="false">VLOOKUP(A248,'Order Shipping'!$A$2:$C$2000,3,FALSE())</f>
        <v>3.2</v>
      </c>
      <c r="E248" s="32" t="n">
        <f aca="false">VLOOKUP($A248,'Order Sales'!$A$2:$G$2154,E$1,FALSE())</f>
        <v>39</v>
      </c>
      <c r="F248" s="32" t="n">
        <f aca="false">VLOOKUP($A248,'Order Sales'!$A$2:$G$2154,F$1,FALSE())</f>
        <v>170.1</v>
      </c>
      <c r="G248" s="32" t="str">
        <f aca="false">VLOOKUP($A248,'Order Sales'!$A$2:$G$2154,G$1,FALSE())</f>
        <v>Small Business</v>
      </c>
    </row>
    <row r="249" customFormat="false" ht="14.25" hidden="false" customHeight="false" outlineLevel="0" collapsed="false">
      <c r="A249" s="1" t="n">
        <v>2489</v>
      </c>
      <c r="B249" s="30" t="n">
        <v>43205</v>
      </c>
      <c r="C249" s="30" t="n">
        <v>43371</v>
      </c>
      <c r="D249" s="31" t="n">
        <f aca="false">VLOOKUP(A249,'Order Shipping'!$A$2:$C$2000,3,FALSE())</f>
        <v>9.6</v>
      </c>
      <c r="E249" s="32" t="n">
        <f aca="false">VLOOKUP($A249,'Order Sales'!$A$2:$G$2154,E$1,FALSE())</f>
        <v>32</v>
      </c>
      <c r="F249" s="32" t="n">
        <f aca="false">VLOOKUP($A249,'Order Sales'!$A$2:$G$2154,F$1,FALSE())</f>
        <v>5287.7</v>
      </c>
      <c r="G249" s="32" t="str">
        <f aca="false">VLOOKUP($A249,'Order Sales'!$A$2:$G$2154,G$1,FALSE())</f>
        <v>Corporate</v>
      </c>
    </row>
    <row r="250" customFormat="false" ht="14.25" hidden="false" customHeight="false" outlineLevel="0" collapsed="false">
      <c r="A250" s="1" t="n">
        <v>2431</v>
      </c>
      <c r="B250" s="30" t="n">
        <v>43136</v>
      </c>
      <c r="C250" s="30" t="n">
        <v>43372</v>
      </c>
      <c r="D250" s="31" t="n">
        <f aca="false">VLOOKUP(A250,'Order Shipping'!$A$2:$C$2000,3,FALSE())</f>
        <v>26.2</v>
      </c>
      <c r="E250" s="32" t="n">
        <f aca="false">VLOOKUP($A250,'Order Sales'!$A$2:$G$2154,E$1,FALSE())</f>
        <v>1</v>
      </c>
      <c r="F250" s="32" t="n">
        <f aca="false">VLOOKUP($A250,'Order Sales'!$A$2:$G$2154,F$1,FALSE())</f>
        <v>3700.05</v>
      </c>
      <c r="G250" s="32" t="str">
        <f aca="false">VLOOKUP($A250,'Order Sales'!$A$2:$G$2154,G$1,FALSE())</f>
        <v>Corporate</v>
      </c>
    </row>
    <row r="251" customFormat="false" ht="14.25" hidden="false" customHeight="false" outlineLevel="0" collapsed="false">
      <c r="A251" s="1" t="n">
        <v>2316</v>
      </c>
      <c r="B251" s="30" t="n">
        <v>43462</v>
      </c>
      <c r="C251" s="30" t="n">
        <v>43373</v>
      </c>
      <c r="D251" s="31" t="n">
        <f aca="false">VLOOKUP(A251,'Order Shipping'!$A$2:$C$2000,3,FALSE())</f>
        <v>3.9</v>
      </c>
      <c r="E251" s="32" t="n">
        <f aca="false">VLOOKUP($A251,'Order Sales'!$A$2:$G$2154,E$1,FALSE())</f>
        <v>32</v>
      </c>
      <c r="F251" s="32" t="n">
        <f aca="false">VLOOKUP($A251,'Order Sales'!$A$2:$G$2154,F$1,FALSE())</f>
        <v>177.8</v>
      </c>
      <c r="G251" s="32" t="str">
        <f aca="false">VLOOKUP($A251,'Order Sales'!$A$2:$G$2154,G$1,FALSE())</f>
        <v>Corporate</v>
      </c>
    </row>
    <row r="252" customFormat="false" ht="14.25" hidden="false" customHeight="false" outlineLevel="0" collapsed="false">
      <c r="A252" s="1" t="n">
        <v>2124</v>
      </c>
      <c r="B252" s="30" t="n">
        <v>43256</v>
      </c>
      <c r="C252" s="30" t="n">
        <v>43374</v>
      </c>
      <c r="D252" s="31" t="n">
        <f aca="false">VLOOKUP(A252,'Order Shipping'!$A$2:$C$2000,3,FALSE())</f>
        <v>5.2</v>
      </c>
      <c r="E252" s="32" t="n">
        <f aca="false">VLOOKUP($A252,'Order Sales'!$A$2:$G$2154,E$1,FALSE())</f>
        <v>21</v>
      </c>
      <c r="F252" s="32" t="n">
        <f aca="false">VLOOKUP($A252,'Order Sales'!$A$2:$G$2154,F$1,FALSE())</f>
        <v>204.36</v>
      </c>
      <c r="G252" s="32" t="str">
        <f aca="false">VLOOKUP($A252,'Order Sales'!$A$2:$G$2154,G$1,FALSE())</f>
        <v>Consumer</v>
      </c>
    </row>
    <row r="253" customFormat="false" ht="14.25" hidden="false" customHeight="false" outlineLevel="0" collapsed="false">
      <c r="A253" s="1" t="n">
        <v>1422</v>
      </c>
      <c r="B253" s="30" t="n">
        <v>43387</v>
      </c>
      <c r="C253" s="30" t="n">
        <v>43375</v>
      </c>
      <c r="D253" s="31" t="n">
        <f aca="false">VLOOKUP(A253,'Order Shipping'!$A$2:$C$2000,3,FALSE())</f>
        <v>1.6</v>
      </c>
      <c r="E253" s="32" t="n">
        <f aca="false">VLOOKUP($A253,'Order Sales'!$A$2:$G$2154,E$1,FALSE())</f>
        <v>13</v>
      </c>
      <c r="F253" s="32" t="n">
        <f aca="false">VLOOKUP($A253,'Order Sales'!$A$2:$G$2154,F$1,FALSE())</f>
        <v>203.29</v>
      </c>
      <c r="G253" s="32" t="str">
        <f aca="false">VLOOKUP($A253,'Order Sales'!$A$2:$G$2154,G$1,FALSE())</f>
        <v>Home Office</v>
      </c>
    </row>
    <row r="254" customFormat="false" ht="14.25" hidden="false" customHeight="false" outlineLevel="0" collapsed="false">
      <c r="A254" s="1" t="n">
        <v>2989</v>
      </c>
      <c r="B254" s="30" t="n">
        <v>43214</v>
      </c>
      <c r="C254" s="30" t="n">
        <v>43376</v>
      </c>
      <c r="D254" s="31" t="n">
        <f aca="false">VLOOKUP(A254,'Order Shipping'!$A$2:$C$2000,3,FALSE())</f>
        <v>5.6</v>
      </c>
      <c r="E254" s="32" t="n">
        <f aca="false">VLOOKUP($A254,'Order Sales'!$A$2:$G$2154,E$1,FALSE())</f>
        <v>23</v>
      </c>
      <c r="F254" s="32" t="n">
        <f aca="false">VLOOKUP($A254,'Order Sales'!$A$2:$G$2154,F$1,FALSE())</f>
        <v>154.11</v>
      </c>
      <c r="G254" s="32" t="str">
        <f aca="false">VLOOKUP($A254,'Order Sales'!$A$2:$G$2154,G$1,FALSE())</f>
        <v>Corporate</v>
      </c>
    </row>
    <row r="255" customFormat="false" ht="14.25" hidden="false" customHeight="false" outlineLevel="0" collapsed="false">
      <c r="A255" s="1" t="n">
        <v>2142</v>
      </c>
      <c r="B255" s="30" t="n">
        <v>43400</v>
      </c>
      <c r="C255" s="30" t="n">
        <v>43377</v>
      </c>
      <c r="D255" s="31" t="n">
        <f aca="false">VLOOKUP(A255,'Order Shipping'!$A$2:$C$2000,3,FALSE())</f>
        <v>21.4</v>
      </c>
      <c r="E255" s="32" t="n">
        <f aca="false">VLOOKUP($A255,'Order Sales'!$A$2:$G$2154,E$1,FALSE())</f>
        <v>19</v>
      </c>
      <c r="F255" s="32" t="n">
        <f aca="false">VLOOKUP($A255,'Order Sales'!$A$2:$G$2154,F$1,FALSE())</f>
        <v>2713.71</v>
      </c>
      <c r="G255" s="32" t="str">
        <f aca="false">VLOOKUP($A255,'Order Sales'!$A$2:$G$2154,G$1,FALSE())</f>
        <v>Corporate</v>
      </c>
    </row>
    <row r="256" customFormat="false" ht="14.25" hidden="false" customHeight="false" outlineLevel="0" collapsed="false">
      <c r="A256" s="1" t="n">
        <v>2497</v>
      </c>
      <c r="B256" s="30" t="n">
        <v>43132</v>
      </c>
      <c r="C256" s="30" t="n">
        <v>43378</v>
      </c>
      <c r="D256" s="31" t="n">
        <f aca="false">VLOOKUP(A256,'Order Shipping'!$A$2:$C$2000,3,FALSE())</f>
        <v>95.6</v>
      </c>
      <c r="E256" s="32" t="n">
        <f aca="false">VLOOKUP($A256,'Order Sales'!$A$2:$G$2154,E$1,FALSE())</f>
        <v>16</v>
      </c>
      <c r="F256" s="32" t="n">
        <f aca="false">VLOOKUP($A256,'Order Sales'!$A$2:$G$2154,F$1,FALSE())</f>
        <v>1309.07</v>
      </c>
      <c r="G256" s="32" t="str">
        <f aca="false">VLOOKUP($A256,'Order Sales'!$A$2:$G$2154,G$1,FALSE())</f>
        <v>Corporate</v>
      </c>
    </row>
    <row r="257" customFormat="false" ht="14.25" hidden="false" customHeight="false" outlineLevel="0" collapsed="false">
      <c r="A257" s="1" t="n">
        <v>1794</v>
      </c>
      <c r="B257" s="30" t="n">
        <v>43371</v>
      </c>
      <c r="C257" s="30" t="n">
        <v>43379</v>
      </c>
      <c r="D257" s="31" t="n">
        <f aca="false">VLOOKUP(A257,'Order Shipping'!$A$2:$C$2000,3,FALSE())</f>
        <v>1.6</v>
      </c>
      <c r="E257" s="32" t="n">
        <f aca="false">VLOOKUP($A257,'Order Sales'!$A$2:$G$2154,E$1,FALSE())</f>
        <v>12</v>
      </c>
      <c r="F257" s="32" t="n">
        <f aca="false">VLOOKUP($A257,'Order Sales'!$A$2:$G$2154,F$1,FALSE())</f>
        <v>83.85</v>
      </c>
      <c r="G257" s="32" t="str">
        <f aca="false">VLOOKUP($A257,'Order Sales'!$A$2:$G$2154,G$1,FALSE())</f>
        <v>Corporate</v>
      </c>
    </row>
    <row r="258" customFormat="false" ht="14.25" hidden="false" customHeight="false" outlineLevel="0" collapsed="false">
      <c r="A258" s="1" t="n">
        <v>2930</v>
      </c>
      <c r="B258" s="30" t="n">
        <v>43292</v>
      </c>
      <c r="C258" s="30" t="n">
        <v>43380</v>
      </c>
      <c r="D258" s="31" t="n">
        <f aca="false">VLOOKUP(A258,'Order Shipping'!$A$2:$C$2000,3,FALSE())</f>
        <v>2.2</v>
      </c>
      <c r="E258" s="32" t="n">
        <f aca="false">VLOOKUP($A258,'Order Sales'!$A$2:$G$2154,E$1,FALSE())</f>
        <v>34</v>
      </c>
      <c r="F258" s="32" t="n">
        <f aca="false">VLOOKUP($A258,'Order Sales'!$A$2:$G$2154,F$1,FALSE())</f>
        <v>109.5</v>
      </c>
      <c r="G258" s="32" t="str">
        <f aca="false">VLOOKUP($A258,'Order Sales'!$A$2:$G$2154,G$1,FALSE())</f>
        <v>Corporate</v>
      </c>
    </row>
    <row r="259" customFormat="false" ht="14.25" hidden="false" customHeight="false" outlineLevel="0" collapsed="false">
      <c r="A259" s="1" t="n">
        <v>2161</v>
      </c>
      <c r="B259" s="30" t="n">
        <v>43226</v>
      </c>
      <c r="C259" s="30" t="n">
        <v>43381</v>
      </c>
      <c r="D259" s="31" t="n">
        <f aca="false">VLOOKUP(A259,'Order Shipping'!$A$2:$C$2000,3,FALSE())</f>
        <v>4.3</v>
      </c>
      <c r="E259" s="32" t="n">
        <f aca="false">VLOOKUP($A259,'Order Sales'!$A$2:$G$2154,E$1,FALSE())</f>
        <v>37</v>
      </c>
      <c r="F259" s="32" t="n">
        <f aca="false">VLOOKUP($A259,'Order Sales'!$A$2:$G$2154,F$1,FALSE())</f>
        <v>304.5</v>
      </c>
      <c r="G259" s="32" t="str">
        <f aca="false">VLOOKUP($A259,'Order Sales'!$A$2:$G$2154,G$1,FALSE())</f>
        <v>Home Office</v>
      </c>
    </row>
    <row r="260" customFormat="false" ht="14.25" hidden="false" customHeight="false" outlineLevel="0" collapsed="false">
      <c r="A260" s="1" t="n">
        <v>1718</v>
      </c>
      <c r="B260" s="30" t="n">
        <v>43140</v>
      </c>
      <c r="C260" s="30" t="n">
        <v>43382</v>
      </c>
      <c r="D260" s="31" t="n">
        <f aca="false">VLOOKUP(A260,'Order Shipping'!$A$2:$C$2000,3,FALSE())</f>
        <v>4.5</v>
      </c>
      <c r="E260" s="32" t="n">
        <f aca="false">VLOOKUP($A260,'Order Sales'!$A$2:$G$2154,E$1,FALSE())</f>
        <v>35</v>
      </c>
      <c r="F260" s="32" t="n">
        <f aca="false">VLOOKUP($A260,'Order Sales'!$A$2:$G$2154,F$1,FALSE())</f>
        <v>4081.16</v>
      </c>
      <c r="G260" s="32" t="str">
        <f aca="false">VLOOKUP($A260,'Order Sales'!$A$2:$G$2154,G$1,FALSE())</f>
        <v>Home Office</v>
      </c>
    </row>
    <row r="261" customFormat="false" ht="14.25" hidden="false" customHeight="false" outlineLevel="0" collapsed="false">
      <c r="A261" s="1" t="n">
        <v>2213</v>
      </c>
      <c r="B261" s="30" t="n">
        <v>43421</v>
      </c>
      <c r="C261" s="30" t="n">
        <v>43383</v>
      </c>
      <c r="D261" s="31" t="n">
        <f aca="false">VLOOKUP(A261,'Order Shipping'!$A$2:$C$2000,3,FALSE())</f>
        <v>2.1</v>
      </c>
      <c r="E261" s="32" t="n">
        <f aca="false">VLOOKUP($A261,'Order Sales'!$A$2:$G$2154,E$1,FALSE())</f>
        <v>18</v>
      </c>
      <c r="F261" s="32" t="n">
        <f aca="false">VLOOKUP($A261,'Order Sales'!$A$2:$G$2154,F$1,FALSE())</f>
        <v>445.54</v>
      </c>
      <c r="G261" s="32" t="str">
        <f aca="false">VLOOKUP($A261,'Order Sales'!$A$2:$G$2154,G$1,FALSE())</f>
        <v>Corporate</v>
      </c>
    </row>
    <row r="262" customFormat="false" ht="14.25" hidden="false" customHeight="false" outlineLevel="0" collapsed="false">
      <c r="A262" s="1" t="n">
        <v>2746</v>
      </c>
      <c r="B262" s="30" t="n">
        <v>43287</v>
      </c>
      <c r="C262" s="30" t="n">
        <v>43384</v>
      </c>
      <c r="D262" s="31" t="n">
        <f aca="false">VLOOKUP(A262,'Order Shipping'!$A$2:$C$2000,3,FALSE())</f>
        <v>5.3</v>
      </c>
      <c r="E262" s="32" t="n">
        <f aca="false">VLOOKUP($A262,'Order Sales'!$A$2:$G$2154,E$1,FALSE())</f>
        <v>4</v>
      </c>
      <c r="F262" s="32" t="n">
        <f aca="false">VLOOKUP($A262,'Order Sales'!$A$2:$G$2154,F$1,FALSE())</f>
        <v>53.35</v>
      </c>
      <c r="G262" s="32" t="str">
        <f aca="false">VLOOKUP($A262,'Order Sales'!$A$2:$G$2154,G$1,FALSE())</f>
        <v>Consumer</v>
      </c>
    </row>
    <row r="263" customFormat="false" ht="14.25" hidden="false" customHeight="false" outlineLevel="0" collapsed="false">
      <c r="A263" s="1" t="n">
        <v>2069</v>
      </c>
      <c r="B263" s="30" t="n">
        <v>43451</v>
      </c>
      <c r="C263" s="30" t="n">
        <v>43385</v>
      </c>
      <c r="D263" s="31" t="n">
        <f aca="false">VLOOKUP(A263,'Order Shipping'!$A$2:$C$2000,3,FALSE())</f>
        <v>4.7</v>
      </c>
      <c r="E263" s="32" t="n">
        <f aca="false">VLOOKUP($A263,'Order Sales'!$A$2:$G$2154,E$1,FALSE())</f>
        <v>14</v>
      </c>
      <c r="F263" s="32" t="n">
        <f aca="false">VLOOKUP($A263,'Order Sales'!$A$2:$G$2154,F$1,FALSE())</f>
        <v>148.68</v>
      </c>
      <c r="G263" s="32" t="str">
        <f aca="false">VLOOKUP($A263,'Order Sales'!$A$2:$G$2154,G$1,FALSE())</f>
        <v>Home Office</v>
      </c>
    </row>
    <row r="264" customFormat="false" ht="14.25" hidden="false" customHeight="false" outlineLevel="0" collapsed="false">
      <c r="A264" s="1" t="n">
        <v>2098</v>
      </c>
      <c r="B264" s="30" t="n">
        <v>43421</v>
      </c>
      <c r="C264" s="30" t="n">
        <v>43386</v>
      </c>
      <c r="D264" s="31" t="n">
        <f aca="false">VLOOKUP(A264,'Order Shipping'!$A$2:$C$2000,3,FALSE())</f>
        <v>4.3</v>
      </c>
      <c r="E264" s="32" t="n">
        <f aca="false">VLOOKUP($A264,'Order Sales'!$A$2:$G$2154,E$1,FALSE())</f>
        <v>32</v>
      </c>
      <c r="F264" s="32" t="n">
        <f aca="false">VLOOKUP($A264,'Order Sales'!$A$2:$G$2154,F$1,FALSE())</f>
        <v>718.77</v>
      </c>
      <c r="G264" s="32" t="str">
        <f aca="false">VLOOKUP($A264,'Order Sales'!$A$2:$G$2154,G$1,FALSE())</f>
        <v>Consumer</v>
      </c>
    </row>
    <row r="265" customFormat="false" ht="14.25" hidden="false" customHeight="false" outlineLevel="0" collapsed="false">
      <c r="A265" s="1" t="n">
        <v>2916</v>
      </c>
      <c r="B265" s="30" t="n">
        <v>43244</v>
      </c>
      <c r="C265" s="30" t="n">
        <v>43387</v>
      </c>
      <c r="D265" s="31" t="n">
        <f aca="false">VLOOKUP(A265,'Order Shipping'!$A$2:$C$2000,3,FALSE())</f>
        <v>6.1</v>
      </c>
      <c r="E265" s="32" t="n">
        <f aca="false">VLOOKUP($A265,'Order Sales'!$A$2:$G$2154,E$1,FALSE())</f>
        <v>33</v>
      </c>
      <c r="F265" s="32" t="n">
        <f aca="false">VLOOKUP($A265,'Order Sales'!$A$2:$G$2154,F$1,FALSE())</f>
        <v>150.47</v>
      </c>
      <c r="G265" s="32" t="str">
        <f aca="false">VLOOKUP($A265,'Order Sales'!$A$2:$G$2154,G$1,FALSE())</f>
        <v>Small Business</v>
      </c>
    </row>
    <row r="266" customFormat="false" ht="14.25" hidden="false" customHeight="false" outlineLevel="0" collapsed="false">
      <c r="A266" s="1" t="n">
        <v>2108</v>
      </c>
      <c r="B266" s="30" t="n">
        <v>43154</v>
      </c>
      <c r="C266" s="30" t="n">
        <v>43388</v>
      </c>
      <c r="D266" s="31" t="n">
        <f aca="false">VLOOKUP(A266,'Order Shipping'!$A$2:$C$2000,3,FALSE())</f>
        <v>3.2</v>
      </c>
      <c r="E266" s="32" t="n">
        <f aca="false">VLOOKUP($A266,'Order Sales'!$A$2:$G$2154,E$1,FALSE())</f>
        <v>2</v>
      </c>
      <c r="F266" s="32" t="n">
        <f aca="false">VLOOKUP($A266,'Order Sales'!$A$2:$G$2154,F$1,FALSE())</f>
        <v>11.93</v>
      </c>
      <c r="G266" s="32" t="str">
        <f aca="false">VLOOKUP($A266,'Order Sales'!$A$2:$G$2154,G$1,FALSE())</f>
        <v>Small Business</v>
      </c>
    </row>
    <row r="267" customFormat="false" ht="14.25" hidden="false" customHeight="false" outlineLevel="0" collapsed="false">
      <c r="A267" s="1" t="n">
        <v>1677</v>
      </c>
      <c r="B267" s="30" t="n">
        <v>43156</v>
      </c>
      <c r="C267" s="30" t="n">
        <v>43389</v>
      </c>
      <c r="D267" s="31" t="n">
        <f aca="false">VLOOKUP(A267,'Order Shipping'!$A$2:$C$2000,3,FALSE())</f>
        <v>4.7</v>
      </c>
      <c r="E267" s="32" t="n">
        <f aca="false">VLOOKUP($A267,'Order Sales'!$A$2:$G$2154,E$1,FALSE())</f>
        <v>17</v>
      </c>
      <c r="F267" s="32" t="n">
        <f aca="false">VLOOKUP($A267,'Order Sales'!$A$2:$G$2154,F$1,FALSE())</f>
        <v>166.03</v>
      </c>
      <c r="G267" s="32" t="str">
        <f aca="false">VLOOKUP($A267,'Order Sales'!$A$2:$G$2154,G$1,FALSE())</f>
        <v>Home Office</v>
      </c>
    </row>
    <row r="268" customFormat="false" ht="14.25" hidden="false" customHeight="false" outlineLevel="0" collapsed="false">
      <c r="A268" s="1" t="n">
        <v>2115</v>
      </c>
      <c r="B268" s="30" t="n">
        <v>43433</v>
      </c>
      <c r="C268" s="30" t="n">
        <v>43390</v>
      </c>
      <c r="D268" s="31" t="n">
        <f aca="false">VLOOKUP(A268,'Order Shipping'!$A$2:$C$2000,3,FALSE())</f>
        <v>3.5</v>
      </c>
      <c r="E268" s="32" t="n">
        <f aca="false">VLOOKUP($A268,'Order Sales'!$A$2:$G$2154,E$1,FALSE())</f>
        <v>17</v>
      </c>
      <c r="F268" s="32" t="n">
        <f aca="false">VLOOKUP($A268,'Order Sales'!$A$2:$G$2154,F$1,FALSE())</f>
        <v>560.91</v>
      </c>
      <c r="G268" s="32" t="str">
        <f aca="false">VLOOKUP($A268,'Order Sales'!$A$2:$G$2154,G$1,FALSE())</f>
        <v>Home Office</v>
      </c>
    </row>
    <row r="269" customFormat="false" ht="14.25" hidden="false" customHeight="false" outlineLevel="0" collapsed="false">
      <c r="A269" s="1" t="n">
        <v>1064</v>
      </c>
      <c r="B269" s="30" t="n">
        <v>43267</v>
      </c>
      <c r="C269" s="30" t="n">
        <v>43391</v>
      </c>
      <c r="D269" s="31" t="n">
        <f aca="false">VLOOKUP(A269,'Order Shipping'!$A$2:$C$2000,3,FALSE())</f>
        <v>5.2</v>
      </c>
      <c r="E269" s="32" t="n">
        <f aca="false">VLOOKUP($A269,'Order Sales'!$A$2:$G$2154,E$1,FALSE())</f>
        <v>15</v>
      </c>
      <c r="F269" s="32" t="n">
        <f aca="false">VLOOKUP($A269,'Order Sales'!$A$2:$G$2154,F$1,FALSE())</f>
        <v>1388.12</v>
      </c>
      <c r="G269" s="32" t="str">
        <f aca="false">VLOOKUP($A269,'Order Sales'!$A$2:$G$2154,G$1,FALSE())</f>
        <v>Corporate</v>
      </c>
    </row>
    <row r="270" customFormat="false" ht="14.25" hidden="false" customHeight="false" outlineLevel="0" collapsed="false">
      <c r="A270" s="1" t="n">
        <v>2743</v>
      </c>
      <c r="B270" s="30" t="n">
        <v>43130</v>
      </c>
      <c r="C270" s="30" t="n">
        <v>43392</v>
      </c>
      <c r="D270" s="31" t="n">
        <f aca="false">VLOOKUP(A270,'Order Shipping'!$A$2:$C$2000,3,FALSE())</f>
        <v>3.9</v>
      </c>
      <c r="E270" s="32" t="n">
        <f aca="false">VLOOKUP($A270,'Order Sales'!$A$2:$G$2154,E$1,FALSE())</f>
        <v>30</v>
      </c>
      <c r="F270" s="32" t="n">
        <f aca="false">VLOOKUP($A270,'Order Sales'!$A$2:$G$2154,F$1,FALSE())</f>
        <v>767.41</v>
      </c>
      <c r="G270" s="32" t="str">
        <f aca="false">VLOOKUP($A270,'Order Sales'!$A$2:$G$2154,G$1,FALSE())</f>
        <v>Corporate</v>
      </c>
    </row>
    <row r="271" customFormat="false" ht="14.25" hidden="false" customHeight="false" outlineLevel="0" collapsed="false">
      <c r="A271" s="1" t="n">
        <v>2559</v>
      </c>
      <c r="B271" s="30" t="n">
        <v>43374</v>
      </c>
      <c r="C271" s="30" t="n">
        <v>43393</v>
      </c>
      <c r="D271" s="31" t="n">
        <f aca="false">VLOOKUP(A271,'Order Shipping'!$A$2:$C$2000,3,FALSE())</f>
        <v>3.7</v>
      </c>
      <c r="E271" s="32" t="n">
        <f aca="false">VLOOKUP($A271,'Order Sales'!$A$2:$G$2154,E$1,FALSE())</f>
        <v>1</v>
      </c>
      <c r="F271" s="32" t="n">
        <f aca="false">VLOOKUP($A271,'Order Sales'!$A$2:$G$2154,F$1,FALSE())</f>
        <v>75.87</v>
      </c>
      <c r="G271" s="32" t="str">
        <f aca="false">VLOOKUP($A271,'Order Sales'!$A$2:$G$2154,G$1,FALSE())</f>
        <v>Home Office</v>
      </c>
    </row>
    <row r="272" customFormat="false" ht="14.25" hidden="false" customHeight="false" outlineLevel="0" collapsed="false">
      <c r="A272" s="1" t="n">
        <v>1740</v>
      </c>
      <c r="B272" s="30" t="n">
        <v>43194</v>
      </c>
      <c r="C272" s="30" t="n">
        <v>43394</v>
      </c>
      <c r="D272" s="31" t="n">
        <f aca="false">VLOOKUP(A272,'Order Shipping'!$A$2:$C$2000,3,FALSE())</f>
        <v>0.7</v>
      </c>
      <c r="E272" s="32" t="n">
        <f aca="false">VLOOKUP($A272,'Order Sales'!$A$2:$G$2154,E$1,FALSE())</f>
        <v>35</v>
      </c>
      <c r="F272" s="32" t="n">
        <f aca="false">VLOOKUP($A272,'Order Sales'!$A$2:$G$2154,F$1,FALSE())</f>
        <v>49.69</v>
      </c>
      <c r="G272" s="32" t="str">
        <f aca="false">VLOOKUP($A272,'Order Sales'!$A$2:$G$2154,G$1,FALSE())</f>
        <v>Corporate</v>
      </c>
    </row>
    <row r="273" customFormat="false" ht="14.25" hidden="false" customHeight="false" outlineLevel="0" collapsed="false">
      <c r="A273" s="1" t="n">
        <v>1048</v>
      </c>
      <c r="B273" s="30" t="n">
        <v>43159</v>
      </c>
      <c r="C273" s="30" t="n">
        <v>43395</v>
      </c>
      <c r="D273" s="31" t="n">
        <f aca="false">VLOOKUP(A273,'Order Shipping'!$A$2:$C$2000,3,FALSE())</f>
        <v>7.9</v>
      </c>
      <c r="E273" s="32" t="n">
        <f aca="false">VLOOKUP($A273,'Order Sales'!$A$2:$G$2154,E$1,FALSE())</f>
        <v>26</v>
      </c>
      <c r="F273" s="32" t="n">
        <f aca="false">VLOOKUP($A273,'Order Sales'!$A$2:$G$2154,F$1,FALSE())</f>
        <v>417.51</v>
      </c>
      <c r="G273" s="32" t="str">
        <f aca="false">VLOOKUP($A273,'Order Sales'!$A$2:$G$2154,G$1,FALSE())</f>
        <v>Consumer</v>
      </c>
    </row>
    <row r="274" customFormat="false" ht="14.25" hidden="false" customHeight="false" outlineLevel="0" collapsed="false">
      <c r="A274" s="1" t="n">
        <v>1649</v>
      </c>
      <c r="B274" s="30" t="n">
        <v>43243</v>
      </c>
      <c r="C274" s="30" t="n">
        <v>43396</v>
      </c>
      <c r="D274" s="31" t="n">
        <f aca="false">VLOOKUP(A274,'Order Shipping'!$A$2:$C$2000,3,FALSE())</f>
        <v>4.9</v>
      </c>
      <c r="E274" s="32" t="n">
        <f aca="false">VLOOKUP($A274,'Order Sales'!$A$2:$G$2154,E$1,FALSE())</f>
        <v>42</v>
      </c>
      <c r="F274" s="32" t="n">
        <f aca="false">VLOOKUP($A274,'Order Sales'!$A$2:$G$2154,F$1,FALSE())</f>
        <v>576.79</v>
      </c>
      <c r="G274" s="32" t="str">
        <f aca="false">VLOOKUP($A274,'Order Sales'!$A$2:$G$2154,G$1,FALSE())</f>
        <v>Corporate</v>
      </c>
    </row>
    <row r="275" customFormat="false" ht="14.25" hidden="false" customHeight="false" outlineLevel="0" collapsed="false">
      <c r="A275" s="1" t="n">
        <v>1678</v>
      </c>
      <c r="B275" s="30" t="n">
        <v>43135</v>
      </c>
      <c r="C275" s="30" t="n">
        <v>43397</v>
      </c>
      <c r="D275" s="31" t="n">
        <f aca="false">VLOOKUP(A275,'Order Shipping'!$A$2:$C$2000,3,FALSE())</f>
        <v>6.4</v>
      </c>
      <c r="E275" s="32" t="n">
        <f aca="false">VLOOKUP($A275,'Order Sales'!$A$2:$G$2154,E$1,FALSE())</f>
        <v>4</v>
      </c>
      <c r="F275" s="32" t="n">
        <f aca="false">VLOOKUP($A275,'Order Sales'!$A$2:$G$2154,F$1,FALSE())</f>
        <v>87.5</v>
      </c>
      <c r="G275" s="32" t="str">
        <f aca="false">VLOOKUP($A275,'Order Sales'!$A$2:$G$2154,G$1,FALSE())</f>
        <v>Consumer</v>
      </c>
    </row>
    <row r="276" customFormat="false" ht="14.25" hidden="false" customHeight="false" outlineLevel="0" collapsed="false">
      <c r="A276" s="1" t="n">
        <v>2179</v>
      </c>
      <c r="B276" s="30" t="n">
        <v>43144</v>
      </c>
      <c r="C276" s="30" t="n">
        <v>43398</v>
      </c>
      <c r="D276" s="31" t="n">
        <f aca="false">VLOOKUP(A276,'Order Shipping'!$A$2:$C$2000,3,FALSE())</f>
        <v>73.8</v>
      </c>
      <c r="E276" s="32" t="n">
        <f aca="false">VLOOKUP($A276,'Order Sales'!$A$2:$G$2154,E$1,FALSE())</f>
        <v>18</v>
      </c>
      <c r="F276" s="32" t="n">
        <f aca="false">VLOOKUP($A276,'Order Sales'!$A$2:$G$2154,F$1,FALSE())</f>
        <v>1852.28</v>
      </c>
      <c r="G276" s="32" t="str">
        <f aca="false">VLOOKUP($A276,'Order Sales'!$A$2:$G$2154,G$1,FALSE())</f>
        <v>Consumer</v>
      </c>
    </row>
    <row r="277" customFormat="false" ht="14.25" hidden="false" customHeight="false" outlineLevel="0" collapsed="false">
      <c r="A277" s="1" t="n">
        <v>2035</v>
      </c>
      <c r="B277" s="30" t="n">
        <v>43145</v>
      </c>
      <c r="C277" s="30" t="n">
        <v>43399</v>
      </c>
      <c r="D277" s="31" t="n">
        <f aca="false">VLOOKUP(A277,'Order Shipping'!$A$2:$C$2000,3,FALSE())</f>
        <v>24.8</v>
      </c>
      <c r="E277" s="32" t="n">
        <f aca="false">VLOOKUP($A277,'Order Sales'!$A$2:$G$2154,E$1,FALSE())</f>
        <v>29</v>
      </c>
      <c r="F277" s="32" t="n">
        <f aca="false">VLOOKUP($A277,'Order Sales'!$A$2:$G$2154,F$1,FALSE())</f>
        <v>8386.06</v>
      </c>
      <c r="G277" s="32" t="str">
        <f aca="false">VLOOKUP($A277,'Order Sales'!$A$2:$G$2154,G$1,FALSE())</f>
        <v>Home Office</v>
      </c>
    </row>
    <row r="278" customFormat="false" ht="14.25" hidden="false" customHeight="false" outlineLevel="0" collapsed="false">
      <c r="A278" s="1" t="n">
        <v>2566</v>
      </c>
      <c r="B278" s="30" t="n">
        <v>43349</v>
      </c>
      <c r="C278" s="30" t="n">
        <v>43400</v>
      </c>
      <c r="D278" s="31" t="n">
        <f aca="false">VLOOKUP(A278,'Order Shipping'!$A$2:$C$2000,3,FALSE())</f>
        <v>3.5</v>
      </c>
      <c r="E278" s="32" t="n">
        <f aca="false">VLOOKUP($A278,'Order Sales'!$A$2:$G$2154,E$1,FALSE())</f>
        <v>16</v>
      </c>
      <c r="F278" s="32" t="n">
        <f aca="false">VLOOKUP($A278,'Order Sales'!$A$2:$G$2154,F$1,FALSE())</f>
        <v>813.47</v>
      </c>
      <c r="G278" s="32" t="str">
        <f aca="false">VLOOKUP($A278,'Order Sales'!$A$2:$G$2154,G$1,FALSE())</f>
        <v>Home Office</v>
      </c>
    </row>
    <row r="279" customFormat="false" ht="14.25" hidden="false" customHeight="false" outlineLevel="0" collapsed="false">
      <c r="A279" s="1" t="n">
        <v>1323</v>
      </c>
      <c r="B279" s="30" t="n">
        <v>43327</v>
      </c>
      <c r="C279" s="30" t="n">
        <v>43401</v>
      </c>
      <c r="D279" s="31" t="n">
        <f aca="false">VLOOKUP(A279,'Order Shipping'!$A$2:$C$2000,3,FALSE())</f>
        <v>57.2</v>
      </c>
      <c r="E279" s="32" t="n">
        <f aca="false">VLOOKUP($A279,'Order Sales'!$A$2:$G$2154,E$1,FALSE())</f>
        <v>32</v>
      </c>
      <c r="F279" s="32" t="n">
        <f aca="false">VLOOKUP($A279,'Order Sales'!$A$2:$G$2154,F$1,FALSE())</f>
        <v>4980.92</v>
      </c>
      <c r="G279" s="32" t="str">
        <f aca="false">VLOOKUP($A279,'Order Sales'!$A$2:$G$2154,G$1,FALSE())</f>
        <v>Corporate</v>
      </c>
    </row>
    <row r="280" customFormat="false" ht="14.25" hidden="false" customHeight="false" outlineLevel="0" collapsed="false">
      <c r="A280" s="1" t="n">
        <v>1210</v>
      </c>
      <c r="B280" s="30" t="n">
        <v>43425</v>
      </c>
      <c r="C280" s="30" t="n">
        <v>43402</v>
      </c>
      <c r="D280" s="31" t="n">
        <f aca="false">VLOOKUP(A280,'Order Shipping'!$A$2:$C$2000,3,FALSE())</f>
        <v>0.5</v>
      </c>
      <c r="E280" s="32" t="n">
        <f aca="false">VLOOKUP($A280,'Order Sales'!$A$2:$G$2154,E$1,FALSE())</f>
        <v>41</v>
      </c>
      <c r="F280" s="32" t="n">
        <f aca="false">VLOOKUP($A280,'Order Sales'!$A$2:$G$2154,F$1,FALSE())</f>
        <v>170.41</v>
      </c>
      <c r="G280" s="32" t="str">
        <f aca="false">VLOOKUP($A280,'Order Sales'!$A$2:$G$2154,G$1,FALSE())</f>
        <v>Home Office</v>
      </c>
    </row>
    <row r="281" customFormat="false" ht="14.25" hidden="false" customHeight="false" outlineLevel="0" collapsed="false">
      <c r="A281" s="1" t="n">
        <v>1296</v>
      </c>
      <c r="B281" s="30" t="n">
        <v>43382</v>
      </c>
      <c r="C281" s="30" t="n">
        <v>43403</v>
      </c>
      <c r="D281" s="31" t="n">
        <f aca="false">VLOOKUP(A281,'Order Shipping'!$A$2:$C$2000,3,FALSE())</f>
        <v>37.5</v>
      </c>
      <c r="E281" s="32" t="n">
        <f aca="false">VLOOKUP($A281,'Order Sales'!$A$2:$G$2154,E$1,FALSE())</f>
        <v>7</v>
      </c>
      <c r="F281" s="32" t="n">
        <f aca="false">VLOOKUP($A281,'Order Sales'!$A$2:$G$2154,F$1,FALSE())</f>
        <v>2182.33</v>
      </c>
      <c r="G281" s="32" t="str">
        <f aca="false">VLOOKUP($A281,'Order Sales'!$A$2:$G$2154,G$1,FALSE())</f>
        <v>Corporate</v>
      </c>
    </row>
    <row r="282" customFormat="false" ht="14.25" hidden="false" customHeight="false" outlineLevel="0" collapsed="false">
      <c r="A282" s="1" t="n">
        <v>2854</v>
      </c>
      <c r="B282" s="30" t="n">
        <v>43112</v>
      </c>
      <c r="C282" s="30" t="n">
        <v>43404</v>
      </c>
      <c r="D282" s="31" t="n">
        <f aca="false">VLOOKUP(A282,'Order Shipping'!$A$2:$C$2000,3,FALSE())</f>
        <v>10.8</v>
      </c>
      <c r="E282" s="32" t="n">
        <f aca="false">VLOOKUP($A282,'Order Sales'!$A$2:$G$2154,E$1,FALSE())</f>
        <v>28</v>
      </c>
      <c r="F282" s="32" t="n">
        <f aca="false">VLOOKUP($A282,'Order Sales'!$A$2:$G$2154,F$1,FALSE())</f>
        <v>3060.4</v>
      </c>
      <c r="G282" s="32" t="str">
        <f aca="false">VLOOKUP($A282,'Order Sales'!$A$2:$G$2154,G$1,FALSE())</f>
        <v>Corporate</v>
      </c>
    </row>
    <row r="283" customFormat="false" ht="14.25" hidden="false" customHeight="false" outlineLevel="0" collapsed="false">
      <c r="A283" s="1" t="n">
        <v>2147</v>
      </c>
      <c r="B283" s="30" t="n">
        <v>43345</v>
      </c>
      <c r="C283" s="30" t="n">
        <v>43405</v>
      </c>
      <c r="D283" s="31" t="n">
        <f aca="false">VLOOKUP(A283,'Order Shipping'!$A$2:$C$2000,3,FALSE())</f>
        <v>8.7</v>
      </c>
      <c r="E283" s="32" t="n">
        <f aca="false">VLOOKUP($A283,'Order Sales'!$A$2:$G$2154,E$1,FALSE())</f>
        <v>2</v>
      </c>
      <c r="F283" s="32" t="n">
        <f aca="false">VLOOKUP($A283,'Order Sales'!$A$2:$G$2154,F$1,FALSE())</f>
        <v>28.89</v>
      </c>
      <c r="G283" s="32" t="str">
        <f aca="false">VLOOKUP($A283,'Order Sales'!$A$2:$G$2154,G$1,FALSE())</f>
        <v>Corporate</v>
      </c>
    </row>
    <row r="284" customFormat="false" ht="14.25" hidden="false" customHeight="false" outlineLevel="0" collapsed="false">
      <c r="A284" s="1" t="n">
        <v>2294</v>
      </c>
      <c r="B284" s="30" t="n">
        <v>43282</v>
      </c>
      <c r="C284" s="30" t="n">
        <v>43406</v>
      </c>
      <c r="D284" s="31" t="n">
        <f aca="false">VLOOKUP(A284,'Order Shipping'!$A$2:$C$2000,3,FALSE())</f>
        <v>0.8</v>
      </c>
      <c r="E284" s="32" t="n">
        <f aca="false">VLOOKUP($A284,'Order Sales'!$A$2:$G$2154,E$1,FALSE())</f>
        <v>39</v>
      </c>
      <c r="F284" s="32" t="n">
        <f aca="false">VLOOKUP($A284,'Order Sales'!$A$2:$G$2154,F$1,FALSE())</f>
        <v>79.18</v>
      </c>
      <c r="G284" s="32" t="str">
        <f aca="false">VLOOKUP($A284,'Order Sales'!$A$2:$G$2154,G$1,FALSE())</f>
        <v>Small Business</v>
      </c>
    </row>
    <row r="285" customFormat="false" ht="14.25" hidden="false" customHeight="false" outlineLevel="0" collapsed="false">
      <c r="A285" s="1" t="n">
        <v>2214</v>
      </c>
      <c r="B285" s="30" t="n">
        <v>43283</v>
      </c>
      <c r="C285" s="30" t="n">
        <v>43407</v>
      </c>
      <c r="D285" s="31" t="n">
        <f aca="false">VLOOKUP(A285,'Order Shipping'!$A$2:$C$2000,3,FALSE())</f>
        <v>0.9</v>
      </c>
      <c r="E285" s="32" t="n">
        <f aca="false">VLOOKUP($A285,'Order Sales'!$A$2:$G$2154,E$1,FALSE())</f>
        <v>39</v>
      </c>
      <c r="F285" s="32" t="n">
        <f aca="false">VLOOKUP($A285,'Order Sales'!$A$2:$G$2154,F$1,FALSE())</f>
        <v>121.01</v>
      </c>
      <c r="G285" s="32" t="str">
        <f aca="false">VLOOKUP($A285,'Order Sales'!$A$2:$G$2154,G$1,FALSE())</f>
        <v>Small Business</v>
      </c>
    </row>
    <row r="286" customFormat="false" ht="14.25" hidden="false" customHeight="false" outlineLevel="0" collapsed="false">
      <c r="A286" s="1" t="n">
        <v>1271</v>
      </c>
      <c r="B286" s="30" t="n">
        <v>43180</v>
      </c>
      <c r="C286" s="30" t="n">
        <v>43408</v>
      </c>
      <c r="D286" s="31" t="n">
        <f aca="false">VLOOKUP(A286,'Order Shipping'!$A$2:$C$2000,3,FALSE())</f>
        <v>9.9</v>
      </c>
      <c r="E286" s="32" t="n">
        <f aca="false">VLOOKUP($A286,'Order Sales'!$A$2:$G$2154,E$1,FALSE())</f>
        <v>37</v>
      </c>
      <c r="F286" s="32" t="n">
        <f aca="false">VLOOKUP($A286,'Order Sales'!$A$2:$G$2154,F$1,FALSE())</f>
        <v>329.8</v>
      </c>
      <c r="G286" s="32" t="str">
        <f aca="false">VLOOKUP($A286,'Order Sales'!$A$2:$G$2154,G$1,FALSE())</f>
        <v>Consumer</v>
      </c>
    </row>
    <row r="287" customFormat="false" ht="14.25" hidden="false" customHeight="false" outlineLevel="0" collapsed="false">
      <c r="A287" s="1" t="n">
        <v>1757</v>
      </c>
      <c r="B287" s="30" t="n">
        <v>43273</v>
      </c>
      <c r="C287" s="30" t="n">
        <v>43409</v>
      </c>
      <c r="D287" s="31" t="n">
        <f aca="false">VLOOKUP(A287,'Order Shipping'!$A$2:$C$2000,3,FALSE())</f>
        <v>7.7</v>
      </c>
      <c r="E287" s="32" t="n">
        <f aca="false">VLOOKUP($A287,'Order Sales'!$A$2:$G$2154,E$1,FALSE())</f>
        <v>22</v>
      </c>
      <c r="F287" s="32" t="n">
        <f aca="false">VLOOKUP($A287,'Order Sales'!$A$2:$G$2154,F$1,FALSE())</f>
        <v>1801.42</v>
      </c>
      <c r="G287" s="32" t="str">
        <f aca="false">VLOOKUP($A287,'Order Sales'!$A$2:$G$2154,G$1,FALSE())</f>
        <v>Home Office</v>
      </c>
    </row>
    <row r="288" customFormat="false" ht="14.25" hidden="false" customHeight="false" outlineLevel="0" collapsed="false">
      <c r="A288" s="1" t="n">
        <v>2720</v>
      </c>
      <c r="B288" s="30" t="n">
        <v>43346</v>
      </c>
      <c r="C288" s="30" t="n">
        <v>43410</v>
      </c>
      <c r="D288" s="31" t="n">
        <f aca="false">VLOOKUP(A288,'Order Shipping'!$A$2:$C$2000,3,FALSE())</f>
        <v>6.9</v>
      </c>
      <c r="E288" s="32" t="n">
        <f aca="false">VLOOKUP($A288,'Order Sales'!$A$2:$G$2154,E$1,FALSE())</f>
        <v>16</v>
      </c>
      <c r="F288" s="32" t="n">
        <f aca="false">VLOOKUP($A288,'Order Sales'!$A$2:$G$2154,F$1,FALSE())</f>
        <v>210.77</v>
      </c>
      <c r="G288" s="32" t="str">
        <f aca="false">VLOOKUP($A288,'Order Sales'!$A$2:$G$2154,G$1,FALSE())</f>
        <v>Consumer</v>
      </c>
    </row>
    <row r="289" customFormat="false" ht="14.25" hidden="false" customHeight="false" outlineLevel="0" collapsed="false">
      <c r="A289" s="1" t="n">
        <v>2636</v>
      </c>
      <c r="B289" s="30" t="n">
        <v>43118</v>
      </c>
      <c r="C289" s="30" t="n">
        <v>43411</v>
      </c>
      <c r="D289" s="31" t="n">
        <f aca="false">VLOOKUP(A289,'Order Shipping'!$A$2:$C$2000,3,FALSE())</f>
        <v>62.8</v>
      </c>
      <c r="E289" s="32" t="n">
        <f aca="false">VLOOKUP($A289,'Order Sales'!$A$2:$G$2154,E$1,FALSE())</f>
        <v>15</v>
      </c>
      <c r="F289" s="32" t="n">
        <f aca="false">VLOOKUP($A289,'Order Sales'!$A$2:$G$2154,F$1,FALSE())</f>
        <v>1921.17</v>
      </c>
      <c r="G289" s="32" t="str">
        <f aca="false">VLOOKUP($A289,'Order Sales'!$A$2:$G$2154,G$1,FALSE())</f>
        <v>Consumer</v>
      </c>
    </row>
    <row r="290" customFormat="false" ht="14.25" hidden="false" customHeight="false" outlineLevel="0" collapsed="false">
      <c r="A290" s="1" t="n">
        <v>1185</v>
      </c>
      <c r="B290" s="30" t="n">
        <v>43222</v>
      </c>
      <c r="C290" s="30" t="n">
        <v>43412</v>
      </c>
      <c r="D290" s="31" t="n">
        <f aca="false">VLOOKUP(A290,'Order Shipping'!$A$2:$C$2000,3,FALSE())</f>
        <v>4.1</v>
      </c>
      <c r="E290" s="32" t="n">
        <f aca="false">VLOOKUP($A290,'Order Sales'!$A$2:$G$2154,E$1,FALSE())</f>
        <v>31</v>
      </c>
      <c r="F290" s="32" t="n">
        <f aca="false">VLOOKUP($A290,'Order Sales'!$A$2:$G$2154,F$1,FALSE())</f>
        <v>188.23</v>
      </c>
      <c r="G290" s="32" t="str">
        <f aca="false">VLOOKUP($A290,'Order Sales'!$A$2:$G$2154,G$1,FALSE())</f>
        <v>Consumer</v>
      </c>
    </row>
    <row r="291" customFormat="false" ht="14.25" hidden="false" customHeight="false" outlineLevel="0" collapsed="false">
      <c r="A291" s="1" t="n">
        <v>1173</v>
      </c>
      <c r="B291" s="30" t="n">
        <v>43404</v>
      </c>
      <c r="C291" s="30" t="n">
        <v>43413</v>
      </c>
      <c r="D291" s="31" t="n">
        <f aca="false">VLOOKUP(A291,'Order Shipping'!$A$2:$C$2000,3,FALSE())</f>
        <v>32.1</v>
      </c>
      <c r="E291" s="32" t="n">
        <f aca="false">VLOOKUP($A291,'Order Sales'!$A$2:$G$2154,E$1,FALSE())</f>
        <v>36</v>
      </c>
      <c r="F291" s="32" t="n">
        <f aca="false">VLOOKUP($A291,'Order Sales'!$A$2:$G$2154,F$1,FALSE())</f>
        <v>5065.06</v>
      </c>
      <c r="G291" s="32" t="str">
        <f aca="false">VLOOKUP($A291,'Order Sales'!$A$2:$G$2154,G$1,FALSE())</f>
        <v>Consumer</v>
      </c>
    </row>
    <row r="292" customFormat="false" ht="14.25" hidden="false" customHeight="false" outlineLevel="0" collapsed="false">
      <c r="A292" s="1" t="n">
        <v>2769</v>
      </c>
      <c r="B292" s="30" t="n">
        <v>43411</v>
      </c>
      <c r="C292" s="30" t="n">
        <v>43414</v>
      </c>
      <c r="D292" s="31" t="n">
        <f aca="false">VLOOKUP(A292,'Order Shipping'!$A$2:$C$2000,3,FALSE())</f>
        <v>8.7</v>
      </c>
      <c r="E292" s="32" t="n">
        <f aca="false">VLOOKUP($A292,'Order Sales'!$A$2:$G$2154,E$1,FALSE())</f>
        <v>39</v>
      </c>
      <c r="F292" s="32" t="n">
        <f aca="false">VLOOKUP($A292,'Order Sales'!$A$2:$G$2154,F$1,FALSE())</f>
        <v>240.93</v>
      </c>
      <c r="G292" s="32" t="str">
        <f aca="false">VLOOKUP($A292,'Order Sales'!$A$2:$G$2154,G$1,FALSE())</f>
        <v>Corporate</v>
      </c>
    </row>
    <row r="293" customFormat="false" ht="14.25" hidden="false" customHeight="false" outlineLevel="0" collapsed="false">
      <c r="A293" s="1" t="n">
        <v>1335</v>
      </c>
      <c r="B293" s="30" t="n">
        <v>43143</v>
      </c>
      <c r="C293" s="30" t="n">
        <v>43415</v>
      </c>
      <c r="D293" s="31" t="n">
        <f aca="false">VLOOKUP(A293,'Order Shipping'!$A$2:$C$2000,3,FALSE())</f>
        <v>61.4</v>
      </c>
      <c r="E293" s="32" t="n">
        <f aca="false">VLOOKUP($A293,'Order Sales'!$A$2:$G$2154,E$1,FALSE())</f>
        <v>27</v>
      </c>
      <c r="F293" s="32" t="n">
        <f aca="false">VLOOKUP($A293,'Order Sales'!$A$2:$G$2154,F$1,FALSE())</f>
        <v>2831.09</v>
      </c>
      <c r="G293" s="32" t="str">
        <f aca="false">VLOOKUP($A293,'Order Sales'!$A$2:$G$2154,G$1,FALSE())</f>
        <v>Corporate</v>
      </c>
    </row>
    <row r="294" customFormat="false" ht="14.25" hidden="false" customHeight="false" outlineLevel="0" collapsed="false">
      <c r="A294" s="1" t="n">
        <v>2712</v>
      </c>
      <c r="B294" s="30" t="n">
        <v>43414</v>
      </c>
      <c r="C294" s="30" t="n">
        <v>43416</v>
      </c>
      <c r="D294" s="31" t="n">
        <f aca="false">VLOOKUP(A294,'Order Shipping'!$A$2:$C$2000,3,FALSE())</f>
        <v>6.2</v>
      </c>
      <c r="E294" s="32" t="n">
        <f aca="false">VLOOKUP($A294,'Order Sales'!$A$2:$G$2154,E$1,FALSE())</f>
        <v>13</v>
      </c>
      <c r="F294" s="32" t="n">
        <f aca="false">VLOOKUP($A294,'Order Sales'!$A$2:$G$2154,F$1,FALSE())</f>
        <v>691.81</v>
      </c>
      <c r="G294" s="32" t="str">
        <f aca="false">VLOOKUP($A294,'Order Sales'!$A$2:$G$2154,G$1,FALSE())</f>
        <v>Consumer</v>
      </c>
    </row>
    <row r="295" customFormat="false" ht="14.25" hidden="false" customHeight="false" outlineLevel="0" collapsed="false">
      <c r="A295" s="1" t="n">
        <v>2623</v>
      </c>
      <c r="B295" s="30" t="n">
        <v>43265</v>
      </c>
      <c r="C295" s="30" t="n">
        <v>43417</v>
      </c>
      <c r="D295" s="31" t="n">
        <f aca="false">VLOOKUP(A295,'Order Shipping'!$A$2:$C$2000,3,FALSE())</f>
        <v>0.9</v>
      </c>
      <c r="E295" s="32" t="n">
        <f aca="false">VLOOKUP($A295,'Order Sales'!$A$2:$G$2154,E$1,FALSE())</f>
        <v>35</v>
      </c>
      <c r="F295" s="32" t="n">
        <f aca="false">VLOOKUP($A295,'Order Sales'!$A$2:$G$2154,F$1,FALSE())</f>
        <v>106.07</v>
      </c>
      <c r="G295" s="32" t="str">
        <f aca="false">VLOOKUP($A295,'Order Sales'!$A$2:$G$2154,G$1,FALSE())</f>
        <v>Corporate</v>
      </c>
    </row>
    <row r="296" customFormat="false" ht="14.25" hidden="false" customHeight="false" outlineLevel="0" collapsed="false">
      <c r="A296" s="1" t="n">
        <v>1101</v>
      </c>
      <c r="B296" s="30" t="n">
        <v>43350</v>
      </c>
      <c r="C296" s="30" t="n">
        <v>43418</v>
      </c>
      <c r="D296" s="31" t="n">
        <f aca="false">VLOOKUP(A296,'Order Shipping'!$A$2:$C$2000,3,FALSE())</f>
        <v>7</v>
      </c>
      <c r="E296" s="32" t="n">
        <f aca="false">VLOOKUP($A296,'Order Sales'!$A$2:$G$2154,E$1,FALSE())</f>
        <v>17</v>
      </c>
      <c r="F296" s="32" t="n">
        <f aca="false">VLOOKUP($A296,'Order Sales'!$A$2:$G$2154,F$1,FALSE())</f>
        <v>382.45</v>
      </c>
      <c r="G296" s="32" t="str">
        <f aca="false">VLOOKUP($A296,'Order Sales'!$A$2:$G$2154,G$1,FALSE())</f>
        <v>Home Office</v>
      </c>
    </row>
    <row r="297" customFormat="false" ht="14.25" hidden="false" customHeight="false" outlineLevel="0" collapsed="false">
      <c r="A297" s="1" t="n">
        <v>1447</v>
      </c>
      <c r="B297" s="30" t="n">
        <v>43207</v>
      </c>
      <c r="C297" s="30" t="n">
        <v>43419</v>
      </c>
      <c r="D297" s="31" t="n">
        <f aca="false">VLOOKUP(A297,'Order Shipping'!$A$2:$C$2000,3,FALSE())</f>
        <v>5.7</v>
      </c>
      <c r="E297" s="32" t="n">
        <f aca="false">VLOOKUP($A297,'Order Sales'!$A$2:$G$2154,E$1,FALSE())</f>
        <v>27</v>
      </c>
      <c r="F297" s="32" t="n">
        <f aca="false">VLOOKUP($A297,'Order Sales'!$A$2:$G$2154,F$1,FALSE())</f>
        <v>161.98</v>
      </c>
      <c r="G297" s="32" t="str">
        <f aca="false">VLOOKUP($A297,'Order Sales'!$A$2:$G$2154,G$1,FALSE())</f>
        <v>Consumer</v>
      </c>
    </row>
    <row r="298" customFormat="false" ht="14.25" hidden="false" customHeight="false" outlineLevel="0" collapsed="false">
      <c r="A298" s="1" t="n">
        <v>2778</v>
      </c>
      <c r="B298" s="30" t="n">
        <v>43432</v>
      </c>
      <c r="C298" s="30" t="n">
        <v>43420</v>
      </c>
      <c r="D298" s="31" t="n">
        <f aca="false">VLOOKUP(A298,'Order Shipping'!$A$2:$C$2000,3,FALSE())</f>
        <v>4.3</v>
      </c>
      <c r="E298" s="32" t="n">
        <f aca="false">VLOOKUP($A298,'Order Sales'!$A$2:$G$2154,E$1,FALSE())</f>
        <v>25</v>
      </c>
      <c r="F298" s="32" t="n">
        <f aca="false">VLOOKUP($A298,'Order Sales'!$A$2:$G$2154,F$1,FALSE())</f>
        <v>714.37</v>
      </c>
      <c r="G298" s="32" t="str">
        <f aca="false">VLOOKUP($A298,'Order Sales'!$A$2:$G$2154,G$1,FALSE())</f>
        <v>Small Business</v>
      </c>
    </row>
    <row r="299" customFormat="false" ht="14.25" hidden="false" customHeight="false" outlineLevel="0" collapsed="false">
      <c r="A299" s="1" t="n">
        <v>2345</v>
      </c>
      <c r="B299" s="30" t="n">
        <v>43440</v>
      </c>
      <c r="C299" s="30" t="n">
        <v>43421</v>
      </c>
      <c r="D299" s="31" t="n">
        <f aca="false">VLOOKUP(A299,'Order Shipping'!$A$2:$C$2000,3,FALSE())</f>
        <v>7.4</v>
      </c>
      <c r="E299" s="32" t="n">
        <f aca="false">VLOOKUP($A299,'Order Sales'!$A$2:$G$2154,E$1,FALSE())</f>
        <v>50</v>
      </c>
      <c r="F299" s="32" t="n">
        <f aca="false">VLOOKUP($A299,'Order Sales'!$A$2:$G$2154,F$1,FALSE())</f>
        <v>1358.93</v>
      </c>
      <c r="G299" s="32" t="str">
        <f aca="false">VLOOKUP($A299,'Order Sales'!$A$2:$G$2154,G$1,FALSE())</f>
        <v>Home Office</v>
      </c>
    </row>
    <row r="300" customFormat="false" ht="14.25" hidden="false" customHeight="false" outlineLevel="0" collapsed="false">
      <c r="A300" s="1" t="n">
        <v>2007</v>
      </c>
      <c r="B300" s="30" t="n">
        <v>43337</v>
      </c>
      <c r="C300" s="30" t="n">
        <v>43422</v>
      </c>
      <c r="D300" s="31" t="n">
        <f aca="false">VLOOKUP(A300,'Order Shipping'!$A$2:$C$2000,3,FALSE())</f>
        <v>1.2</v>
      </c>
      <c r="E300" s="32" t="n">
        <f aca="false">VLOOKUP($A300,'Order Sales'!$A$2:$G$2154,E$1,FALSE())</f>
        <v>44</v>
      </c>
      <c r="F300" s="32" t="n">
        <f aca="false">VLOOKUP($A300,'Order Sales'!$A$2:$G$2154,F$1,FALSE())</f>
        <v>1555.46</v>
      </c>
      <c r="G300" s="32" t="str">
        <f aca="false">VLOOKUP($A300,'Order Sales'!$A$2:$G$2154,G$1,FALSE())</f>
        <v>Corporate</v>
      </c>
    </row>
    <row r="301" customFormat="false" ht="14.25" hidden="false" customHeight="false" outlineLevel="0" collapsed="false">
      <c r="A301" s="1" t="n">
        <v>1430</v>
      </c>
      <c r="B301" s="30" t="n">
        <v>43457</v>
      </c>
      <c r="C301" s="30" t="n">
        <v>43423</v>
      </c>
      <c r="D301" s="31" t="n">
        <f aca="false">VLOOKUP(A301,'Order Shipping'!$A$2:$C$2000,3,FALSE())</f>
        <v>15.8</v>
      </c>
      <c r="E301" s="32" t="n">
        <f aca="false">VLOOKUP($A301,'Order Sales'!$A$2:$G$2154,E$1,FALSE())</f>
        <v>20</v>
      </c>
      <c r="F301" s="32" t="n">
        <f aca="false">VLOOKUP($A301,'Order Sales'!$A$2:$G$2154,F$1,FALSE())</f>
        <v>814.52</v>
      </c>
      <c r="G301" s="32" t="str">
        <f aca="false">VLOOKUP($A301,'Order Sales'!$A$2:$G$2154,G$1,FALSE())</f>
        <v>Small Business</v>
      </c>
    </row>
    <row r="302" customFormat="false" ht="14.25" hidden="false" customHeight="false" outlineLevel="0" collapsed="false">
      <c r="A302" s="1" t="n">
        <v>1634</v>
      </c>
      <c r="B302" s="30" t="n">
        <v>43223</v>
      </c>
      <c r="C302" s="30" t="n">
        <v>43424</v>
      </c>
      <c r="D302" s="31" t="n">
        <f aca="false">VLOOKUP(A302,'Order Shipping'!$A$2:$C$2000,3,FALSE())</f>
        <v>7.2</v>
      </c>
      <c r="E302" s="32" t="n">
        <f aca="false">VLOOKUP($A302,'Order Sales'!$A$2:$G$2154,E$1,FALSE())</f>
        <v>25</v>
      </c>
      <c r="F302" s="32" t="n">
        <f aca="false">VLOOKUP($A302,'Order Sales'!$A$2:$G$2154,F$1,FALSE())</f>
        <v>402.04</v>
      </c>
      <c r="G302" s="32" t="str">
        <f aca="false">VLOOKUP($A302,'Order Sales'!$A$2:$G$2154,G$1,FALSE())</f>
        <v>Consumer</v>
      </c>
    </row>
    <row r="303" customFormat="false" ht="14.25" hidden="false" customHeight="false" outlineLevel="0" collapsed="false">
      <c r="A303" s="1" t="n">
        <v>2143</v>
      </c>
      <c r="B303" s="30" t="n">
        <v>43400</v>
      </c>
      <c r="C303" s="30" t="n">
        <v>43425</v>
      </c>
      <c r="D303" s="31" t="n">
        <f aca="false">VLOOKUP(A303,'Order Shipping'!$A$2:$C$2000,3,FALSE())</f>
        <v>9.6</v>
      </c>
      <c r="E303" s="32" t="n">
        <f aca="false">VLOOKUP($A303,'Order Sales'!$A$2:$G$2154,E$1,FALSE())</f>
        <v>35</v>
      </c>
      <c r="F303" s="32" t="n">
        <f aca="false">VLOOKUP($A303,'Order Sales'!$A$2:$G$2154,F$1,FALSE())</f>
        <v>817.82</v>
      </c>
      <c r="G303" s="32" t="str">
        <f aca="false">VLOOKUP($A303,'Order Sales'!$A$2:$G$2154,G$1,FALSE())</f>
        <v>Corporate</v>
      </c>
    </row>
    <row r="304" customFormat="false" ht="14.25" hidden="false" customHeight="false" outlineLevel="0" collapsed="false">
      <c r="A304" s="1" t="n">
        <v>2436</v>
      </c>
      <c r="B304" s="30" t="n">
        <v>43235</v>
      </c>
      <c r="C304" s="30" t="n">
        <v>43426</v>
      </c>
      <c r="D304" s="31" t="n">
        <f aca="false">VLOOKUP(A304,'Order Shipping'!$A$2:$C$2000,3,FALSE())</f>
        <v>21.3</v>
      </c>
      <c r="E304" s="32" t="n">
        <f aca="false">VLOOKUP($A304,'Order Sales'!$A$2:$G$2154,E$1,FALSE())</f>
        <v>17</v>
      </c>
      <c r="F304" s="32" t="n">
        <f aca="false">VLOOKUP($A304,'Order Sales'!$A$2:$G$2154,F$1,FALSE())</f>
        <v>1463.91</v>
      </c>
      <c r="G304" s="32" t="str">
        <f aca="false">VLOOKUP($A304,'Order Sales'!$A$2:$G$2154,G$1,FALSE())</f>
        <v>Home Office</v>
      </c>
    </row>
    <row r="305" customFormat="false" ht="14.25" hidden="false" customHeight="false" outlineLevel="0" collapsed="false">
      <c r="A305" s="1" t="n">
        <v>1203</v>
      </c>
      <c r="B305" s="30" t="n">
        <v>43342</v>
      </c>
      <c r="C305" s="30" t="n">
        <v>43427</v>
      </c>
      <c r="D305" s="31" t="n">
        <f aca="false">VLOOKUP(A305,'Order Shipping'!$A$2:$C$2000,3,FALSE())</f>
        <v>40.2</v>
      </c>
      <c r="E305" s="32" t="n">
        <f aca="false">VLOOKUP($A305,'Order Sales'!$A$2:$G$2154,E$1,FALSE())</f>
        <v>48</v>
      </c>
      <c r="F305" s="32" t="n">
        <f aca="false">VLOOKUP($A305,'Order Sales'!$A$2:$G$2154,F$1,FALSE())</f>
        <v>3635.56</v>
      </c>
      <c r="G305" s="32" t="str">
        <f aca="false">VLOOKUP($A305,'Order Sales'!$A$2:$G$2154,G$1,FALSE())</f>
        <v>Corporate</v>
      </c>
    </row>
    <row r="306" customFormat="false" ht="14.25" hidden="false" customHeight="false" outlineLevel="0" collapsed="false">
      <c r="A306" s="1" t="n">
        <v>2729</v>
      </c>
      <c r="B306" s="30" t="n">
        <v>43404</v>
      </c>
      <c r="C306" s="30" t="n">
        <v>43428</v>
      </c>
      <c r="D306" s="31" t="n">
        <f aca="false">VLOOKUP(A306,'Order Shipping'!$A$2:$C$2000,3,FALSE())</f>
        <v>1.4</v>
      </c>
      <c r="E306" s="32" t="n">
        <f aca="false">VLOOKUP($A306,'Order Sales'!$A$2:$G$2154,E$1,FALSE())</f>
        <v>47</v>
      </c>
      <c r="F306" s="32" t="n">
        <f aca="false">VLOOKUP($A306,'Order Sales'!$A$2:$G$2154,F$1,FALSE())</f>
        <v>166.09</v>
      </c>
      <c r="G306" s="32" t="str">
        <f aca="false">VLOOKUP($A306,'Order Sales'!$A$2:$G$2154,G$1,FALSE())</f>
        <v>Home Office</v>
      </c>
    </row>
    <row r="307" customFormat="false" ht="14.25" hidden="false" customHeight="false" outlineLevel="0" collapsed="false">
      <c r="A307" s="1" t="n">
        <v>2306</v>
      </c>
      <c r="B307" s="30" t="n">
        <v>43211</v>
      </c>
      <c r="C307" s="30" t="n">
        <v>43429</v>
      </c>
      <c r="D307" s="31" t="n">
        <f aca="false">VLOOKUP(A307,'Order Shipping'!$A$2:$C$2000,3,FALSE())</f>
        <v>6.5</v>
      </c>
      <c r="E307" s="32" t="n">
        <f aca="false">VLOOKUP($A307,'Order Sales'!$A$2:$G$2154,E$1,FALSE())</f>
        <v>44</v>
      </c>
      <c r="F307" s="32" t="n">
        <f aca="false">VLOOKUP($A307,'Order Sales'!$A$2:$G$2154,F$1,FALSE())</f>
        <v>346.89</v>
      </c>
      <c r="G307" s="32" t="str">
        <f aca="false">VLOOKUP($A307,'Order Sales'!$A$2:$G$2154,G$1,FALSE())</f>
        <v>Corporate</v>
      </c>
    </row>
    <row r="308" customFormat="false" ht="14.25" hidden="false" customHeight="false" outlineLevel="0" collapsed="false">
      <c r="A308" s="1" t="n">
        <v>1663</v>
      </c>
      <c r="B308" s="30" t="n">
        <v>43429</v>
      </c>
      <c r="C308" s="30" t="n">
        <v>43430</v>
      </c>
      <c r="D308" s="31" t="n">
        <f aca="false">VLOOKUP(A308,'Order Shipping'!$A$2:$C$2000,3,FALSE())</f>
        <v>15.7</v>
      </c>
      <c r="E308" s="32" t="n">
        <f aca="false">VLOOKUP($A308,'Order Sales'!$A$2:$G$2154,E$1,FALSE())</f>
        <v>13</v>
      </c>
      <c r="F308" s="32" t="n">
        <f aca="false">VLOOKUP($A308,'Order Sales'!$A$2:$G$2154,F$1,FALSE())</f>
        <v>4701.31</v>
      </c>
      <c r="G308" s="32" t="str">
        <f aca="false">VLOOKUP($A308,'Order Sales'!$A$2:$G$2154,G$1,FALSE())</f>
        <v>Small Business</v>
      </c>
    </row>
    <row r="309" customFormat="false" ht="14.25" hidden="false" customHeight="false" outlineLevel="0" collapsed="false">
      <c r="A309" s="1" t="n">
        <v>2699</v>
      </c>
      <c r="B309" s="30" t="n">
        <v>43403</v>
      </c>
      <c r="C309" s="30" t="n">
        <v>43431</v>
      </c>
      <c r="D309" s="31" t="n">
        <f aca="false">VLOOKUP(A309,'Order Shipping'!$A$2:$C$2000,3,FALSE())</f>
        <v>6.2</v>
      </c>
      <c r="E309" s="32" t="n">
        <f aca="false">VLOOKUP($A309,'Order Sales'!$A$2:$G$2154,E$1,FALSE())</f>
        <v>36</v>
      </c>
      <c r="F309" s="32" t="n">
        <f aca="false">VLOOKUP($A309,'Order Sales'!$A$2:$G$2154,F$1,FALSE())</f>
        <v>1871.5</v>
      </c>
      <c r="G309" s="32" t="str">
        <f aca="false">VLOOKUP($A309,'Order Sales'!$A$2:$G$2154,G$1,FALSE())</f>
        <v>Corporate</v>
      </c>
    </row>
    <row r="310" customFormat="false" ht="14.25" hidden="false" customHeight="false" outlineLevel="0" collapsed="false">
      <c r="A310" s="1" t="n">
        <v>2167</v>
      </c>
      <c r="B310" s="30" t="n">
        <v>43379</v>
      </c>
      <c r="C310" s="30" t="n">
        <v>43432</v>
      </c>
      <c r="D310" s="31" t="n">
        <f aca="false">VLOOKUP(A310,'Order Shipping'!$A$2:$C$2000,3,FALSE())</f>
        <v>1</v>
      </c>
      <c r="E310" s="32" t="n">
        <f aca="false">VLOOKUP($A310,'Order Sales'!$A$2:$G$2154,E$1,FALSE())</f>
        <v>29</v>
      </c>
      <c r="F310" s="32" t="n">
        <f aca="false">VLOOKUP($A310,'Order Sales'!$A$2:$G$2154,F$1,FALSE())</f>
        <v>86.78</v>
      </c>
      <c r="G310" s="32" t="str">
        <f aca="false">VLOOKUP($A310,'Order Sales'!$A$2:$G$2154,G$1,FALSE())</f>
        <v>Home Office</v>
      </c>
    </row>
    <row r="311" customFormat="false" ht="14.25" hidden="false" customHeight="false" outlineLevel="0" collapsed="false">
      <c r="A311" s="1" t="n">
        <v>2917</v>
      </c>
      <c r="B311" s="30" t="n">
        <v>43244</v>
      </c>
      <c r="C311" s="30" t="n">
        <v>43433</v>
      </c>
      <c r="D311" s="31" t="n">
        <f aca="false">VLOOKUP(A311,'Order Shipping'!$A$2:$C$2000,3,FALSE())</f>
        <v>9.4</v>
      </c>
      <c r="E311" s="32" t="n">
        <f aca="false">VLOOKUP($A311,'Order Sales'!$A$2:$G$2154,E$1,FALSE())</f>
        <v>50</v>
      </c>
      <c r="F311" s="32" t="n">
        <f aca="false">VLOOKUP($A311,'Order Sales'!$A$2:$G$2154,F$1,FALSE())</f>
        <v>5213.75</v>
      </c>
      <c r="G311" s="32" t="str">
        <f aca="false">VLOOKUP($A311,'Order Sales'!$A$2:$G$2154,G$1,FALSE())</f>
        <v>Small Business</v>
      </c>
    </row>
    <row r="312" customFormat="false" ht="14.25" hidden="false" customHeight="false" outlineLevel="0" collapsed="false">
      <c r="A312" s="1" t="n">
        <v>2763</v>
      </c>
      <c r="B312" s="30" t="n">
        <v>43239</v>
      </c>
      <c r="C312" s="30" t="n">
        <v>43434</v>
      </c>
      <c r="D312" s="31" t="n">
        <f aca="false">VLOOKUP(A312,'Order Shipping'!$A$2:$C$2000,3,FALSE())</f>
        <v>5.8</v>
      </c>
      <c r="E312" s="32" t="n">
        <f aca="false">VLOOKUP($A312,'Order Sales'!$A$2:$G$2154,E$1,FALSE())</f>
        <v>16</v>
      </c>
      <c r="F312" s="32" t="n">
        <f aca="false">VLOOKUP($A312,'Order Sales'!$A$2:$G$2154,F$1,FALSE())</f>
        <v>108.22</v>
      </c>
      <c r="G312" s="32" t="str">
        <f aca="false">VLOOKUP($A312,'Order Sales'!$A$2:$G$2154,G$1,FALSE())</f>
        <v>Home Office</v>
      </c>
    </row>
    <row r="313" customFormat="false" ht="14.25" hidden="false" customHeight="false" outlineLevel="0" collapsed="false">
      <c r="A313" s="1" t="n">
        <v>2977</v>
      </c>
      <c r="B313" s="30" t="n">
        <v>43143</v>
      </c>
      <c r="C313" s="30" t="n">
        <v>43435</v>
      </c>
      <c r="D313" s="31" t="n">
        <f aca="false">VLOOKUP(A313,'Order Shipping'!$A$2:$C$2000,3,FALSE())</f>
        <v>1.6</v>
      </c>
      <c r="E313" s="32" t="n">
        <f aca="false">VLOOKUP($A313,'Order Sales'!$A$2:$G$2154,E$1,FALSE())</f>
        <v>30</v>
      </c>
      <c r="F313" s="32" t="n">
        <f aca="false">VLOOKUP($A313,'Order Sales'!$A$2:$G$2154,F$1,FALSE())</f>
        <v>150.06</v>
      </c>
      <c r="G313" s="32" t="str">
        <f aca="false">VLOOKUP($A313,'Order Sales'!$A$2:$G$2154,G$1,FALSE())</f>
        <v>Small Business</v>
      </c>
    </row>
    <row r="314" customFormat="false" ht="14.25" hidden="false" customHeight="false" outlineLevel="0" collapsed="false">
      <c r="A314" s="1" t="n">
        <v>1196</v>
      </c>
      <c r="B314" s="30" t="n">
        <v>43364</v>
      </c>
      <c r="C314" s="30" t="n">
        <v>43436</v>
      </c>
      <c r="D314" s="31" t="n">
        <f aca="false">VLOOKUP(A314,'Order Shipping'!$A$2:$C$2000,3,FALSE())</f>
        <v>21.4</v>
      </c>
      <c r="E314" s="32" t="n">
        <f aca="false">VLOOKUP($A314,'Order Sales'!$A$2:$G$2154,E$1,FALSE())</f>
        <v>48</v>
      </c>
      <c r="F314" s="32" t="n">
        <f aca="false">VLOOKUP($A314,'Order Sales'!$A$2:$G$2154,F$1,FALSE())</f>
        <v>1856.15</v>
      </c>
      <c r="G314" s="32" t="str">
        <f aca="false">VLOOKUP($A314,'Order Sales'!$A$2:$G$2154,G$1,FALSE())</f>
        <v>Corporate</v>
      </c>
    </row>
    <row r="315" customFormat="false" ht="14.25" hidden="false" customHeight="false" outlineLevel="0" collapsed="false">
      <c r="A315" s="1" t="n">
        <v>2748</v>
      </c>
      <c r="B315" s="30" t="n">
        <v>43165</v>
      </c>
      <c r="C315" s="30" t="n">
        <v>43437</v>
      </c>
      <c r="D315" s="31" t="n">
        <f aca="false">VLOOKUP(A315,'Order Shipping'!$A$2:$C$2000,3,FALSE())</f>
        <v>31.1</v>
      </c>
      <c r="E315" s="32" t="n">
        <f aca="false">VLOOKUP($A315,'Order Sales'!$A$2:$G$2154,E$1,FALSE())</f>
        <v>38</v>
      </c>
      <c r="F315" s="32" t="n">
        <f aca="false">VLOOKUP($A315,'Order Sales'!$A$2:$G$2154,F$1,FALSE())</f>
        <v>6666.83</v>
      </c>
      <c r="G315" s="32" t="str">
        <f aca="false">VLOOKUP($A315,'Order Sales'!$A$2:$G$2154,G$1,FALSE())</f>
        <v>Consumer</v>
      </c>
    </row>
    <row r="316" customFormat="false" ht="14.25" hidden="false" customHeight="false" outlineLevel="0" collapsed="false">
      <c r="A316" s="1" t="n">
        <v>1505</v>
      </c>
      <c r="B316" s="30" t="n">
        <v>43366</v>
      </c>
      <c r="C316" s="30" t="n">
        <v>43438</v>
      </c>
      <c r="D316" s="31" t="n">
        <f aca="false">VLOOKUP(A316,'Order Shipping'!$A$2:$C$2000,3,FALSE())</f>
        <v>1.7</v>
      </c>
      <c r="E316" s="32" t="n">
        <f aca="false">VLOOKUP($A316,'Order Sales'!$A$2:$G$2154,E$1,FALSE())</f>
        <v>18</v>
      </c>
      <c r="F316" s="32" t="n">
        <f aca="false">VLOOKUP($A316,'Order Sales'!$A$2:$G$2154,F$1,FALSE())</f>
        <v>38</v>
      </c>
      <c r="G316" s="32" t="str">
        <f aca="false">VLOOKUP($A316,'Order Sales'!$A$2:$G$2154,G$1,FALSE())</f>
        <v>Consumer</v>
      </c>
    </row>
    <row r="317" customFormat="false" ht="14.25" hidden="false" customHeight="false" outlineLevel="0" collapsed="false">
      <c r="A317" s="1" t="n">
        <v>1411</v>
      </c>
      <c r="B317" s="30" t="n">
        <v>43247</v>
      </c>
      <c r="C317" s="30" t="n">
        <v>43439</v>
      </c>
      <c r="D317" s="31" t="n">
        <f aca="false">VLOOKUP(A317,'Order Shipping'!$A$2:$C$2000,3,FALSE())</f>
        <v>8</v>
      </c>
      <c r="E317" s="32" t="n">
        <f aca="false">VLOOKUP($A317,'Order Sales'!$A$2:$G$2154,E$1,FALSE())</f>
        <v>14</v>
      </c>
      <c r="F317" s="32" t="n">
        <f aca="false">VLOOKUP($A317,'Order Sales'!$A$2:$G$2154,F$1,FALSE())</f>
        <v>241.25</v>
      </c>
      <c r="G317" s="32" t="str">
        <f aca="false">VLOOKUP($A317,'Order Sales'!$A$2:$G$2154,G$1,FALSE())</f>
        <v>Corporate</v>
      </c>
    </row>
    <row r="318" customFormat="false" ht="14.25" hidden="false" customHeight="false" outlineLevel="0" collapsed="false">
      <c r="A318" s="1" t="n">
        <v>1235</v>
      </c>
      <c r="B318" s="30" t="n">
        <v>43143</v>
      </c>
      <c r="C318" s="30" t="n">
        <v>43440</v>
      </c>
      <c r="D318" s="31" t="n">
        <f aca="false">VLOOKUP(A318,'Order Shipping'!$A$2:$C$2000,3,FALSE())</f>
        <v>9.6</v>
      </c>
      <c r="E318" s="32" t="n">
        <f aca="false">VLOOKUP($A318,'Order Sales'!$A$2:$G$2154,E$1,FALSE())</f>
        <v>28</v>
      </c>
      <c r="F318" s="32" t="n">
        <f aca="false">VLOOKUP($A318,'Order Sales'!$A$2:$G$2154,F$1,FALSE())</f>
        <v>1823.12</v>
      </c>
      <c r="G318" s="32" t="str">
        <f aca="false">VLOOKUP($A318,'Order Sales'!$A$2:$G$2154,G$1,FALSE())</f>
        <v>Consumer</v>
      </c>
    </row>
    <row r="319" customFormat="false" ht="14.25" hidden="false" customHeight="false" outlineLevel="0" collapsed="false">
      <c r="A319" s="1" t="n">
        <v>2961</v>
      </c>
      <c r="B319" s="30" t="n">
        <v>43350</v>
      </c>
      <c r="C319" s="30" t="n">
        <v>43441</v>
      </c>
      <c r="D319" s="31" t="n">
        <f aca="false">VLOOKUP(A319,'Order Shipping'!$A$2:$C$2000,3,FALSE())</f>
        <v>40.2</v>
      </c>
      <c r="E319" s="32" t="n">
        <f aca="false">VLOOKUP($A319,'Order Sales'!$A$2:$G$2154,E$1,FALSE())</f>
        <v>29</v>
      </c>
      <c r="F319" s="32" t="n">
        <f aca="false">VLOOKUP($A319,'Order Sales'!$A$2:$G$2154,F$1,FALSE())</f>
        <v>2159.74</v>
      </c>
      <c r="G319" s="32" t="str">
        <f aca="false">VLOOKUP($A319,'Order Sales'!$A$2:$G$2154,G$1,FALSE())</f>
        <v>Corporate</v>
      </c>
    </row>
    <row r="320" customFormat="false" ht="14.25" hidden="false" customHeight="false" outlineLevel="0" collapsed="false">
      <c r="A320" s="1" t="n">
        <v>1775</v>
      </c>
      <c r="B320" s="30" t="n">
        <v>43320</v>
      </c>
      <c r="C320" s="30" t="n">
        <v>43442</v>
      </c>
      <c r="D320" s="31" t="n">
        <f aca="false">VLOOKUP(A320,'Order Shipping'!$A$2:$C$2000,3,FALSE())</f>
        <v>48.7</v>
      </c>
      <c r="E320" s="32" t="n">
        <f aca="false">VLOOKUP($A320,'Order Sales'!$A$2:$G$2154,E$1,FALSE())</f>
        <v>17</v>
      </c>
      <c r="F320" s="32" t="n">
        <f aca="false">VLOOKUP($A320,'Order Sales'!$A$2:$G$2154,F$1,FALSE())</f>
        <v>620.29</v>
      </c>
      <c r="G320" s="32" t="str">
        <f aca="false">VLOOKUP($A320,'Order Sales'!$A$2:$G$2154,G$1,FALSE())</f>
        <v>Home Office</v>
      </c>
    </row>
    <row r="321" customFormat="false" ht="14.25" hidden="false" customHeight="false" outlineLevel="0" collapsed="false">
      <c r="A321" s="1" t="n">
        <v>2089</v>
      </c>
      <c r="B321" s="30" t="n">
        <v>43189</v>
      </c>
      <c r="C321" s="30" t="n">
        <v>43443</v>
      </c>
      <c r="D321" s="31" t="n">
        <f aca="false">VLOOKUP(A321,'Order Shipping'!$A$2:$C$2000,3,FALSE())</f>
        <v>5.9</v>
      </c>
      <c r="E321" s="32" t="n">
        <f aca="false">VLOOKUP($A321,'Order Sales'!$A$2:$G$2154,E$1,FALSE())</f>
        <v>12</v>
      </c>
      <c r="F321" s="32" t="n">
        <f aca="false">VLOOKUP($A321,'Order Sales'!$A$2:$G$2154,F$1,FALSE())</f>
        <v>89.76</v>
      </c>
      <c r="G321" s="32" t="str">
        <f aca="false">VLOOKUP($A321,'Order Sales'!$A$2:$G$2154,G$1,FALSE())</f>
        <v>Consumer</v>
      </c>
    </row>
    <row r="322" customFormat="false" ht="14.25" hidden="false" customHeight="false" outlineLevel="0" collapsed="false">
      <c r="A322" s="1" t="n">
        <v>1584</v>
      </c>
      <c r="B322" s="30" t="n">
        <v>43141</v>
      </c>
      <c r="C322" s="30" t="n">
        <v>43444</v>
      </c>
      <c r="D322" s="31" t="n">
        <f aca="false">VLOOKUP(A322,'Order Shipping'!$A$2:$C$2000,3,FALSE())</f>
        <v>26.2</v>
      </c>
      <c r="E322" s="32" t="n">
        <f aca="false">VLOOKUP($A322,'Order Sales'!$A$2:$G$2154,E$1,FALSE())</f>
        <v>1</v>
      </c>
      <c r="F322" s="32" t="n">
        <f aca="false">VLOOKUP($A322,'Order Sales'!$A$2:$G$2154,F$1,FALSE())</f>
        <v>184.4</v>
      </c>
      <c r="G322" s="32" t="str">
        <f aca="false">VLOOKUP($A322,'Order Sales'!$A$2:$G$2154,G$1,FALSE())</f>
        <v>Home Office</v>
      </c>
    </row>
    <row r="323" customFormat="false" ht="14.25" hidden="false" customHeight="false" outlineLevel="0" collapsed="false">
      <c r="A323" s="1" t="n">
        <v>2779</v>
      </c>
      <c r="B323" s="30" t="n">
        <v>43380</v>
      </c>
      <c r="C323" s="30" t="n">
        <v>43445</v>
      </c>
      <c r="D323" s="31" t="n">
        <f aca="false">VLOOKUP(A323,'Order Shipping'!$A$2:$C$2000,3,FALSE())</f>
        <v>4.9</v>
      </c>
      <c r="E323" s="32" t="n">
        <f aca="false">VLOOKUP($A323,'Order Sales'!$A$2:$G$2154,E$1,FALSE())</f>
        <v>35</v>
      </c>
      <c r="F323" s="32" t="n">
        <f aca="false">VLOOKUP($A323,'Order Sales'!$A$2:$G$2154,F$1,FALSE())</f>
        <v>1581.06</v>
      </c>
      <c r="G323" s="32" t="str">
        <f aca="false">VLOOKUP($A323,'Order Sales'!$A$2:$G$2154,G$1,FALSE())</f>
        <v>Consumer</v>
      </c>
    </row>
    <row r="324" customFormat="false" ht="14.25" hidden="false" customHeight="false" outlineLevel="0" collapsed="false">
      <c r="A324" s="1" t="n">
        <v>1490</v>
      </c>
      <c r="B324" s="30" t="n">
        <v>43126</v>
      </c>
      <c r="C324" s="30" t="n">
        <v>43446</v>
      </c>
      <c r="D324" s="31" t="n">
        <f aca="false">VLOOKUP(A324,'Order Shipping'!$A$2:$C$2000,3,FALSE())</f>
        <v>5.3</v>
      </c>
      <c r="E324" s="32" t="n">
        <f aca="false">VLOOKUP($A324,'Order Sales'!$A$2:$G$2154,E$1,FALSE())</f>
        <v>42</v>
      </c>
      <c r="F324" s="32" t="n">
        <f aca="false">VLOOKUP($A324,'Order Sales'!$A$2:$G$2154,F$1,FALSE())</f>
        <v>303.43</v>
      </c>
      <c r="G324" s="32" t="str">
        <f aca="false">VLOOKUP($A324,'Order Sales'!$A$2:$G$2154,G$1,FALSE())</f>
        <v>Home Office</v>
      </c>
    </row>
    <row r="325" customFormat="false" ht="14.25" hidden="false" customHeight="false" outlineLevel="0" collapsed="false">
      <c r="A325" s="1" t="n">
        <v>1971</v>
      </c>
      <c r="B325" s="30" t="n">
        <v>43263</v>
      </c>
      <c r="C325" s="30" t="n">
        <v>43447</v>
      </c>
      <c r="D325" s="31" t="n">
        <f aca="false">VLOOKUP(A325,'Order Shipping'!$A$2:$C$2000,3,FALSE())</f>
        <v>1.1</v>
      </c>
      <c r="E325" s="32" t="n">
        <f aca="false">VLOOKUP($A325,'Order Sales'!$A$2:$G$2154,E$1,FALSE())</f>
        <v>47</v>
      </c>
      <c r="F325" s="32" t="n">
        <f aca="false">VLOOKUP($A325,'Order Sales'!$A$2:$G$2154,F$1,FALSE())</f>
        <v>323.88</v>
      </c>
      <c r="G325" s="32" t="str">
        <f aca="false">VLOOKUP($A325,'Order Sales'!$A$2:$G$2154,G$1,FALSE())</f>
        <v>Corporate</v>
      </c>
    </row>
    <row r="326" customFormat="false" ht="14.25" hidden="false" customHeight="false" outlineLevel="0" collapsed="false">
      <c r="A326" s="1" t="n">
        <v>2081</v>
      </c>
      <c r="B326" s="30" t="n">
        <v>43435</v>
      </c>
      <c r="C326" s="30" t="n">
        <v>43448</v>
      </c>
      <c r="D326" s="31" t="n">
        <f aca="false">VLOOKUP(A326,'Order Shipping'!$A$2:$C$2000,3,FALSE())</f>
        <v>9.1</v>
      </c>
      <c r="E326" s="32" t="n">
        <f aca="false">VLOOKUP($A326,'Order Sales'!$A$2:$G$2154,E$1,FALSE())</f>
        <v>25</v>
      </c>
      <c r="F326" s="32" t="n">
        <f aca="false">VLOOKUP($A326,'Order Sales'!$A$2:$G$2154,F$1,FALSE())</f>
        <v>481.8</v>
      </c>
      <c r="G326" s="32" t="str">
        <f aca="false">VLOOKUP($A326,'Order Sales'!$A$2:$G$2154,G$1,FALSE())</f>
        <v>Corporate</v>
      </c>
    </row>
    <row r="327" customFormat="false" ht="14.25" hidden="false" customHeight="false" outlineLevel="0" collapsed="false">
      <c r="A327" s="1" t="n">
        <v>1610</v>
      </c>
      <c r="B327" s="30" t="n">
        <v>43274</v>
      </c>
      <c r="C327" s="30" t="n">
        <v>43449</v>
      </c>
      <c r="D327" s="31" t="n">
        <f aca="false">VLOOKUP(A327,'Order Shipping'!$A$2:$C$2000,3,FALSE())</f>
        <v>15.4</v>
      </c>
      <c r="E327" s="32" t="n">
        <f aca="false">VLOOKUP($A327,'Order Sales'!$A$2:$G$2154,E$1,FALSE())</f>
        <v>5</v>
      </c>
      <c r="F327" s="32" t="n">
        <f aca="false">VLOOKUP($A327,'Order Sales'!$A$2:$G$2154,F$1,FALSE())</f>
        <v>140.46</v>
      </c>
      <c r="G327" s="32" t="str">
        <f aca="false">VLOOKUP($A327,'Order Sales'!$A$2:$G$2154,G$1,FALSE())</f>
        <v>Home Office</v>
      </c>
    </row>
    <row r="328" customFormat="false" ht="14.25" hidden="false" customHeight="false" outlineLevel="0" collapsed="false">
      <c r="A328" s="1" t="n">
        <v>2419</v>
      </c>
      <c r="B328" s="30" t="n">
        <v>43218</v>
      </c>
      <c r="C328" s="30" t="n">
        <v>43450</v>
      </c>
      <c r="D328" s="31" t="n">
        <f aca="false">VLOOKUP(A328,'Order Shipping'!$A$2:$C$2000,3,FALSE())</f>
        <v>27.8</v>
      </c>
      <c r="E328" s="32" t="n">
        <f aca="false">VLOOKUP($A328,'Order Sales'!$A$2:$G$2154,E$1,FALSE())</f>
        <v>11</v>
      </c>
      <c r="F328" s="32" t="n">
        <f aca="false">VLOOKUP($A328,'Order Sales'!$A$2:$G$2154,F$1,FALSE())</f>
        <v>5895.95</v>
      </c>
      <c r="G328" s="32" t="str">
        <f aca="false">VLOOKUP($A328,'Order Sales'!$A$2:$G$2154,G$1,FALSE())</f>
        <v>Consumer</v>
      </c>
    </row>
    <row r="329" customFormat="false" ht="14.25" hidden="false" customHeight="false" outlineLevel="0" collapsed="false">
      <c r="A329" s="1" t="n">
        <v>1398</v>
      </c>
      <c r="B329" s="30" t="n">
        <v>43442</v>
      </c>
      <c r="C329" s="30" t="n">
        <v>43451</v>
      </c>
      <c r="D329" s="31" t="n">
        <f aca="false">VLOOKUP(A329,'Order Shipping'!$A$2:$C$2000,3,FALSE())</f>
        <v>3.9</v>
      </c>
      <c r="E329" s="32" t="n">
        <f aca="false">VLOOKUP($A329,'Order Sales'!$A$2:$G$2154,E$1,FALSE())</f>
        <v>37</v>
      </c>
      <c r="F329" s="32" t="n">
        <f aca="false">VLOOKUP($A329,'Order Sales'!$A$2:$G$2154,F$1,FALSE())</f>
        <v>734.23</v>
      </c>
      <c r="G329" s="32" t="str">
        <f aca="false">VLOOKUP($A329,'Order Sales'!$A$2:$G$2154,G$1,FALSE())</f>
        <v>Consumer</v>
      </c>
    </row>
    <row r="330" customFormat="false" ht="14.25" hidden="false" customHeight="false" outlineLevel="0" collapsed="false">
      <c r="A330" s="1" t="n">
        <v>2635</v>
      </c>
      <c r="B330" s="30" t="n">
        <v>43422</v>
      </c>
      <c r="C330" s="30" t="n">
        <v>43452</v>
      </c>
      <c r="D330" s="31" t="n">
        <f aca="false">VLOOKUP(A330,'Order Shipping'!$A$2:$C$2000,3,FALSE())</f>
        <v>6.2</v>
      </c>
      <c r="E330" s="32" t="n">
        <f aca="false">VLOOKUP($A330,'Order Sales'!$A$2:$G$2154,E$1,FALSE())</f>
        <v>12</v>
      </c>
      <c r="F330" s="32" t="n">
        <f aca="false">VLOOKUP($A330,'Order Sales'!$A$2:$G$2154,F$1,FALSE())</f>
        <v>1416.33</v>
      </c>
      <c r="G330" s="32" t="str">
        <f aca="false">VLOOKUP($A330,'Order Sales'!$A$2:$G$2154,G$1,FALSE())</f>
        <v>Corporate</v>
      </c>
    </row>
    <row r="331" customFormat="false" ht="14.25" hidden="false" customHeight="false" outlineLevel="0" collapsed="false">
      <c r="A331" s="1" t="n">
        <v>2225</v>
      </c>
      <c r="B331" s="30" t="n">
        <v>43267</v>
      </c>
      <c r="C331" s="30" t="n">
        <v>43453</v>
      </c>
      <c r="D331" s="31" t="n">
        <f aca="false">VLOOKUP(A331,'Order Shipping'!$A$2:$C$2000,3,FALSE())</f>
        <v>32.1</v>
      </c>
      <c r="E331" s="32" t="n">
        <f aca="false">VLOOKUP($A331,'Order Sales'!$A$2:$G$2154,E$1,FALSE())</f>
        <v>40</v>
      </c>
      <c r="F331" s="32" t="n">
        <f aca="false">VLOOKUP($A331,'Order Sales'!$A$2:$G$2154,F$1,FALSE())</f>
        <v>5632.99</v>
      </c>
      <c r="G331" s="32" t="str">
        <f aca="false">VLOOKUP($A331,'Order Sales'!$A$2:$G$2154,G$1,FALSE())</f>
        <v>Corporate</v>
      </c>
    </row>
    <row r="332" customFormat="false" ht="14.25" hidden="false" customHeight="false" outlineLevel="0" collapsed="false">
      <c r="A332" s="1" t="n">
        <v>2037</v>
      </c>
      <c r="B332" s="30" t="n">
        <v>43137</v>
      </c>
      <c r="C332" s="30" t="n">
        <v>43454</v>
      </c>
      <c r="D332" s="31" t="n">
        <f aca="false">VLOOKUP(A332,'Order Shipping'!$A$2:$C$2000,3,FALSE())</f>
        <v>4.7</v>
      </c>
      <c r="E332" s="32" t="n">
        <f aca="false">VLOOKUP($A332,'Order Sales'!$A$2:$G$2154,E$1,FALSE())</f>
        <v>35</v>
      </c>
      <c r="F332" s="32" t="n">
        <f aca="false">VLOOKUP($A332,'Order Sales'!$A$2:$G$2154,F$1,FALSE())</f>
        <v>265.81</v>
      </c>
      <c r="G332" s="32" t="str">
        <f aca="false">VLOOKUP($A332,'Order Sales'!$A$2:$G$2154,G$1,FALSE())</f>
        <v>Corporate</v>
      </c>
    </row>
    <row r="333" customFormat="false" ht="14.25" hidden="false" customHeight="false" outlineLevel="0" collapsed="false">
      <c r="A333" s="1" t="n">
        <v>2542</v>
      </c>
      <c r="B333" s="30" t="n">
        <v>43257</v>
      </c>
      <c r="C333" s="30" t="n">
        <v>43455</v>
      </c>
      <c r="D333" s="31" t="n">
        <f aca="false">VLOOKUP(A333,'Order Shipping'!$A$2:$C$2000,3,FALSE())</f>
        <v>1.7</v>
      </c>
      <c r="E333" s="32" t="n">
        <f aca="false">VLOOKUP($A333,'Order Sales'!$A$2:$G$2154,E$1,FALSE())</f>
        <v>48</v>
      </c>
      <c r="F333" s="32" t="n">
        <f aca="false">VLOOKUP($A333,'Order Sales'!$A$2:$G$2154,F$1,FALSE())</f>
        <v>97.33</v>
      </c>
      <c r="G333" s="32" t="str">
        <f aca="false">VLOOKUP($A333,'Order Sales'!$A$2:$G$2154,G$1,FALSE())</f>
        <v>Corporate</v>
      </c>
    </row>
    <row r="334" customFormat="false" ht="14.25" hidden="false" customHeight="false" outlineLevel="0" collapsed="false">
      <c r="A334" s="1" t="n">
        <v>2913</v>
      </c>
      <c r="B334" s="30" t="n">
        <v>43242</v>
      </c>
      <c r="C334" s="30" t="n">
        <v>43456</v>
      </c>
      <c r="D334" s="31" t="n">
        <f aca="false">VLOOKUP(A334,'Order Shipping'!$A$2:$C$2000,3,FALSE())</f>
        <v>11</v>
      </c>
      <c r="E334" s="32" t="n">
        <f aca="false">VLOOKUP($A334,'Order Sales'!$A$2:$G$2154,E$1,FALSE())</f>
        <v>28</v>
      </c>
      <c r="F334" s="32" t="n">
        <f aca="false">VLOOKUP($A334,'Order Sales'!$A$2:$G$2154,F$1,FALSE())</f>
        <v>1456.08</v>
      </c>
      <c r="G334" s="32" t="str">
        <f aca="false">VLOOKUP($A334,'Order Sales'!$A$2:$G$2154,G$1,FALSE())</f>
        <v>Corporate</v>
      </c>
    </row>
    <row r="335" customFormat="false" ht="14.25" hidden="false" customHeight="false" outlineLevel="0" collapsed="false">
      <c r="A335" s="1" t="n">
        <v>2199</v>
      </c>
      <c r="B335" s="30" t="n">
        <v>43249</v>
      </c>
      <c r="C335" s="30" t="n">
        <v>43457</v>
      </c>
      <c r="D335" s="31" t="n">
        <f aca="false">VLOOKUP(A335,'Order Shipping'!$A$2:$C$2000,3,FALSE())</f>
        <v>3.5</v>
      </c>
      <c r="E335" s="32" t="n">
        <f aca="false">VLOOKUP($A335,'Order Sales'!$A$2:$G$2154,E$1,FALSE())</f>
        <v>33</v>
      </c>
      <c r="F335" s="32" t="n">
        <f aca="false">VLOOKUP($A335,'Order Sales'!$A$2:$G$2154,F$1,FALSE())</f>
        <v>1069.17</v>
      </c>
      <c r="G335" s="32" t="str">
        <f aca="false">VLOOKUP($A335,'Order Sales'!$A$2:$G$2154,G$1,FALSE())</f>
        <v>Consumer</v>
      </c>
    </row>
    <row r="336" customFormat="false" ht="14.25" hidden="false" customHeight="false" outlineLevel="0" collapsed="false">
      <c r="A336" s="1" t="n">
        <v>2691</v>
      </c>
      <c r="B336" s="30" t="n">
        <v>43286</v>
      </c>
      <c r="C336" s="30" t="n">
        <v>43458</v>
      </c>
      <c r="D336" s="31" t="n">
        <f aca="false">VLOOKUP(A336,'Order Shipping'!$A$2:$C$2000,3,FALSE())</f>
        <v>5.5</v>
      </c>
      <c r="E336" s="32" t="n">
        <f aca="false">VLOOKUP($A336,'Order Sales'!$A$2:$G$2154,E$1,FALSE())</f>
        <v>31</v>
      </c>
      <c r="F336" s="32" t="n">
        <f aca="false">VLOOKUP($A336,'Order Sales'!$A$2:$G$2154,F$1,FALSE())</f>
        <v>306.3</v>
      </c>
      <c r="G336" s="32" t="str">
        <f aca="false">VLOOKUP($A336,'Order Sales'!$A$2:$G$2154,G$1,FALSE())</f>
        <v>Corporate</v>
      </c>
    </row>
    <row r="337" customFormat="false" ht="14.25" hidden="false" customHeight="false" outlineLevel="0" collapsed="false">
      <c r="A337" s="1" t="n">
        <v>1491</v>
      </c>
      <c r="B337" s="30" t="n">
        <v>43126</v>
      </c>
      <c r="C337" s="30" t="n">
        <v>43459</v>
      </c>
      <c r="D337" s="31" t="n">
        <f aca="false">VLOOKUP(A337,'Order Shipping'!$A$2:$C$2000,3,FALSE())</f>
        <v>19.1</v>
      </c>
      <c r="E337" s="32" t="n">
        <f aca="false">VLOOKUP($A337,'Order Sales'!$A$2:$G$2154,E$1,FALSE())</f>
        <v>39</v>
      </c>
      <c r="F337" s="32" t="n">
        <f aca="false">VLOOKUP($A337,'Order Sales'!$A$2:$G$2154,F$1,FALSE())</f>
        <v>5781.61</v>
      </c>
      <c r="G337" s="32" t="str">
        <f aca="false">VLOOKUP($A337,'Order Sales'!$A$2:$G$2154,G$1,FALSE())</f>
        <v>Home Office</v>
      </c>
    </row>
    <row r="338" customFormat="false" ht="14.25" hidden="false" customHeight="false" outlineLevel="0" collapsed="false">
      <c r="A338" s="1" t="n">
        <v>1887</v>
      </c>
      <c r="B338" s="30" t="n">
        <v>43239</v>
      </c>
      <c r="C338" s="30" t="n">
        <v>43460</v>
      </c>
      <c r="D338" s="31" t="n">
        <f aca="false">VLOOKUP(A338,'Order Shipping'!$A$2:$C$2000,3,FALSE())</f>
        <v>1.5</v>
      </c>
      <c r="E338" s="32" t="n">
        <f aca="false">VLOOKUP($A338,'Order Sales'!$A$2:$G$2154,E$1,FALSE())</f>
        <v>44</v>
      </c>
      <c r="F338" s="32" t="n">
        <f aca="false">VLOOKUP($A338,'Order Sales'!$A$2:$G$2154,F$1,FALSE())</f>
        <v>780.83</v>
      </c>
      <c r="G338" s="32" t="str">
        <f aca="false">VLOOKUP($A338,'Order Sales'!$A$2:$G$2154,G$1,FALSE())</f>
        <v>Home Office</v>
      </c>
    </row>
    <row r="339" customFormat="false" ht="14.25" hidden="false" customHeight="false" outlineLevel="0" collapsed="false">
      <c r="A339" s="1" t="n">
        <v>2351</v>
      </c>
      <c r="B339" s="30" t="n">
        <v>43202</v>
      </c>
      <c r="C339" s="30" t="n">
        <v>43461</v>
      </c>
      <c r="D339" s="31" t="n">
        <f aca="false">VLOOKUP(A339,'Order Shipping'!$A$2:$C$2000,3,FALSE())</f>
        <v>1.6</v>
      </c>
      <c r="E339" s="32" t="n">
        <f aca="false">VLOOKUP($A339,'Order Sales'!$A$2:$G$2154,E$1,FALSE())</f>
        <v>22</v>
      </c>
      <c r="F339" s="32" t="n">
        <f aca="false">VLOOKUP($A339,'Order Sales'!$A$2:$G$2154,F$1,FALSE())</f>
        <v>88.83</v>
      </c>
      <c r="G339" s="32" t="str">
        <f aca="false">VLOOKUP($A339,'Order Sales'!$A$2:$G$2154,G$1,FALSE())</f>
        <v>Small Business</v>
      </c>
    </row>
    <row r="340" customFormat="false" ht="14.25" hidden="false" customHeight="false" outlineLevel="0" collapsed="false">
      <c r="A340" s="1" t="n">
        <v>2241</v>
      </c>
      <c r="B340" s="30" t="n">
        <v>43253</v>
      </c>
      <c r="C340" s="30" t="n">
        <v>43462</v>
      </c>
      <c r="D340" s="31" t="n">
        <f aca="false">VLOOKUP(A340,'Order Shipping'!$A$2:$C$2000,3,FALSE())</f>
        <v>12.6</v>
      </c>
      <c r="E340" s="32" t="n">
        <f aca="false">VLOOKUP($A340,'Order Sales'!$A$2:$G$2154,E$1,FALSE())</f>
        <v>9</v>
      </c>
      <c r="F340" s="32" t="n">
        <f aca="false">VLOOKUP($A340,'Order Sales'!$A$2:$G$2154,F$1,FALSE())</f>
        <v>2147.75</v>
      </c>
      <c r="G340" s="32" t="str">
        <f aca="false">VLOOKUP($A340,'Order Sales'!$A$2:$G$2154,G$1,FALSE())</f>
        <v>Home Office</v>
      </c>
    </row>
    <row r="341" customFormat="false" ht="14.25" hidden="false" customHeight="false" outlineLevel="0" collapsed="false">
      <c r="A341" s="1" t="n">
        <v>1932</v>
      </c>
      <c r="B341" s="30" t="n">
        <v>43293</v>
      </c>
      <c r="C341" s="30" t="n">
        <v>43463</v>
      </c>
      <c r="D341" s="31" t="n">
        <f aca="false">VLOOKUP(A341,'Order Shipping'!$A$2:$C$2000,3,FALSE())</f>
        <v>0.5</v>
      </c>
      <c r="E341" s="32" t="n">
        <f aca="false">VLOOKUP($A341,'Order Sales'!$A$2:$G$2154,E$1,FALSE())</f>
        <v>36</v>
      </c>
      <c r="F341" s="32" t="n">
        <f aca="false">VLOOKUP($A341,'Order Sales'!$A$2:$G$2154,F$1,FALSE())</f>
        <v>235.88</v>
      </c>
      <c r="G341" s="32" t="str">
        <f aca="false">VLOOKUP($A341,'Order Sales'!$A$2:$G$2154,G$1,FALSE())</f>
        <v>Small Business</v>
      </c>
    </row>
    <row r="342" customFormat="false" ht="14.25" hidden="false" customHeight="false" outlineLevel="0" collapsed="false">
      <c r="A342" s="1" t="n">
        <v>1108</v>
      </c>
      <c r="B342" s="30" t="n">
        <v>43221</v>
      </c>
      <c r="C342" s="30" t="n">
        <v>43464</v>
      </c>
      <c r="D342" s="31" t="n">
        <f aca="false">VLOOKUP(A342,'Order Shipping'!$A$2:$C$2000,3,FALSE())</f>
        <v>21.4</v>
      </c>
      <c r="E342" s="32" t="n">
        <f aca="false">VLOOKUP($A342,'Order Sales'!$A$2:$G$2154,E$1,FALSE())</f>
        <v>36</v>
      </c>
      <c r="F342" s="32" t="n">
        <f aca="false">VLOOKUP($A342,'Order Sales'!$A$2:$G$2154,F$1,FALSE())</f>
        <v>5789.72</v>
      </c>
      <c r="G342" s="32" t="str">
        <f aca="false">VLOOKUP($A342,'Order Sales'!$A$2:$G$2154,G$1,FALSE())</f>
        <v>Corporate</v>
      </c>
    </row>
    <row r="343" customFormat="false" ht="14.25" hidden="false" customHeight="false" outlineLevel="0" collapsed="false">
      <c r="A343" s="1" t="n">
        <v>1674</v>
      </c>
      <c r="B343" s="30" t="n">
        <v>43204</v>
      </c>
      <c r="C343" s="30" t="n">
        <v>43465</v>
      </c>
      <c r="D343" s="31" t="n">
        <f aca="false">VLOOKUP(A343,'Order Shipping'!$A$2:$C$2000,3,FALSE())</f>
        <v>2.5</v>
      </c>
      <c r="E343" s="32" t="n">
        <f aca="false">VLOOKUP($A343,'Order Sales'!$A$2:$G$2154,E$1,FALSE())</f>
        <v>49</v>
      </c>
      <c r="F343" s="32" t="n">
        <f aca="false">VLOOKUP($A343,'Order Sales'!$A$2:$G$2154,F$1,FALSE())</f>
        <v>403.41</v>
      </c>
      <c r="G343" s="32" t="str">
        <f aca="false">VLOOKUP($A343,'Order Sales'!$A$2:$G$2154,G$1,FALSE())</f>
        <v>Consumer</v>
      </c>
    </row>
    <row r="344" customFormat="false" ht="14.25" hidden="false" customHeight="false" outlineLevel="0" collapsed="false">
      <c r="A344" s="1" t="n">
        <v>1945</v>
      </c>
      <c r="B344" s="30" t="n">
        <v>43384</v>
      </c>
      <c r="C344" s="30" t="n">
        <v>43466</v>
      </c>
      <c r="D344" s="31" t="n">
        <f aca="false">VLOOKUP(A344,'Order Shipping'!$A$2:$C$2000,3,FALSE())</f>
        <v>2.5</v>
      </c>
      <c r="E344" s="32" t="n">
        <f aca="false">VLOOKUP($A344,'Order Sales'!$A$2:$G$2154,E$1,FALSE())</f>
        <v>33</v>
      </c>
      <c r="F344" s="32" t="n">
        <f aca="false">VLOOKUP($A344,'Order Sales'!$A$2:$G$2154,F$1,FALSE())</f>
        <v>298.16</v>
      </c>
      <c r="G344" s="32" t="str">
        <f aca="false">VLOOKUP($A344,'Order Sales'!$A$2:$G$2154,G$1,FALSE())</f>
        <v>Home Office</v>
      </c>
    </row>
    <row r="345" customFormat="false" ht="14.25" hidden="false" customHeight="false" outlineLevel="0" collapsed="false">
      <c r="A345" s="1" t="n">
        <v>2260</v>
      </c>
      <c r="B345" s="30" t="n">
        <v>43207</v>
      </c>
      <c r="C345" s="30" t="n">
        <v>43467</v>
      </c>
      <c r="D345" s="31" t="n">
        <f aca="false">VLOOKUP(A345,'Order Shipping'!$A$2:$C$2000,3,FALSE())</f>
        <v>4.3</v>
      </c>
      <c r="E345" s="32" t="n">
        <f aca="false">VLOOKUP($A345,'Order Sales'!$A$2:$G$2154,E$1,FALSE())</f>
        <v>7</v>
      </c>
      <c r="F345" s="32" t="n">
        <f aca="false">VLOOKUP($A345,'Order Sales'!$A$2:$G$2154,F$1,FALSE())</f>
        <v>148.63</v>
      </c>
      <c r="G345" s="32" t="str">
        <f aca="false">VLOOKUP($A345,'Order Sales'!$A$2:$G$2154,G$1,FALSE())</f>
        <v>Small Business</v>
      </c>
    </row>
    <row r="346" customFormat="false" ht="14.25" hidden="false" customHeight="false" outlineLevel="0" collapsed="false">
      <c r="A346" s="1" t="n">
        <v>1697</v>
      </c>
      <c r="B346" s="30" t="n">
        <v>43240</v>
      </c>
      <c r="C346" s="30" t="n">
        <v>43468</v>
      </c>
      <c r="D346" s="31" t="n">
        <f aca="false">VLOOKUP(A346,'Order Shipping'!$A$2:$C$2000,3,FALSE())</f>
        <v>9.6</v>
      </c>
      <c r="E346" s="32" t="n">
        <f aca="false">VLOOKUP($A346,'Order Sales'!$A$2:$G$2154,E$1,FALSE())</f>
        <v>18</v>
      </c>
      <c r="F346" s="32" t="n">
        <f aca="false">VLOOKUP($A346,'Order Sales'!$A$2:$G$2154,F$1,FALSE())</f>
        <v>432.6</v>
      </c>
      <c r="G346" s="32" t="str">
        <f aca="false">VLOOKUP($A346,'Order Sales'!$A$2:$G$2154,G$1,FALSE())</f>
        <v>Corporate</v>
      </c>
    </row>
    <row r="347" customFormat="false" ht="14.25" hidden="false" customHeight="false" outlineLevel="0" collapsed="false">
      <c r="A347" s="1" t="n">
        <v>2102</v>
      </c>
      <c r="B347" s="30" t="n">
        <v>43271</v>
      </c>
      <c r="C347" s="30" t="n">
        <v>43469</v>
      </c>
      <c r="D347" s="31" t="n">
        <f aca="false">VLOOKUP(A347,'Order Shipping'!$A$2:$C$2000,3,FALSE())</f>
        <v>0.5</v>
      </c>
      <c r="E347" s="32" t="n">
        <f aca="false">VLOOKUP($A347,'Order Sales'!$A$2:$G$2154,E$1,FALSE())</f>
        <v>48</v>
      </c>
      <c r="F347" s="32" t="n">
        <f aca="false">VLOOKUP($A347,'Order Sales'!$A$2:$G$2154,F$1,FALSE())</f>
        <v>188.31</v>
      </c>
      <c r="G347" s="32" t="str">
        <f aca="false">VLOOKUP($A347,'Order Sales'!$A$2:$G$2154,G$1,FALSE())</f>
        <v>Home Office</v>
      </c>
    </row>
    <row r="348" customFormat="false" ht="14.25" hidden="false" customHeight="false" outlineLevel="0" collapsed="false">
      <c r="A348" s="1" t="n">
        <v>1399</v>
      </c>
      <c r="B348" s="30" t="n">
        <v>43159</v>
      </c>
      <c r="C348" s="30" t="n">
        <v>43470</v>
      </c>
      <c r="D348" s="31" t="n">
        <f aca="false">VLOOKUP(A348,'Order Shipping'!$A$2:$C$2000,3,FALSE())</f>
        <v>4.3</v>
      </c>
      <c r="E348" s="32" t="n">
        <f aca="false">VLOOKUP($A348,'Order Sales'!$A$2:$G$2154,E$1,FALSE())</f>
        <v>19</v>
      </c>
      <c r="F348" s="32" t="n">
        <f aca="false">VLOOKUP($A348,'Order Sales'!$A$2:$G$2154,F$1,FALSE())</f>
        <v>3590.01</v>
      </c>
      <c r="G348" s="32" t="str">
        <f aca="false">VLOOKUP($A348,'Order Sales'!$A$2:$G$2154,G$1,FALSE())</f>
        <v>Corporate</v>
      </c>
    </row>
    <row r="349" customFormat="false" ht="14.25" hidden="false" customHeight="false" outlineLevel="0" collapsed="false">
      <c r="A349" s="1" t="n">
        <v>2675</v>
      </c>
      <c r="B349" s="30" t="n">
        <v>43278</v>
      </c>
      <c r="C349" s="30" t="n">
        <v>43471</v>
      </c>
      <c r="D349" s="31" t="n">
        <f aca="false">VLOOKUP(A349,'Order Shipping'!$A$2:$C$2000,3,FALSE())</f>
        <v>37.5</v>
      </c>
      <c r="E349" s="32" t="n">
        <f aca="false">VLOOKUP($A349,'Order Sales'!$A$2:$G$2154,E$1,FALSE())</f>
        <v>39</v>
      </c>
      <c r="F349" s="32" t="n">
        <f aca="false">VLOOKUP($A349,'Order Sales'!$A$2:$G$2154,F$1,FALSE())</f>
        <v>3277.52</v>
      </c>
      <c r="G349" s="32" t="str">
        <f aca="false">VLOOKUP($A349,'Order Sales'!$A$2:$G$2154,G$1,FALSE())</f>
        <v>Home Office</v>
      </c>
    </row>
    <row r="350" customFormat="false" ht="14.25" hidden="false" customHeight="false" outlineLevel="0" collapsed="false">
      <c r="A350" s="1" t="n">
        <v>1641</v>
      </c>
      <c r="B350" s="30" t="n">
        <v>43158</v>
      </c>
      <c r="C350" s="30" t="n">
        <v>43472</v>
      </c>
      <c r="D350" s="31" t="n">
        <f aca="false">VLOOKUP(A350,'Order Shipping'!$A$2:$C$2000,3,FALSE())</f>
        <v>7.5</v>
      </c>
      <c r="E350" s="32" t="n">
        <f aca="false">VLOOKUP($A350,'Order Sales'!$A$2:$G$2154,E$1,FALSE())</f>
        <v>9</v>
      </c>
      <c r="F350" s="32" t="n">
        <f aca="false">VLOOKUP($A350,'Order Sales'!$A$2:$G$2154,F$1,FALSE())</f>
        <v>56.9</v>
      </c>
      <c r="G350" s="32" t="str">
        <f aca="false">VLOOKUP($A350,'Order Sales'!$A$2:$G$2154,G$1,FALSE())</f>
        <v>Home Office</v>
      </c>
    </row>
    <row r="351" customFormat="false" ht="14.25" hidden="false" customHeight="false" outlineLevel="0" collapsed="false">
      <c r="A351" s="1" t="n">
        <v>1941</v>
      </c>
      <c r="B351" s="30" t="n">
        <v>43178</v>
      </c>
      <c r="C351" s="30" t="n">
        <v>43473</v>
      </c>
      <c r="D351" s="31" t="n">
        <f aca="false">VLOOKUP(A351,'Order Shipping'!$A$2:$C$2000,3,FALSE())</f>
        <v>3.2</v>
      </c>
      <c r="E351" s="32" t="n">
        <f aca="false">VLOOKUP($A351,'Order Sales'!$A$2:$G$2154,E$1,FALSE())</f>
        <v>1</v>
      </c>
      <c r="F351" s="32" t="n">
        <f aca="false">VLOOKUP($A351,'Order Sales'!$A$2:$G$2154,F$1,FALSE())</f>
        <v>8.17</v>
      </c>
      <c r="G351" s="32" t="str">
        <f aca="false">VLOOKUP($A351,'Order Sales'!$A$2:$G$2154,G$1,FALSE())</f>
        <v>Corporate</v>
      </c>
    </row>
    <row r="352" customFormat="false" ht="14.25" hidden="false" customHeight="false" outlineLevel="0" collapsed="false">
      <c r="A352" s="1" t="n">
        <v>2745</v>
      </c>
      <c r="B352" s="30" t="n">
        <v>43103</v>
      </c>
      <c r="C352" s="30" t="n">
        <v>43474</v>
      </c>
      <c r="D352" s="31" t="n">
        <f aca="false">VLOOKUP(A352,'Order Shipping'!$A$2:$C$2000,3,FALSE())</f>
        <v>7.7</v>
      </c>
      <c r="E352" s="32" t="n">
        <f aca="false">VLOOKUP($A352,'Order Sales'!$A$2:$G$2154,E$1,FALSE())</f>
        <v>41</v>
      </c>
      <c r="F352" s="32" t="n">
        <f aca="false">VLOOKUP($A352,'Order Sales'!$A$2:$G$2154,F$1,FALSE())</f>
        <v>12715.02</v>
      </c>
      <c r="G352" s="32" t="str">
        <f aca="false">VLOOKUP($A352,'Order Sales'!$A$2:$G$2154,G$1,FALSE())</f>
        <v>Home Office</v>
      </c>
    </row>
    <row r="353" customFormat="false" ht="14.25" hidden="false" customHeight="false" outlineLevel="0" collapsed="false">
      <c r="A353" s="1" t="n">
        <v>2730</v>
      </c>
      <c r="B353" s="30" t="n">
        <v>43404</v>
      </c>
      <c r="C353" s="30" t="n">
        <v>43475</v>
      </c>
      <c r="D353" s="31" t="n">
        <f aca="false">VLOOKUP(A353,'Order Shipping'!$A$2:$C$2000,3,FALSE())</f>
        <v>10.4</v>
      </c>
      <c r="E353" s="32" t="n">
        <f aca="false">VLOOKUP($A353,'Order Sales'!$A$2:$G$2154,E$1,FALSE())</f>
        <v>39</v>
      </c>
      <c r="F353" s="32" t="n">
        <f aca="false">VLOOKUP($A353,'Order Sales'!$A$2:$G$2154,F$1,FALSE())</f>
        <v>279.44</v>
      </c>
      <c r="G353" s="32" t="str">
        <f aca="false">VLOOKUP($A353,'Order Sales'!$A$2:$G$2154,G$1,FALSE())</f>
        <v>Home Office</v>
      </c>
    </row>
    <row r="354" customFormat="false" ht="14.25" hidden="false" customHeight="false" outlineLevel="0" collapsed="false">
      <c r="A354" s="1" t="n">
        <v>2583</v>
      </c>
      <c r="B354" s="30" t="n">
        <v>43354</v>
      </c>
      <c r="C354" s="30" t="n">
        <v>43476</v>
      </c>
      <c r="D354" s="31" t="n">
        <f aca="false">VLOOKUP(A354,'Order Shipping'!$A$2:$C$2000,3,FALSE())</f>
        <v>18.1</v>
      </c>
      <c r="E354" s="32" t="n">
        <f aca="false">VLOOKUP($A354,'Order Sales'!$A$2:$G$2154,E$1,FALSE())</f>
        <v>4</v>
      </c>
      <c r="F354" s="32" t="n">
        <f aca="false">VLOOKUP($A354,'Order Sales'!$A$2:$G$2154,F$1,FALSE())</f>
        <v>116.49</v>
      </c>
      <c r="G354" s="32" t="str">
        <f aca="false">VLOOKUP($A354,'Order Sales'!$A$2:$G$2154,G$1,FALSE())</f>
        <v>Home Office</v>
      </c>
    </row>
    <row r="355" customFormat="false" ht="14.25" hidden="false" customHeight="false" outlineLevel="0" collapsed="false">
      <c r="A355" s="1" t="n">
        <v>1030</v>
      </c>
      <c r="B355" s="30" t="n">
        <v>43238</v>
      </c>
      <c r="C355" s="30" t="n">
        <v>43477</v>
      </c>
      <c r="D355" s="31" t="n">
        <f aca="false">VLOOKUP(A355,'Order Shipping'!$A$2:$C$2000,3,FALSE())</f>
        <v>19.3</v>
      </c>
      <c r="E355" s="32" t="n">
        <f aca="false">VLOOKUP($A355,'Order Sales'!$A$2:$G$2154,E$1,FALSE())</f>
        <v>6</v>
      </c>
      <c r="F355" s="32" t="n">
        <f aca="false">VLOOKUP($A355,'Order Sales'!$A$2:$G$2154,F$1,FALSE())</f>
        <v>1401.2</v>
      </c>
      <c r="G355" s="32" t="str">
        <f aca="false">VLOOKUP($A355,'Order Sales'!$A$2:$G$2154,G$1,FALSE())</f>
        <v>Home Office</v>
      </c>
    </row>
    <row r="356" customFormat="false" ht="14.25" hidden="false" customHeight="false" outlineLevel="0" collapsed="false">
      <c r="A356" s="1" t="n">
        <v>1560</v>
      </c>
      <c r="B356" s="30" t="n">
        <v>43325</v>
      </c>
      <c r="C356" s="30" t="n">
        <v>43478</v>
      </c>
      <c r="D356" s="31" t="n">
        <f aca="false">VLOOKUP(A356,'Order Shipping'!$A$2:$C$2000,3,FALSE())</f>
        <v>62.8</v>
      </c>
      <c r="E356" s="32" t="n">
        <f aca="false">VLOOKUP($A356,'Order Sales'!$A$2:$G$2154,E$1,FALSE())</f>
        <v>29</v>
      </c>
      <c r="F356" s="32" t="n">
        <f aca="false">VLOOKUP($A356,'Order Sales'!$A$2:$G$2154,F$1,FALSE())</f>
        <v>3443.71</v>
      </c>
      <c r="G356" s="32" t="str">
        <f aca="false">VLOOKUP($A356,'Order Sales'!$A$2:$G$2154,G$1,FALSE())</f>
        <v>Consumer</v>
      </c>
    </row>
    <row r="357" customFormat="false" ht="14.25" hidden="false" customHeight="false" outlineLevel="0" collapsed="false">
      <c r="A357" s="1" t="n">
        <v>2389</v>
      </c>
      <c r="B357" s="30" t="n">
        <v>43241</v>
      </c>
      <c r="C357" s="30" t="n">
        <v>43479</v>
      </c>
      <c r="D357" s="31" t="n">
        <f aca="false">VLOOKUP(A357,'Order Shipping'!$A$2:$C$2000,3,FALSE())</f>
        <v>20.3</v>
      </c>
      <c r="E357" s="32" t="n">
        <f aca="false">VLOOKUP($A357,'Order Sales'!$A$2:$G$2154,E$1,FALSE())</f>
        <v>22</v>
      </c>
      <c r="F357" s="32" t="n">
        <f aca="false">VLOOKUP($A357,'Order Sales'!$A$2:$G$2154,F$1,FALSE())</f>
        <v>905.85</v>
      </c>
      <c r="G357" s="32" t="str">
        <f aca="false">VLOOKUP($A357,'Order Sales'!$A$2:$G$2154,G$1,FALSE())</f>
        <v>Corporate</v>
      </c>
    </row>
    <row r="358" customFormat="false" ht="14.25" hidden="false" customHeight="false" outlineLevel="0" collapsed="false">
      <c r="A358" s="1" t="n">
        <v>1893</v>
      </c>
      <c r="B358" s="30" t="n">
        <v>43434</v>
      </c>
      <c r="C358" s="30" t="n">
        <v>43480</v>
      </c>
      <c r="D358" s="31" t="n">
        <f aca="false">VLOOKUP(A358,'Order Shipping'!$A$2:$C$2000,3,FALSE())</f>
        <v>3.9</v>
      </c>
      <c r="E358" s="32" t="n">
        <f aca="false">VLOOKUP($A358,'Order Sales'!$A$2:$G$2154,E$1,FALSE())</f>
        <v>42</v>
      </c>
      <c r="F358" s="32" t="n">
        <f aca="false">VLOOKUP($A358,'Order Sales'!$A$2:$G$2154,F$1,FALSE())</f>
        <v>952.95</v>
      </c>
      <c r="G358" s="32" t="str">
        <f aca="false">VLOOKUP($A358,'Order Sales'!$A$2:$G$2154,G$1,FALSE())</f>
        <v>Home Office</v>
      </c>
    </row>
    <row r="359" customFormat="false" ht="14.25" hidden="false" customHeight="false" outlineLevel="0" collapsed="false">
      <c r="A359" s="1" t="n">
        <v>2925</v>
      </c>
      <c r="B359" s="30" t="n">
        <v>43443</v>
      </c>
      <c r="C359" s="30" t="n">
        <v>43481</v>
      </c>
      <c r="D359" s="31" t="n">
        <f aca="false">VLOOKUP(A359,'Order Shipping'!$A$2:$C$2000,3,FALSE())</f>
        <v>5.6</v>
      </c>
      <c r="E359" s="32" t="n">
        <f aca="false">VLOOKUP($A359,'Order Sales'!$A$2:$G$2154,E$1,FALSE())</f>
        <v>6</v>
      </c>
      <c r="F359" s="32" t="n">
        <f aca="false">VLOOKUP($A359,'Order Sales'!$A$2:$G$2154,F$1,FALSE())</f>
        <v>51.41</v>
      </c>
      <c r="G359" s="32" t="str">
        <f aca="false">VLOOKUP($A359,'Order Sales'!$A$2:$G$2154,G$1,FALSE())</f>
        <v>Corporate</v>
      </c>
    </row>
    <row r="360" customFormat="false" ht="14.25" hidden="false" customHeight="false" outlineLevel="0" collapsed="false">
      <c r="A360" s="1" t="n">
        <v>2267</v>
      </c>
      <c r="B360" s="30" t="n">
        <v>43260</v>
      </c>
      <c r="C360" s="30" t="n">
        <v>43482</v>
      </c>
      <c r="D360" s="31" t="n">
        <f aca="false">VLOOKUP(A360,'Order Shipping'!$A$2:$C$2000,3,FALSE())</f>
        <v>26.2</v>
      </c>
      <c r="E360" s="32" t="n">
        <f aca="false">VLOOKUP($A360,'Order Sales'!$A$2:$G$2154,E$1,FALSE())</f>
        <v>9</v>
      </c>
      <c r="F360" s="32" t="n">
        <f aca="false">VLOOKUP($A360,'Order Sales'!$A$2:$G$2154,F$1,FALSE())</f>
        <v>1311.15</v>
      </c>
      <c r="G360" s="32" t="str">
        <f aca="false">VLOOKUP($A360,'Order Sales'!$A$2:$G$2154,G$1,FALSE())</f>
        <v>Consumer</v>
      </c>
    </row>
    <row r="361" customFormat="false" ht="14.25" hidden="false" customHeight="false" outlineLevel="0" collapsed="false">
      <c r="A361" s="1" t="n">
        <v>1821</v>
      </c>
      <c r="B361" s="30" t="n">
        <v>43187</v>
      </c>
      <c r="C361" s="30" t="n">
        <v>43483</v>
      </c>
      <c r="D361" s="31" t="n">
        <f aca="false">VLOOKUP(A361,'Order Shipping'!$A$2:$C$2000,3,FALSE())</f>
        <v>21.4</v>
      </c>
      <c r="E361" s="32" t="n">
        <f aca="false">VLOOKUP($A361,'Order Sales'!$A$2:$G$2154,E$1,FALSE())</f>
        <v>6</v>
      </c>
      <c r="F361" s="32" t="n">
        <f aca="false">VLOOKUP($A361,'Order Sales'!$A$2:$G$2154,F$1,FALSE())</f>
        <v>2705.48</v>
      </c>
      <c r="G361" s="32" t="str">
        <f aca="false">VLOOKUP($A361,'Order Sales'!$A$2:$G$2154,G$1,FALSE())</f>
        <v>Corporate</v>
      </c>
    </row>
    <row r="362" customFormat="false" ht="14.25" hidden="false" customHeight="false" outlineLevel="0" collapsed="false">
      <c r="A362" s="1" t="n">
        <v>2584</v>
      </c>
      <c r="B362" s="30" t="n">
        <v>43242</v>
      </c>
      <c r="C362" s="30" t="n">
        <v>43484</v>
      </c>
      <c r="D362" s="31" t="n">
        <f aca="false">VLOOKUP(A362,'Order Shipping'!$A$2:$C$2000,3,FALSE())</f>
        <v>9.9</v>
      </c>
      <c r="E362" s="32" t="n">
        <f aca="false">VLOOKUP($A362,'Order Sales'!$A$2:$G$2154,E$1,FALSE())</f>
        <v>16</v>
      </c>
      <c r="F362" s="32" t="n">
        <f aca="false">VLOOKUP($A362,'Order Sales'!$A$2:$G$2154,F$1,FALSE())</f>
        <v>149.47</v>
      </c>
      <c r="G362" s="32" t="str">
        <f aca="false">VLOOKUP($A362,'Order Sales'!$A$2:$G$2154,G$1,FALSE())</f>
        <v>Home Office</v>
      </c>
    </row>
    <row r="363" customFormat="false" ht="14.25" hidden="false" customHeight="false" outlineLevel="0" collapsed="false">
      <c r="A363" s="1" t="n">
        <v>2138</v>
      </c>
      <c r="B363" s="30" t="n">
        <v>43397</v>
      </c>
      <c r="C363" s="30" t="n">
        <v>43485</v>
      </c>
      <c r="D363" s="31" t="n">
        <f aca="false">VLOOKUP(A363,'Order Shipping'!$A$2:$C$2000,3,FALSE())</f>
        <v>32.1</v>
      </c>
      <c r="E363" s="32" t="n">
        <f aca="false">VLOOKUP($A363,'Order Sales'!$A$2:$G$2154,E$1,FALSE())</f>
        <v>19</v>
      </c>
      <c r="F363" s="32" t="n">
        <f aca="false">VLOOKUP($A363,'Order Sales'!$A$2:$G$2154,F$1,FALSE())</f>
        <v>1730.05</v>
      </c>
      <c r="G363" s="32" t="str">
        <f aca="false">VLOOKUP($A363,'Order Sales'!$A$2:$G$2154,G$1,FALSE())</f>
        <v>Small Business</v>
      </c>
    </row>
    <row r="364" customFormat="false" ht="14.25" hidden="false" customHeight="false" outlineLevel="0" collapsed="false">
      <c r="A364" s="1" t="n">
        <v>1353</v>
      </c>
      <c r="B364" s="30" t="n">
        <v>43246</v>
      </c>
      <c r="C364" s="30" t="n">
        <v>43486</v>
      </c>
      <c r="D364" s="31" t="n">
        <f aca="false">VLOOKUP(A364,'Order Shipping'!$A$2:$C$2000,3,FALSE())</f>
        <v>0.7</v>
      </c>
      <c r="E364" s="32" t="n">
        <f aca="false">VLOOKUP($A364,'Order Sales'!$A$2:$G$2154,E$1,FALSE())</f>
        <v>46</v>
      </c>
      <c r="F364" s="32" t="n">
        <f aca="false">VLOOKUP($A364,'Order Sales'!$A$2:$G$2154,F$1,FALSE())</f>
        <v>85.89</v>
      </c>
      <c r="G364" s="32" t="str">
        <f aca="false">VLOOKUP($A364,'Order Sales'!$A$2:$G$2154,G$1,FALSE())</f>
        <v>Corporate</v>
      </c>
    </row>
    <row r="365" customFormat="false" ht="14.25" hidden="false" customHeight="false" outlineLevel="0" collapsed="false">
      <c r="A365" s="1" t="n">
        <v>1362</v>
      </c>
      <c r="B365" s="30" t="n">
        <v>43168</v>
      </c>
      <c r="C365" s="30" t="n">
        <v>43487</v>
      </c>
      <c r="D365" s="31" t="n">
        <f aca="false">VLOOKUP(A365,'Order Shipping'!$A$2:$C$2000,3,FALSE())</f>
        <v>5.4</v>
      </c>
      <c r="E365" s="32" t="n">
        <f aca="false">VLOOKUP($A365,'Order Sales'!$A$2:$G$2154,E$1,FALSE())</f>
        <v>23</v>
      </c>
      <c r="F365" s="32" t="n">
        <f aca="false">VLOOKUP($A365,'Order Sales'!$A$2:$G$2154,F$1,FALSE())</f>
        <v>144.78</v>
      </c>
      <c r="G365" s="32" t="str">
        <f aca="false">VLOOKUP($A365,'Order Sales'!$A$2:$G$2154,G$1,FALSE())</f>
        <v>Small Business</v>
      </c>
    </row>
    <row r="366" customFormat="false" ht="14.25" hidden="false" customHeight="false" outlineLevel="0" collapsed="false">
      <c r="A366" s="1" t="n">
        <v>2673</v>
      </c>
      <c r="B366" s="30" t="n">
        <v>43134</v>
      </c>
      <c r="C366" s="30" t="n">
        <v>43488</v>
      </c>
      <c r="D366" s="31" t="n">
        <f aca="false">VLOOKUP(A366,'Order Shipping'!$A$2:$C$2000,3,FALSE())</f>
        <v>0.8</v>
      </c>
      <c r="E366" s="32" t="n">
        <f aca="false">VLOOKUP($A366,'Order Sales'!$A$2:$G$2154,E$1,FALSE())</f>
        <v>32</v>
      </c>
      <c r="F366" s="32" t="n">
        <f aca="false">VLOOKUP($A366,'Order Sales'!$A$2:$G$2154,F$1,FALSE())</f>
        <v>78.7</v>
      </c>
      <c r="G366" s="32" t="str">
        <f aca="false">VLOOKUP($A366,'Order Sales'!$A$2:$G$2154,G$1,FALSE())</f>
        <v>Corporate</v>
      </c>
    </row>
    <row r="367" customFormat="false" ht="14.25" hidden="false" customHeight="false" outlineLevel="0" collapsed="false">
      <c r="A367" s="1" t="n">
        <v>2105</v>
      </c>
      <c r="B367" s="30" t="n">
        <v>43109</v>
      </c>
      <c r="C367" s="30" t="n">
        <v>43489</v>
      </c>
      <c r="D367" s="31" t="n">
        <f aca="false">VLOOKUP(A367,'Order Shipping'!$A$2:$C$2000,3,FALSE())</f>
        <v>0.5</v>
      </c>
      <c r="E367" s="32" t="n">
        <f aca="false">VLOOKUP($A367,'Order Sales'!$A$2:$G$2154,E$1,FALSE())</f>
        <v>13</v>
      </c>
      <c r="F367" s="32" t="n">
        <f aca="false">VLOOKUP($A367,'Order Sales'!$A$2:$G$2154,F$1,FALSE())</f>
        <v>53.22</v>
      </c>
      <c r="G367" s="32" t="str">
        <f aca="false">VLOOKUP($A367,'Order Sales'!$A$2:$G$2154,G$1,FALSE())</f>
        <v>Corporate</v>
      </c>
    </row>
    <row r="368" customFormat="false" ht="14.25" hidden="false" customHeight="false" outlineLevel="0" collapsed="false">
      <c r="A368" s="1" t="n">
        <v>1638</v>
      </c>
      <c r="B368" s="30" t="n">
        <v>43378</v>
      </c>
      <c r="C368" s="30" t="n">
        <v>43490</v>
      </c>
      <c r="D368" s="31" t="n">
        <f aca="false">VLOOKUP(A368,'Order Shipping'!$A$2:$C$2000,3,FALSE())</f>
        <v>15</v>
      </c>
      <c r="E368" s="32" t="n">
        <f aca="false">VLOOKUP($A368,'Order Sales'!$A$2:$G$2154,E$1,FALSE())</f>
        <v>39</v>
      </c>
      <c r="F368" s="32" t="n">
        <f aca="false">VLOOKUP($A368,'Order Sales'!$A$2:$G$2154,F$1,FALSE())</f>
        <v>5199.53</v>
      </c>
      <c r="G368" s="32" t="str">
        <f aca="false">VLOOKUP($A368,'Order Sales'!$A$2:$G$2154,G$1,FALSE())</f>
        <v>Consumer</v>
      </c>
    </row>
    <row r="369" customFormat="false" ht="14.25" hidden="false" customHeight="false" outlineLevel="0" collapsed="false">
      <c r="A369" s="1" t="n">
        <v>1974</v>
      </c>
      <c r="B369" s="30" t="n">
        <v>43374</v>
      </c>
      <c r="C369" s="30" t="n">
        <v>43491</v>
      </c>
      <c r="D369" s="31" t="n">
        <f aca="false">VLOOKUP(A369,'Order Shipping'!$A$2:$C$2000,3,FALSE())</f>
        <v>0.7</v>
      </c>
      <c r="E369" s="32" t="n">
        <f aca="false">VLOOKUP($A369,'Order Sales'!$A$2:$G$2154,E$1,FALSE())</f>
        <v>31</v>
      </c>
      <c r="F369" s="32" t="n">
        <f aca="false">VLOOKUP($A369,'Order Sales'!$A$2:$G$2154,F$1,FALSE())</f>
        <v>150.54</v>
      </c>
      <c r="G369" s="32" t="str">
        <f aca="false">VLOOKUP($A369,'Order Sales'!$A$2:$G$2154,G$1,FALSE())</f>
        <v>Corporate</v>
      </c>
    </row>
    <row r="370" customFormat="false" ht="14.25" hidden="false" customHeight="false" outlineLevel="0" collapsed="false">
      <c r="A370" s="1" t="n">
        <v>2321</v>
      </c>
      <c r="B370" s="30" t="n">
        <v>43321</v>
      </c>
      <c r="C370" s="30" t="n">
        <v>43492</v>
      </c>
      <c r="D370" s="31" t="n">
        <f aca="false">VLOOKUP(A370,'Order Shipping'!$A$2:$C$2000,3,FALSE())</f>
        <v>0.8</v>
      </c>
      <c r="E370" s="32" t="n">
        <f aca="false">VLOOKUP($A370,'Order Sales'!$A$2:$G$2154,E$1,FALSE())</f>
        <v>30</v>
      </c>
      <c r="F370" s="32" t="n">
        <f aca="false">VLOOKUP($A370,'Order Sales'!$A$2:$G$2154,F$1,FALSE())</f>
        <v>72.91</v>
      </c>
      <c r="G370" s="32" t="str">
        <f aca="false">VLOOKUP($A370,'Order Sales'!$A$2:$G$2154,G$1,FALSE())</f>
        <v>Corporate</v>
      </c>
    </row>
    <row r="371" customFormat="false" ht="14.25" hidden="false" customHeight="false" outlineLevel="0" collapsed="false">
      <c r="A371" s="1" t="n">
        <v>2021</v>
      </c>
      <c r="B371" s="30" t="n">
        <v>43305</v>
      </c>
      <c r="C371" s="30" t="n">
        <v>43493</v>
      </c>
      <c r="D371" s="31" t="n">
        <f aca="false">VLOOKUP(A371,'Order Shipping'!$A$2:$C$2000,3,FALSE())</f>
        <v>9.6</v>
      </c>
      <c r="E371" s="32" t="n">
        <f aca="false">VLOOKUP($A371,'Order Sales'!$A$2:$G$2154,E$1,FALSE())</f>
        <v>41</v>
      </c>
      <c r="F371" s="32" t="n">
        <f aca="false">VLOOKUP($A371,'Order Sales'!$A$2:$G$2154,F$1,FALSE())</f>
        <v>1506.92</v>
      </c>
      <c r="G371" s="32" t="str">
        <f aca="false">VLOOKUP($A371,'Order Sales'!$A$2:$G$2154,G$1,FALSE())</f>
        <v>Small Business</v>
      </c>
    </row>
    <row r="372" customFormat="false" ht="14.25" hidden="false" customHeight="false" outlineLevel="0" collapsed="false">
      <c r="A372" s="1" t="n">
        <v>2193</v>
      </c>
      <c r="B372" s="30" t="n">
        <v>43227</v>
      </c>
      <c r="C372" s="30" t="n">
        <v>43494</v>
      </c>
      <c r="D372" s="31" t="n">
        <f aca="false">VLOOKUP(A372,'Order Shipping'!$A$2:$C$2000,3,FALSE())</f>
        <v>8.6</v>
      </c>
      <c r="E372" s="32" t="n">
        <f aca="false">VLOOKUP($A372,'Order Sales'!$A$2:$G$2154,E$1,FALSE())</f>
        <v>48</v>
      </c>
      <c r="F372" s="32" t="n">
        <f aca="false">VLOOKUP($A372,'Order Sales'!$A$2:$G$2154,F$1,FALSE())</f>
        <v>5524.42</v>
      </c>
      <c r="G372" s="32" t="str">
        <f aca="false">VLOOKUP($A372,'Order Sales'!$A$2:$G$2154,G$1,FALSE())</f>
        <v>Small Business</v>
      </c>
    </row>
    <row r="373" customFormat="false" ht="14.25" hidden="false" customHeight="false" outlineLevel="0" collapsed="false">
      <c r="A373" s="1" t="n">
        <v>1115</v>
      </c>
      <c r="B373" s="30" t="n">
        <v>43464</v>
      </c>
      <c r="C373" s="30" t="n">
        <v>43495</v>
      </c>
      <c r="D373" s="31" t="n">
        <f aca="false">VLOOKUP(A373,'Order Shipping'!$A$2:$C$2000,3,FALSE())</f>
        <v>1.5</v>
      </c>
      <c r="E373" s="32" t="n">
        <f aca="false">VLOOKUP($A373,'Order Sales'!$A$2:$G$2154,E$1,FALSE())</f>
        <v>18</v>
      </c>
      <c r="F373" s="32" t="n">
        <f aca="false">VLOOKUP($A373,'Order Sales'!$A$2:$G$2154,F$1,FALSE())</f>
        <v>156.33</v>
      </c>
      <c r="G373" s="32" t="str">
        <f aca="false">VLOOKUP($A373,'Order Sales'!$A$2:$G$2154,G$1,FALSE())</f>
        <v>Home Office</v>
      </c>
    </row>
    <row r="374" customFormat="false" ht="14.25" hidden="false" customHeight="false" outlineLevel="0" collapsed="false">
      <c r="A374" s="1" t="n">
        <v>2598</v>
      </c>
      <c r="B374" s="30" t="n">
        <v>43298</v>
      </c>
      <c r="C374" s="30" t="n">
        <v>43496</v>
      </c>
      <c r="D374" s="31" t="n">
        <f aca="false">VLOOKUP(A374,'Order Shipping'!$A$2:$C$2000,3,FALSE())</f>
        <v>4.2</v>
      </c>
      <c r="E374" s="32" t="n">
        <f aca="false">VLOOKUP($A374,'Order Sales'!$A$2:$G$2154,E$1,FALSE())</f>
        <v>39</v>
      </c>
      <c r="F374" s="32" t="n">
        <f aca="false">VLOOKUP($A374,'Order Sales'!$A$2:$G$2154,F$1,FALSE())</f>
        <v>5135.77</v>
      </c>
      <c r="G374" s="32" t="str">
        <f aca="false">VLOOKUP($A374,'Order Sales'!$A$2:$G$2154,G$1,FALSE())</f>
        <v>Corporate</v>
      </c>
    </row>
    <row r="375" customFormat="false" ht="14.25" hidden="false" customHeight="false" outlineLevel="0" collapsed="false">
      <c r="A375" s="1" t="n">
        <v>1935</v>
      </c>
      <c r="B375" s="30" t="n">
        <v>43287</v>
      </c>
      <c r="C375" s="30" t="n">
        <v>43497</v>
      </c>
      <c r="D375" s="31" t="n">
        <f aca="false">VLOOKUP(A375,'Order Shipping'!$A$2:$C$2000,3,FALSE())</f>
        <v>9.3</v>
      </c>
      <c r="E375" s="32" t="n">
        <f aca="false">VLOOKUP($A375,'Order Sales'!$A$2:$G$2154,E$1,FALSE())</f>
        <v>3</v>
      </c>
      <c r="F375" s="32" t="n">
        <f aca="false">VLOOKUP($A375,'Order Sales'!$A$2:$G$2154,F$1,FALSE())</f>
        <v>9814.38</v>
      </c>
      <c r="G375" s="32" t="str">
        <f aca="false">VLOOKUP($A375,'Order Sales'!$A$2:$G$2154,G$1,FALSE())</f>
        <v>Consumer</v>
      </c>
    </row>
    <row r="376" customFormat="false" ht="14.25" hidden="false" customHeight="false" outlineLevel="0" collapsed="false">
      <c r="A376" s="1" t="n">
        <v>1664</v>
      </c>
      <c r="B376" s="30" t="n">
        <v>43109</v>
      </c>
      <c r="C376" s="30" t="n">
        <v>43498</v>
      </c>
      <c r="D376" s="31" t="n">
        <f aca="false">VLOOKUP(A376,'Order Shipping'!$A$2:$C$2000,3,FALSE())</f>
        <v>5.1</v>
      </c>
      <c r="E376" s="32" t="n">
        <f aca="false">VLOOKUP($A376,'Order Sales'!$A$2:$G$2154,E$1,FALSE())</f>
        <v>3</v>
      </c>
      <c r="F376" s="32" t="n">
        <f aca="false">VLOOKUP($A376,'Order Sales'!$A$2:$G$2154,F$1,FALSE())</f>
        <v>18.94</v>
      </c>
      <c r="G376" s="32" t="str">
        <f aca="false">VLOOKUP($A376,'Order Sales'!$A$2:$G$2154,G$1,FALSE())</f>
        <v>Home Office</v>
      </c>
    </row>
    <row r="377" customFormat="false" ht="14.25" hidden="false" customHeight="false" outlineLevel="0" collapsed="false">
      <c r="A377" s="1" t="n">
        <v>2613</v>
      </c>
      <c r="B377" s="30" t="n">
        <v>43327</v>
      </c>
      <c r="C377" s="30" t="n">
        <v>43499</v>
      </c>
      <c r="D377" s="31" t="n">
        <f aca="false">VLOOKUP(A377,'Order Shipping'!$A$2:$C$2000,3,FALSE())</f>
        <v>21.4</v>
      </c>
      <c r="E377" s="32" t="n">
        <f aca="false">VLOOKUP($A377,'Order Sales'!$A$2:$G$2154,E$1,FALSE())</f>
        <v>28</v>
      </c>
      <c r="F377" s="32" t="n">
        <f aca="false">VLOOKUP($A377,'Order Sales'!$A$2:$G$2154,F$1,FALSE())</f>
        <v>1559.82</v>
      </c>
      <c r="G377" s="32" t="str">
        <f aca="false">VLOOKUP($A377,'Order Sales'!$A$2:$G$2154,G$1,FALSE())</f>
        <v>Consumer</v>
      </c>
    </row>
    <row r="378" customFormat="false" ht="14.25" hidden="false" customHeight="false" outlineLevel="0" collapsed="false">
      <c r="A378" s="1" t="n">
        <v>2254</v>
      </c>
      <c r="B378" s="30" t="n">
        <v>43392</v>
      </c>
      <c r="C378" s="30" t="n">
        <v>43500</v>
      </c>
      <c r="D378" s="31" t="n">
        <f aca="false">VLOOKUP(A378,'Order Shipping'!$A$2:$C$2000,3,FALSE())</f>
        <v>71.3</v>
      </c>
      <c r="E378" s="32" t="n">
        <f aca="false">VLOOKUP($A378,'Order Sales'!$A$2:$G$2154,E$1,FALSE())</f>
        <v>4</v>
      </c>
      <c r="F378" s="32" t="n">
        <f aca="false">VLOOKUP($A378,'Order Sales'!$A$2:$G$2154,F$1,FALSE())</f>
        <v>1215.13</v>
      </c>
      <c r="G378" s="32" t="str">
        <f aca="false">VLOOKUP($A378,'Order Sales'!$A$2:$G$2154,G$1,FALSE())</f>
        <v>Small Business</v>
      </c>
    </row>
    <row r="379" customFormat="false" ht="14.25" hidden="false" customHeight="false" outlineLevel="0" collapsed="false">
      <c r="A379" s="1" t="n">
        <v>2079</v>
      </c>
      <c r="B379" s="30" t="n">
        <v>43377</v>
      </c>
      <c r="C379" s="30" t="n">
        <v>43501</v>
      </c>
      <c r="D379" s="31" t="n">
        <f aca="false">VLOOKUP(A379,'Order Shipping'!$A$2:$C$2000,3,FALSE())</f>
        <v>8</v>
      </c>
      <c r="E379" s="32" t="n">
        <f aca="false">VLOOKUP($A379,'Order Sales'!$A$2:$G$2154,E$1,FALSE())</f>
        <v>25</v>
      </c>
      <c r="F379" s="32" t="n">
        <f aca="false">VLOOKUP($A379,'Order Sales'!$A$2:$G$2154,F$1,FALSE())</f>
        <v>387.9</v>
      </c>
      <c r="G379" s="32" t="str">
        <f aca="false">VLOOKUP($A379,'Order Sales'!$A$2:$G$2154,G$1,FALSE())</f>
        <v>Corporate</v>
      </c>
    </row>
    <row r="380" customFormat="false" ht="14.25" hidden="false" customHeight="false" outlineLevel="0" collapsed="false">
      <c r="A380" s="1" t="n">
        <v>1262</v>
      </c>
      <c r="B380" s="30" t="n">
        <v>43348</v>
      </c>
      <c r="C380" s="30" t="n">
        <v>43502</v>
      </c>
      <c r="D380" s="31" t="n">
        <f aca="false">VLOOKUP(A380,'Order Shipping'!$A$2:$C$2000,3,FALSE())</f>
        <v>2.7</v>
      </c>
      <c r="E380" s="32" t="n">
        <f aca="false">VLOOKUP($A380,'Order Sales'!$A$2:$G$2154,E$1,FALSE())</f>
        <v>45</v>
      </c>
      <c r="F380" s="32" t="n">
        <f aca="false">VLOOKUP($A380,'Order Sales'!$A$2:$G$2154,F$1,FALSE())</f>
        <v>820.65</v>
      </c>
      <c r="G380" s="32" t="str">
        <f aca="false">VLOOKUP($A380,'Order Sales'!$A$2:$G$2154,G$1,FALSE())</f>
        <v>Home Office</v>
      </c>
    </row>
    <row r="381" customFormat="false" ht="14.25" hidden="false" customHeight="false" outlineLevel="0" collapsed="false">
      <c r="A381" s="1" t="n">
        <v>2509</v>
      </c>
      <c r="B381" s="30" t="n">
        <v>43160</v>
      </c>
      <c r="C381" s="30" t="n">
        <v>43503</v>
      </c>
      <c r="D381" s="31" t="n">
        <f aca="false">VLOOKUP(A381,'Order Shipping'!$A$2:$C$2000,3,FALSE())</f>
        <v>6.9</v>
      </c>
      <c r="E381" s="32" t="n">
        <f aca="false">VLOOKUP($A381,'Order Sales'!$A$2:$G$2154,E$1,FALSE())</f>
        <v>38</v>
      </c>
      <c r="F381" s="32" t="n">
        <f aca="false">VLOOKUP($A381,'Order Sales'!$A$2:$G$2154,F$1,FALSE())</f>
        <v>526.2</v>
      </c>
      <c r="G381" s="32" t="str">
        <f aca="false">VLOOKUP($A381,'Order Sales'!$A$2:$G$2154,G$1,FALSE())</f>
        <v>Small Business</v>
      </c>
    </row>
    <row r="382" customFormat="false" ht="14.25" hidden="false" customHeight="false" outlineLevel="0" collapsed="false">
      <c r="A382" s="1" t="n">
        <v>1904</v>
      </c>
      <c r="B382" s="30" t="n">
        <v>43422</v>
      </c>
      <c r="C382" s="30" t="n">
        <v>43504</v>
      </c>
      <c r="D382" s="31" t="n">
        <f aca="false">VLOOKUP(A382,'Order Shipping'!$A$2:$C$2000,3,FALSE())</f>
        <v>5.2</v>
      </c>
      <c r="E382" s="32" t="n">
        <f aca="false">VLOOKUP($A382,'Order Sales'!$A$2:$G$2154,E$1,FALSE())</f>
        <v>31</v>
      </c>
      <c r="F382" s="32" t="n">
        <f aca="false">VLOOKUP($A382,'Order Sales'!$A$2:$G$2154,F$1,FALSE())</f>
        <v>176.46</v>
      </c>
      <c r="G382" s="32" t="str">
        <f aca="false">VLOOKUP($A382,'Order Sales'!$A$2:$G$2154,G$1,FALSE())</f>
        <v>Small Business</v>
      </c>
    </row>
    <row r="383" customFormat="false" ht="14.25" hidden="false" customHeight="false" outlineLevel="0" collapsed="false">
      <c r="A383" s="1" t="n">
        <v>1451</v>
      </c>
      <c r="B383" s="30" t="n">
        <v>43228</v>
      </c>
      <c r="C383" s="30" t="n">
        <v>43505</v>
      </c>
      <c r="D383" s="31" t="n">
        <f aca="false">VLOOKUP(A383,'Order Shipping'!$A$2:$C$2000,3,FALSE())</f>
        <v>46.8</v>
      </c>
      <c r="E383" s="32" t="n">
        <f aca="false">VLOOKUP($A383,'Order Sales'!$A$2:$G$2154,E$1,FALSE())</f>
        <v>26</v>
      </c>
      <c r="F383" s="32" t="n">
        <f aca="false">VLOOKUP($A383,'Order Sales'!$A$2:$G$2154,F$1,FALSE())</f>
        <v>3870.87</v>
      </c>
      <c r="G383" s="32" t="str">
        <f aca="false">VLOOKUP($A383,'Order Sales'!$A$2:$G$2154,G$1,FALSE())</f>
        <v>Corporate</v>
      </c>
    </row>
    <row r="384" customFormat="false" ht="14.25" hidden="false" customHeight="false" outlineLevel="0" collapsed="false">
      <c r="A384" s="1" t="n">
        <v>2133</v>
      </c>
      <c r="B384" s="30" t="n">
        <v>43152</v>
      </c>
      <c r="C384" s="30" t="n">
        <v>43506</v>
      </c>
      <c r="D384" s="31" t="n">
        <f aca="false">VLOOKUP(A384,'Order Shipping'!$A$2:$C$2000,3,FALSE())</f>
        <v>3.3</v>
      </c>
      <c r="E384" s="32" t="n">
        <f aca="false">VLOOKUP($A384,'Order Sales'!$A$2:$G$2154,E$1,FALSE())</f>
        <v>18</v>
      </c>
      <c r="F384" s="32" t="n">
        <f aca="false">VLOOKUP($A384,'Order Sales'!$A$2:$G$2154,F$1,FALSE())</f>
        <v>99.26</v>
      </c>
      <c r="G384" s="32" t="str">
        <f aca="false">VLOOKUP($A384,'Order Sales'!$A$2:$G$2154,G$1,FALSE())</f>
        <v>Small Business</v>
      </c>
    </row>
    <row r="385" customFormat="false" ht="14.25" hidden="false" customHeight="false" outlineLevel="0" collapsed="false">
      <c r="A385" s="1" t="n">
        <v>2373</v>
      </c>
      <c r="B385" s="30" t="n">
        <v>43450</v>
      </c>
      <c r="C385" s="30" t="n">
        <v>43507</v>
      </c>
      <c r="D385" s="31" t="n">
        <f aca="false">VLOOKUP(A385,'Order Shipping'!$A$2:$C$2000,3,FALSE())</f>
        <v>12.3</v>
      </c>
      <c r="E385" s="32" t="n">
        <f aca="false">VLOOKUP($A385,'Order Sales'!$A$2:$G$2154,E$1,FALSE())</f>
        <v>44</v>
      </c>
      <c r="F385" s="32" t="n">
        <f aca="false">VLOOKUP($A385,'Order Sales'!$A$2:$G$2154,F$1,FALSE())</f>
        <v>370.43</v>
      </c>
      <c r="G385" s="32" t="str">
        <f aca="false">VLOOKUP($A385,'Order Sales'!$A$2:$G$2154,G$1,FALSE())</f>
        <v>Home Office</v>
      </c>
    </row>
    <row r="386" customFormat="false" ht="14.25" hidden="false" customHeight="false" outlineLevel="0" collapsed="false">
      <c r="A386" s="1" t="n">
        <v>2696</v>
      </c>
      <c r="B386" s="30" t="n">
        <v>43430</v>
      </c>
      <c r="C386" s="30" t="n">
        <v>43508</v>
      </c>
      <c r="D386" s="31" t="n">
        <f aca="false">VLOOKUP(A386,'Order Shipping'!$A$2:$C$2000,3,FALSE())</f>
        <v>6.6</v>
      </c>
      <c r="E386" s="32" t="n">
        <f aca="false">VLOOKUP($A386,'Order Sales'!$A$2:$G$2154,E$1,FALSE())</f>
        <v>12</v>
      </c>
      <c r="F386" s="32" t="n">
        <f aca="false">VLOOKUP($A386,'Order Sales'!$A$2:$G$2154,F$1,FALSE())</f>
        <v>94.77</v>
      </c>
      <c r="G386" s="32" t="str">
        <f aca="false">VLOOKUP($A386,'Order Sales'!$A$2:$G$2154,G$1,FALSE())</f>
        <v>Small Business</v>
      </c>
    </row>
    <row r="387" customFormat="false" ht="14.25" hidden="false" customHeight="false" outlineLevel="0" collapsed="false">
      <c r="A387" s="1" t="n">
        <v>2347</v>
      </c>
      <c r="B387" s="30" t="n">
        <v>43158</v>
      </c>
      <c r="C387" s="30" t="n">
        <v>43509</v>
      </c>
      <c r="D387" s="31" t="n">
        <f aca="false">VLOOKUP(A387,'Order Shipping'!$A$2:$C$2000,3,FALSE())</f>
        <v>1.2</v>
      </c>
      <c r="E387" s="32" t="n">
        <f aca="false">VLOOKUP($A387,'Order Sales'!$A$2:$G$2154,E$1,FALSE())</f>
        <v>9</v>
      </c>
      <c r="F387" s="32" t="n">
        <f aca="false">VLOOKUP($A387,'Order Sales'!$A$2:$G$2154,F$1,FALSE())</f>
        <v>20.54</v>
      </c>
      <c r="G387" s="32" t="str">
        <f aca="false">VLOOKUP($A387,'Order Sales'!$A$2:$G$2154,G$1,FALSE())</f>
        <v>Corporate</v>
      </c>
    </row>
    <row r="388" customFormat="false" ht="14.25" hidden="false" customHeight="false" outlineLevel="0" collapsed="false">
      <c r="A388" s="1" t="n">
        <v>1414</v>
      </c>
      <c r="B388" s="30" t="n">
        <v>43387</v>
      </c>
      <c r="C388" s="30" t="n">
        <v>43510</v>
      </c>
      <c r="D388" s="31" t="n">
        <f aca="false">VLOOKUP(A388,'Order Shipping'!$A$2:$C$2000,3,FALSE())</f>
        <v>15</v>
      </c>
      <c r="E388" s="32" t="n">
        <f aca="false">VLOOKUP($A388,'Order Sales'!$A$2:$G$2154,E$1,FALSE())</f>
        <v>12</v>
      </c>
      <c r="F388" s="32" t="n">
        <f aca="false">VLOOKUP($A388,'Order Sales'!$A$2:$G$2154,F$1,FALSE())</f>
        <v>23625.03</v>
      </c>
      <c r="G388" s="32" t="str">
        <f aca="false">VLOOKUP($A388,'Order Sales'!$A$2:$G$2154,G$1,FALSE())</f>
        <v>Corporate</v>
      </c>
    </row>
    <row r="389" customFormat="false" ht="14.25" hidden="false" customHeight="false" outlineLevel="0" collapsed="false">
      <c r="A389" s="1" t="n">
        <v>2995</v>
      </c>
      <c r="B389" s="30" t="n">
        <v>43166</v>
      </c>
      <c r="C389" s="30" t="n">
        <v>43511</v>
      </c>
      <c r="D389" s="31" t="n">
        <f aca="false">VLOOKUP(A389,'Order Shipping'!$A$2:$C$2000,3,FALSE())</f>
        <v>6</v>
      </c>
      <c r="E389" s="32" t="n">
        <f aca="false">VLOOKUP($A389,'Order Sales'!$A$2:$G$2154,E$1,FALSE())</f>
        <v>12</v>
      </c>
      <c r="F389" s="32" t="n">
        <f aca="false">VLOOKUP($A389,'Order Sales'!$A$2:$G$2154,F$1,FALSE())</f>
        <v>148.38</v>
      </c>
      <c r="G389" s="32" t="str">
        <f aca="false">VLOOKUP($A389,'Order Sales'!$A$2:$G$2154,G$1,FALSE())</f>
        <v>Home Office</v>
      </c>
    </row>
    <row r="390" customFormat="false" ht="14.25" hidden="false" customHeight="false" outlineLevel="0" collapsed="false">
      <c r="A390" s="1" t="n">
        <v>1255</v>
      </c>
      <c r="B390" s="30" t="n">
        <v>43231</v>
      </c>
      <c r="C390" s="30" t="n">
        <v>43512</v>
      </c>
      <c r="D390" s="31" t="n">
        <f aca="false">VLOOKUP(A390,'Order Shipping'!$A$2:$C$2000,3,FALSE())</f>
        <v>67.3</v>
      </c>
      <c r="E390" s="32" t="n">
        <f aca="false">VLOOKUP($A390,'Order Sales'!$A$2:$G$2154,E$1,FALSE())</f>
        <v>44</v>
      </c>
      <c r="F390" s="32" t="n">
        <f aca="false">VLOOKUP($A390,'Order Sales'!$A$2:$G$2154,F$1,FALSE())</f>
        <v>11177.17</v>
      </c>
      <c r="G390" s="32" t="str">
        <f aca="false">VLOOKUP($A390,'Order Sales'!$A$2:$G$2154,G$1,FALSE())</f>
        <v>Home Office</v>
      </c>
    </row>
    <row r="391" customFormat="false" ht="14.25" hidden="false" customHeight="false" outlineLevel="0" collapsed="false">
      <c r="A391" s="1" t="n">
        <v>2741</v>
      </c>
      <c r="B391" s="30" t="n">
        <v>43200</v>
      </c>
      <c r="C391" s="30" t="n">
        <v>43513</v>
      </c>
      <c r="D391" s="31" t="n">
        <f aca="false">VLOOKUP(A391,'Order Shipping'!$A$2:$C$2000,3,FALSE())</f>
        <v>2.1</v>
      </c>
      <c r="E391" s="32" t="n">
        <f aca="false">VLOOKUP($A391,'Order Sales'!$A$2:$G$2154,E$1,FALSE())</f>
        <v>49</v>
      </c>
      <c r="F391" s="32" t="n">
        <f aca="false">VLOOKUP($A391,'Order Sales'!$A$2:$G$2154,F$1,FALSE())</f>
        <v>1855.81</v>
      </c>
      <c r="G391" s="32" t="str">
        <f aca="false">VLOOKUP($A391,'Order Sales'!$A$2:$G$2154,G$1,FALSE())</f>
        <v>Home Office</v>
      </c>
    </row>
    <row r="392" customFormat="false" ht="14.25" hidden="false" customHeight="false" outlineLevel="0" collapsed="false">
      <c r="A392" s="1" t="n">
        <v>2907</v>
      </c>
      <c r="B392" s="30" t="n">
        <v>43252</v>
      </c>
      <c r="C392" s="30" t="n">
        <v>43514</v>
      </c>
      <c r="D392" s="31" t="n">
        <f aca="false">VLOOKUP(A392,'Order Shipping'!$A$2:$C$2000,3,FALSE())</f>
        <v>0.8</v>
      </c>
      <c r="E392" s="32" t="n">
        <f aca="false">VLOOKUP($A392,'Order Sales'!$A$2:$G$2154,E$1,FALSE())</f>
        <v>22</v>
      </c>
      <c r="F392" s="32" t="n">
        <f aca="false">VLOOKUP($A392,'Order Sales'!$A$2:$G$2154,F$1,FALSE())</f>
        <v>44.06</v>
      </c>
      <c r="G392" s="32" t="str">
        <f aca="false">VLOOKUP($A392,'Order Sales'!$A$2:$G$2154,G$1,FALSE())</f>
        <v>Small Business</v>
      </c>
    </row>
    <row r="393" customFormat="false" ht="14.25" hidden="false" customHeight="false" outlineLevel="0" collapsed="false">
      <c r="A393" s="1" t="n">
        <v>2290</v>
      </c>
      <c r="B393" s="30" t="n">
        <v>43268</v>
      </c>
      <c r="C393" s="30" t="n">
        <v>43515</v>
      </c>
      <c r="D393" s="31" t="n">
        <f aca="false">VLOOKUP(A393,'Order Shipping'!$A$2:$C$2000,3,FALSE())</f>
        <v>16.8</v>
      </c>
      <c r="E393" s="32" t="n">
        <f aca="false">VLOOKUP($A393,'Order Sales'!$A$2:$G$2154,E$1,FALSE())</f>
        <v>10</v>
      </c>
      <c r="F393" s="32" t="n">
        <f aca="false">VLOOKUP($A393,'Order Sales'!$A$2:$G$2154,F$1,FALSE())</f>
        <v>252.7</v>
      </c>
      <c r="G393" s="32" t="str">
        <f aca="false">VLOOKUP($A393,'Order Sales'!$A$2:$G$2154,G$1,FALSE())</f>
        <v>Consumer</v>
      </c>
    </row>
    <row r="394" customFormat="false" ht="14.25" hidden="false" customHeight="false" outlineLevel="0" collapsed="false">
      <c r="A394" s="1" t="n">
        <v>1187</v>
      </c>
      <c r="B394" s="30" t="n">
        <v>43313</v>
      </c>
      <c r="C394" s="30" t="n">
        <v>43516</v>
      </c>
      <c r="D394" s="31" t="n">
        <f aca="false">VLOOKUP(A394,'Order Shipping'!$A$2:$C$2000,3,FALSE())</f>
        <v>45.5</v>
      </c>
      <c r="E394" s="32" t="n">
        <f aca="false">VLOOKUP($A394,'Order Sales'!$A$2:$G$2154,E$1,FALSE())</f>
        <v>34</v>
      </c>
      <c r="F394" s="32" t="n">
        <f aca="false">VLOOKUP($A394,'Order Sales'!$A$2:$G$2154,F$1,FALSE())</f>
        <v>10300.74</v>
      </c>
      <c r="G394" s="32" t="str">
        <f aca="false">VLOOKUP($A394,'Order Sales'!$A$2:$G$2154,G$1,FALSE())</f>
        <v>Small Business</v>
      </c>
    </row>
    <row r="395" customFormat="false" ht="14.25" hidden="false" customHeight="false" outlineLevel="0" collapsed="false">
      <c r="A395" s="1" t="n">
        <v>1140</v>
      </c>
      <c r="B395" s="30" t="n">
        <v>43378</v>
      </c>
      <c r="C395" s="30" t="n">
        <v>43517</v>
      </c>
      <c r="D395" s="31" t="n">
        <f aca="false">VLOOKUP(A395,'Order Shipping'!$A$2:$C$2000,3,FALSE())</f>
        <v>5.5</v>
      </c>
      <c r="E395" s="32" t="n">
        <f aca="false">VLOOKUP($A395,'Order Sales'!$A$2:$G$2154,E$1,FALSE())</f>
        <v>38</v>
      </c>
      <c r="F395" s="32" t="n">
        <f aca="false">VLOOKUP($A395,'Order Sales'!$A$2:$G$2154,F$1,FALSE())</f>
        <v>418.82</v>
      </c>
      <c r="G395" s="32" t="str">
        <f aca="false">VLOOKUP($A395,'Order Sales'!$A$2:$G$2154,G$1,FALSE())</f>
        <v>Consumer</v>
      </c>
    </row>
    <row r="396" customFormat="false" ht="14.25" hidden="false" customHeight="false" outlineLevel="0" collapsed="false">
      <c r="A396" s="1" t="n">
        <v>2087</v>
      </c>
      <c r="B396" s="30" t="n">
        <v>43452</v>
      </c>
      <c r="C396" s="30" t="n">
        <v>43518</v>
      </c>
      <c r="D396" s="31" t="n">
        <f aca="false">VLOOKUP(A396,'Order Shipping'!$A$2:$C$2000,3,FALSE())</f>
        <v>95.6</v>
      </c>
      <c r="E396" s="32" t="n">
        <f aca="false">VLOOKUP($A396,'Order Sales'!$A$2:$G$2154,E$1,FALSE())</f>
        <v>37</v>
      </c>
      <c r="F396" s="32" t="n">
        <f aca="false">VLOOKUP($A396,'Order Sales'!$A$2:$G$2154,F$1,FALSE())</f>
        <v>2823.51</v>
      </c>
      <c r="G396" s="32" t="str">
        <f aca="false">VLOOKUP($A396,'Order Sales'!$A$2:$G$2154,G$1,FALSE())</f>
        <v>Small Business</v>
      </c>
    </row>
    <row r="397" customFormat="false" ht="14.25" hidden="false" customHeight="false" outlineLevel="0" collapsed="false">
      <c r="A397" s="1" t="n">
        <v>1964</v>
      </c>
      <c r="B397" s="30" t="n">
        <v>43437</v>
      </c>
      <c r="C397" s="30" t="n">
        <v>43519</v>
      </c>
      <c r="D397" s="31" t="n">
        <f aca="false">VLOOKUP(A397,'Order Shipping'!$A$2:$C$2000,3,FALSE())</f>
        <v>2.7</v>
      </c>
      <c r="E397" s="32" t="n">
        <f aca="false">VLOOKUP($A397,'Order Sales'!$A$2:$G$2154,E$1,FALSE())</f>
        <v>37</v>
      </c>
      <c r="F397" s="32" t="n">
        <f aca="false">VLOOKUP($A397,'Order Sales'!$A$2:$G$2154,F$1,FALSE())</f>
        <v>6497.24</v>
      </c>
      <c r="G397" s="32" t="str">
        <f aca="false">VLOOKUP($A397,'Order Sales'!$A$2:$G$2154,G$1,FALSE())</f>
        <v>Home Office</v>
      </c>
    </row>
    <row r="398" customFormat="false" ht="14.25" hidden="false" customHeight="false" outlineLevel="0" collapsed="false">
      <c r="A398" s="1" t="n">
        <v>1367</v>
      </c>
      <c r="B398" s="30" t="n">
        <v>43259</v>
      </c>
      <c r="C398" s="30" t="n">
        <v>43520</v>
      </c>
      <c r="D398" s="31" t="n">
        <f aca="false">VLOOKUP(A398,'Order Shipping'!$A$2:$C$2000,3,FALSE())</f>
        <v>6.4</v>
      </c>
      <c r="E398" s="32" t="n">
        <f aca="false">VLOOKUP($A398,'Order Sales'!$A$2:$G$2154,E$1,FALSE())</f>
        <v>44</v>
      </c>
      <c r="F398" s="32" t="n">
        <f aca="false">VLOOKUP($A398,'Order Sales'!$A$2:$G$2154,F$1,FALSE())</f>
        <v>7666.28</v>
      </c>
      <c r="G398" s="32" t="str">
        <f aca="false">VLOOKUP($A398,'Order Sales'!$A$2:$G$2154,G$1,FALSE())</f>
        <v>Corporate</v>
      </c>
    </row>
    <row r="399" customFormat="false" ht="14.25" hidden="false" customHeight="false" outlineLevel="0" collapsed="false">
      <c r="A399" s="1" t="n">
        <v>1032</v>
      </c>
      <c r="B399" s="30" t="n">
        <v>43219</v>
      </c>
      <c r="C399" s="30" t="n">
        <v>43521</v>
      </c>
      <c r="D399" s="31" t="n">
        <f aca="false">VLOOKUP(A399,'Order Shipping'!$A$2:$C$2000,3,FALSE())</f>
        <v>64.4</v>
      </c>
      <c r="E399" s="32" t="n">
        <f aca="false">VLOOKUP($A399,'Order Sales'!$A$2:$G$2154,E$1,FALSE())</f>
        <v>33</v>
      </c>
      <c r="F399" s="32" t="n">
        <f aca="false">VLOOKUP($A399,'Order Sales'!$A$2:$G$2154,F$1,FALSE())</f>
        <v>5818.57</v>
      </c>
      <c r="G399" s="32" t="str">
        <f aca="false">VLOOKUP($A399,'Order Sales'!$A$2:$G$2154,G$1,FALSE())</f>
        <v>Home Office</v>
      </c>
    </row>
    <row r="400" customFormat="false" ht="14.25" hidden="false" customHeight="false" outlineLevel="0" collapsed="false">
      <c r="A400" s="1" t="n">
        <v>2062</v>
      </c>
      <c r="B400" s="30" t="n">
        <v>43391</v>
      </c>
      <c r="C400" s="30" t="n">
        <v>43522</v>
      </c>
      <c r="D400" s="31" t="n">
        <f aca="false">VLOOKUP(A400,'Order Shipping'!$A$2:$C$2000,3,FALSE())</f>
        <v>6.9</v>
      </c>
      <c r="E400" s="32" t="n">
        <f aca="false">VLOOKUP($A400,'Order Sales'!$A$2:$G$2154,E$1,FALSE())</f>
        <v>10</v>
      </c>
      <c r="F400" s="32" t="n">
        <f aca="false">VLOOKUP($A400,'Order Sales'!$A$2:$G$2154,F$1,FALSE())</f>
        <v>147.41</v>
      </c>
      <c r="G400" s="32" t="str">
        <f aca="false">VLOOKUP($A400,'Order Sales'!$A$2:$G$2154,G$1,FALSE())</f>
        <v>Small Business</v>
      </c>
    </row>
    <row r="401" customFormat="false" ht="14.25" hidden="false" customHeight="false" outlineLevel="0" collapsed="false">
      <c r="A401" s="1" t="n">
        <v>2777</v>
      </c>
      <c r="B401" s="30" t="n">
        <v>43400</v>
      </c>
      <c r="C401" s="30" t="n">
        <v>43523</v>
      </c>
      <c r="D401" s="31" t="n">
        <f aca="false">VLOOKUP(A401,'Order Shipping'!$A$2:$C$2000,3,FALSE())</f>
        <v>6.2</v>
      </c>
      <c r="E401" s="32" t="n">
        <f aca="false">VLOOKUP($A401,'Order Sales'!$A$2:$G$2154,E$1,FALSE())</f>
        <v>2</v>
      </c>
      <c r="F401" s="32" t="n">
        <f aca="false">VLOOKUP($A401,'Order Sales'!$A$2:$G$2154,F$1,FALSE())</f>
        <v>26.82</v>
      </c>
      <c r="G401" s="32" t="str">
        <f aca="false">VLOOKUP($A401,'Order Sales'!$A$2:$G$2154,G$1,FALSE())</f>
        <v>Home Office</v>
      </c>
    </row>
    <row r="402" customFormat="false" ht="14.25" hidden="false" customHeight="false" outlineLevel="0" collapsed="false">
      <c r="A402" s="1" t="n">
        <v>2477</v>
      </c>
      <c r="B402" s="30" t="n">
        <v>43374</v>
      </c>
      <c r="C402" s="30" t="n">
        <v>43524</v>
      </c>
      <c r="D402" s="31" t="n">
        <f aca="false">VLOOKUP(A402,'Order Shipping'!$A$2:$C$2000,3,FALSE())</f>
        <v>0.7</v>
      </c>
      <c r="E402" s="32" t="n">
        <f aca="false">VLOOKUP($A402,'Order Sales'!$A$2:$G$2154,E$1,FALSE())</f>
        <v>45</v>
      </c>
      <c r="F402" s="32" t="n">
        <f aca="false">VLOOKUP($A402,'Order Sales'!$A$2:$G$2154,F$1,FALSE())</f>
        <v>80.67</v>
      </c>
      <c r="G402" s="32" t="str">
        <f aca="false">VLOOKUP($A402,'Order Sales'!$A$2:$G$2154,G$1,FALSE())</f>
        <v>Corporate</v>
      </c>
    </row>
    <row r="403" customFormat="false" ht="14.25" hidden="false" customHeight="false" outlineLevel="0" collapsed="false">
      <c r="A403" s="1" t="n">
        <v>2211</v>
      </c>
      <c r="B403" s="30" t="n">
        <v>43370</v>
      </c>
      <c r="C403" s="30" t="n">
        <v>43525</v>
      </c>
      <c r="D403" s="31" t="n">
        <f aca="false">VLOOKUP(A403,'Order Shipping'!$A$2:$C$2000,3,FALSE())</f>
        <v>21.4</v>
      </c>
      <c r="E403" s="32" t="n">
        <f aca="false">VLOOKUP($A403,'Order Sales'!$A$2:$G$2154,E$1,FALSE())</f>
        <v>49</v>
      </c>
      <c r="F403" s="32" t="n">
        <f aca="false">VLOOKUP($A403,'Order Sales'!$A$2:$G$2154,F$1,FALSE())</f>
        <v>4573.13</v>
      </c>
      <c r="G403" s="32" t="str">
        <f aca="false">VLOOKUP($A403,'Order Sales'!$A$2:$G$2154,G$1,FALSE())</f>
        <v>Small Business</v>
      </c>
    </row>
    <row r="404" customFormat="false" ht="14.25" hidden="false" customHeight="false" outlineLevel="0" collapsed="false">
      <c r="A404" s="1" t="n">
        <v>1079</v>
      </c>
      <c r="B404" s="30" t="n">
        <v>43354</v>
      </c>
      <c r="C404" s="30" t="n">
        <v>43526</v>
      </c>
      <c r="D404" s="31" t="n">
        <f aca="false">VLOOKUP(A404,'Order Shipping'!$A$2:$C$2000,3,FALSE())</f>
        <v>0.5</v>
      </c>
      <c r="E404" s="32" t="n">
        <f aca="false">VLOOKUP($A404,'Order Sales'!$A$2:$G$2154,E$1,FALSE())</f>
        <v>40</v>
      </c>
      <c r="F404" s="32" t="n">
        <f aca="false">VLOOKUP($A404,'Order Sales'!$A$2:$G$2154,F$1,FALSE())</f>
        <v>109.74</v>
      </c>
      <c r="G404" s="32" t="str">
        <f aca="false">VLOOKUP($A404,'Order Sales'!$A$2:$G$2154,G$1,FALSE())</f>
        <v>Home Office</v>
      </c>
    </row>
    <row r="405" customFormat="false" ht="14.25" hidden="false" customHeight="false" outlineLevel="0" collapsed="false">
      <c r="A405" s="1" t="n">
        <v>1126</v>
      </c>
      <c r="B405" s="30" t="n">
        <v>43454</v>
      </c>
      <c r="C405" s="30" t="n">
        <v>43527</v>
      </c>
      <c r="D405" s="31" t="n">
        <f aca="false">VLOOKUP(A405,'Order Shipping'!$A$2:$C$2000,3,FALSE())</f>
        <v>1.4</v>
      </c>
      <c r="E405" s="32" t="n">
        <f aca="false">VLOOKUP($A405,'Order Sales'!$A$2:$G$2154,E$1,FALSE())</f>
        <v>38</v>
      </c>
      <c r="F405" s="32" t="n">
        <f aca="false">VLOOKUP($A405,'Order Sales'!$A$2:$G$2154,F$1,FALSE())</f>
        <v>123.51</v>
      </c>
      <c r="G405" s="32" t="str">
        <f aca="false">VLOOKUP($A405,'Order Sales'!$A$2:$G$2154,G$1,FALSE())</f>
        <v>Home Office</v>
      </c>
    </row>
    <row r="406" customFormat="false" ht="14.25" hidden="false" customHeight="false" outlineLevel="0" collapsed="false">
      <c r="A406" s="1" t="n">
        <v>1858</v>
      </c>
      <c r="B406" s="30" t="n">
        <v>43423</v>
      </c>
      <c r="C406" s="30" t="n">
        <v>43528</v>
      </c>
      <c r="D406" s="31" t="n">
        <f aca="false">VLOOKUP(A406,'Order Shipping'!$A$2:$C$2000,3,FALSE())</f>
        <v>1.5</v>
      </c>
      <c r="E406" s="32" t="n">
        <f aca="false">VLOOKUP($A406,'Order Sales'!$A$2:$G$2154,E$1,FALSE())</f>
        <v>19</v>
      </c>
      <c r="F406" s="32" t="n">
        <f aca="false">VLOOKUP($A406,'Order Sales'!$A$2:$G$2154,F$1,FALSE())</f>
        <v>327.08</v>
      </c>
      <c r="G406" s="32" t="str">
        <f aca="false">VLOOKUP($A406,'Order Sales'!$A$2:$G$2154,G$1,FALSE())</f>
        <v>Small Business</v>
      </c>
    </row>
    <row r="407" customFormat="false" ht="14.25" hidden="false" customHeight="false" outlineLevel="0" collapsed="false">
      <c r="A407" s="1" t="n">
        <v>1865</v>
      </c>
      <c r="B407" s="30" t="n">
        <v>43201</v>
      </c>
      <c r="C407" s="30" t="n">
        <v>43529</v>
      </c>
      <c r="D407" s="31" t="n">
        <f aca="false">VLOOKUP(A407,'Order Shipping'!$A$2:$C$2000,3,FALSE())</f>
        <v>5.8</v>
      </c>
      <c r="E407" s="32" t="n">
        <f aca="false">VLOOKUP($A407,'Order Sales'!$A$2:$G$2154,E$1,FALSE())</f>
        <v>40</v>
      </c>
      <c r="F407" s="32" t="n">
        <f aca="false">VLOOKUP($A407,'Order Sales'!$A$2:$G$2154,F$1,FALSE())</f>
        <v>179.18</v>
      </c>
      <c r="G407" s="32" t="str">
        <f aca="false">VLOOKUP($A407,'Order Sales'!$A$2:$G$2154,G$1,FALSE())</f>
        <v>Home Office</v>
      </c>
    </row>
    <row r="408" customFormat="false" ht="14.25" hidden="false" customHeight="false" outlineLevel="0" collapsed="false">
      <c r="A408" s="1" t="n">
        <v>1333</v>
      </c>
      <c r="B408" s="30" t="n">
        <v>43147</v>
      </c>
      <c r="C408" s="30" t="n">
        <v>43530</v>
      </c>
      <c r="D408" s="31" t="n">
        <f aca="false">VLOOKUP(A408,'Order Shipping'!$A$2:$C$2000,3,FALSE())</f>
        <v>4.3</v>
      </c>
      <c r="E408" s="32" t="n">
        <f aca="false">VLOOKUP($A408,'Order Sales'!$A$2:$G$2154,E$1,FALSE())</f>
        <v>12</v>
      </c>
      <c r="F408" s="32" t="n">
        <f aca="false">VLOOKUP($A408,'Order Sales'!$A$2:$G$2154,F$1,FALSE())</f>
        <v>497.09</v>
      </c>
      <c r="G408" s="32" t="str">
        <f aca="false">VLOOKUP($A408,'Order Sales'!$A$2:$G$2154,G$1,FALSE())</f>
        <v>Corporate</v>
      </c>
    </row>
    <row r="409" customFormat="false" ht="14.25" hidden="false" customHeight="false" outlineLevel="0" collapsed="false">
      <c r="A409" s="1" t="n">
        <v>1168</v>
      </c>
      <c r="B409" s="30" t="n">
        <v>43159</v>
      </c>
      <c r="C409" s="30" t="n">
        <v>43531</v>
      </c>
      <c r="D409" s="31" t="n">
        <f aca="false">VLOOKUP(A409,'Order Shipping'!$A$2:$C$2000,3,FALSE())</f>
        <v>3.1</v>
      </c>
      <c r="E409" s="32" t="n">
        <f aca="false">VLOOKUP($A409,'Order Sales'!$A$2:$G$2154,E$1,FALSE())</f>
        <v>24</v>
      </c>
      <c r="F409" s="32" t="n">
        <f aca="false">VLOOKUP($A409,'Order Sales'!$A$2:$G$2154,F$1,FALSE())</f>
        <v>206.3</v>
      </c>
      <c r="G409" s="32" t="str">
        <f aca="false">VLOOKUP($A409,'Order Sales'!$A$2:$G$2154,G$1,FALSE())</f>
        <v>Small Business</v>
      </c>
    </row>
    <row r="410" customFormat="false" ht="14.25" hidden="false" customHeight="false" outlineLevel="0" collapsed="false">
      <c r="A410" s="1" t="n">
        <v>2120</v>
      </c>
      <c r="B410" s="30" t="n">
        <v>43311</v>
      </c>
      <c r="C410" s="30" t="n">
        <v>43532</v>
      </c>
      <c r="D410" s="31" t="n">
        <f aca="false">VLOOKUP(A410,'Order Shipping'!$A$2:$C$2000,3,FALSE())</f>
        <v>2.2</v>
      </c>
      <c r="E410" s="32" t="n">
        <f aca="false">VLOOKUP($A410,'Order Sales'!$A$2:$G$2154,E$1,FALSE())</f>
        <v>20</v>
      </c>
      <c r="F410" s="32" t="n">
        <f aca="false">VLOOKUP($A410,'Order Sales'!$A$2:$G$2154,F$1,FALSE())</f>
        <v>107.43</v>
      </c>
      <c r="G410" s="32" t="str">
        <f aca="false">VLOOKUP($A410,'Order Sales'!$A$2:$G$2154,G$1,FALSE())</f>
        <v>Corporate</v>
      </c>
    </row>
    <row r="411" customFormat="false" ht="14.25" hidden="false" customHeight="false" outlineLevel="0" collapsed="false">
      <c r="A411" s="1" t="n">
        <v>1727</v>
      </c>
      <c r="B411" s="30" t="n">
        <v>43375</v>
      </c>
      <c r="C411" s="30" t="n">
        <v>43533</v>
      </c>
      <c r="D411" s="31" t="n">
        <f aca="false">VLOOKUP(A411,'Order Shipping'!$A$2:$C$2000,3,FALSE())</f>
        <v>91.6</v>
      </c>
      <c r="E411" s="32" t="n">
        <f aca="false">VLOOKUP($A411,'Order Sales'!$A$2:$G$2154,E$1,FALSE())</f>
        <v>47</v>
      </c>
      <c r="F411" s="32" t="n">
        <f aca="false">VLOOKUP($A411,'Order Sales'!$A$2:$G$2154,F$1,FALSE())</f>
        <v>15508.41</v>
      </c>
      <c r="G411" s="32" t="str">
        <f aca="false">VLOOKUP($A411,'Order Sales'!$A$2:$G$2154,G$1,FALSE())</f>
        <v>Consumer</v>
      </c>
    </row>
    <row r="412" customFormat="false" ht="14.25" hidden="false" customHeight="false" outlineLevel="0" collapsed="false">
      <c r="A412" s="1" t="n">
        <v>2051</v>
      </c>
      <c r="B412" s="30" t="n">
        <v>43431</v>
      </c>
      <c r="C412" s="30" t="n">
        <v>43534</v>
      </c>
      <c r="D412" s="31" t="n">
        <f aca="false">VLOOKUP(A412,'Order Shipping'!$A$2:$C$2000,3,FALSE())</f>
        <v>6</v>
      </c>
      <c r="E412" s="32" t="n">
        <f aca="false">VLOOKUP($A412,'Order Sales'!$A$2:$G$2154,E$1,FALSE())</f>
        <v>23</v>
      </c>
      <c r="F412" s="32" t="n">
        <f aca="false">VLOOKUP($A412,'Order Sales'!$A$2:$G$2154,F$1,FALSE())</f>
        <v>148.42</v>
      </c>
      <c r="G412" s="32" t="str">
        <f aca="false">VLOOKUP($A412,'Order Sales'!$A$2:$G$2154,G$1,FALSE())</f>
        <v>Consumer</v>
      </c>
    </row>
    <row r="413" customFormat="false" ht="14.25" hidden="false" customHeight="false" outlineLevel="0" collapsed="false">
      <c r="A413" s="1" t="n">
        <v>2849</v>
      </c>
      <c r="B413" s="30" t="n">
        <v>43191</v>
      </c>
      <c r="C413" s="30" t="n">
        <v>43535</v>
      </c>
      <c r="D413" s="31" t="n">
        <f aca="false">VLOOKUP(A413,'Order Shipping'!$A$2:$C$2000,3,FALSE())</f>
        <v>3.2</v>
      </c>
      <c r="E413" s="32" t="n">
        <f aca="false">VLOOKUP($A413,'Order Sales'!$A$2:$G$2154,E$1,FALSE())</f>
        <v>28</v>
      </c>
      <c r="F413" s="32" t="n">
        <f aca="false">VLOOKUP($A413,'Order Sales'!$A$2:$G$2154,F$1,FALSE())</f>
        <v>180.37</v>
      </c>
      <c r="G413" s="32" t="str">
        <f aca="false">VLOOKUP($A413,'Order Sales'!$A$2:$G$2154,G$1,FALSE())</f>
        <v>Corporate</v>
      </c>
    </row>
    <row r="414" customFormat="false" ht="14.25" hidden="false" customHeight="false" outlineLevel="0" collapsed="false">
      <c r="A414" s="1" t="n">
        <v>2947</v>
      </c>
      <c r="B414" s="30" t="n">
        <v>43191</v>
      </c>
      <c r="C414" s="30" t="n">
        <v>43536</v>
      </c>
      <c r="D414" s="31" t="n">
        <f aca="false">VLOOKUP(A414,'Order Shipping'!$A$2:$C$2000,3,FALSE())</f>
        <v>0.7</v>
      </c>
      <c r="E414" s="32" t="n">
        <f aca="false">VLOOKUP($A414,'Order Sales'!$A$2:$G$2154,E$1,FALSE())</f>
        <v>48</v>
      </c>
      <c r="F414" s="32" t="n">
        <f aca="false">VLOOKUP($A414,'Order Sales'!$A$2:$G$2154,F$1,FALSE())</f>
        <v>196.99</v>
      </c>
      <c r="G414" s="32" t="str">
        <f aca="false">VLOOKUP($A414,'Order Sales'!$A$2:$G$2154,G$1,FALSE())</f>
        <v>Corporate</v>
      </c>
    </row>
    <row r="415" customFormat="false" ht="14.25" hidden="false" customHeight="false" outlineLevel="0" collapsed="false">
      <c r="A415" s="1" t="n">
        <v>1009</v>
      </c>
      <c r="B415" s="30" t="n">
        <v>43394</v>
      </c>
      <c r="C415" s="30" t="n">
        <v>43537</v>
      </c>
      <c r="D415" s="31" t="n">
        <f aca="false">VLOOKUP(A415,'Order Shipping'!$A$2:$C$2000,3,FALSE())</f>
        <v>2.4</v>
      </c>
      <c r="E415" s="32" t="n">
        <f aca="false">VLOOKUP($A415,'Order Sales'!$A$2:$G$2154,E$1,FALSE())</f>
        <v>30</v>
      </c>
      <c r="F415" s="32" t="n">
        <f aca="false">VLOOKUP($A415,'Order Sales'!$A$2:$G$2154,F$1,FALSE())</f>
        <v>308.76</v>
      </c>
      <c r="G415" s="32" t="str">
        <f aca="false">VLOOKUP($A415,'Order Sales'!$A$2:$G$2154,G$1,FALSE())</f>
        <v>Corporate</v>
      </c>
    </row>
    <row r="416" customFormat="false" ht="14.25" hidden="false" customHeight="false" outlineLevel="0" collapsed="false">
      <c r="A416" s="1" t="n">
        <v>2023</v>
      </c>
      <c r="B416" s="30" t="n">
        <v>43214</v>
      </c>
      <c r="C416" s="30" t="n">
        <v>43538</v>
      </c>
      <c r="D416" s="31" t="n">
        <f aca="false">VLOOKUP(A416,'Order Shipping'!$A$2:$C$2000,3,FALSE())</f>
        <v>1.2</v>
      </c>
      <c r="E416" s="32" t="n">
        <f aca="false">VLOOKUP($A416,'Order Sales'!$A$2:$G$2154,E$1,FALSE())</f>
        <v>23</v>
      </c>
      <c r="F416" s="32" t="n">
        <f aca="false">VLOOKUP($A416,'Order Sales'!$A$2:$G$2154,F$1,FALSE())</f>
        <v>236.28</v>
      </c>
      <c r="G416" s="32" t="str">
        <f aca="false">VLOOKUP($A416,'Order Sales'!$A$2:$G$2154,G$1,FALSE())</f>
        <v>Corporate</v>
      </c>
    </row>
    <row r="417" customFormat="false" ht="14.25" hidden="false" customHeight="false" outlineLevel="0" collapsed="false">
      <c r="A417" s="1" t="n">
        <v>1883</v>
      </c>
      <c r="B417" s="30" t="n">
        <v>43234</v>
      </c>
      <c r="C417" s="30" t="n">
        <v>43539</v>
      </c>
      <c r="D417" s="31" t="n">
        <f aca="false">VLOOKUP(A417,'Order Shipping'!$A$2:$C$2000,3,FALSE())</f>
        <v>4.9</v>
      </c>
      <c r="E417" s="32" t="n">
        <f aca="false">VLOOKUP($A417,'Order Sales'!$A$2:$G$2154,E$1,FALSE())</f>
        <v>38</v>
      </c>
      <c r="F417" s="32" t="n">
        <f aca="false">VLOOKUP($A417,'Order Sales'!$A$2:$G$2154,F$1,FALSE())</f>
        <v>1752.42</v>
      </c>
      <c r="G417" s="32" t="str">
        <f aca="false">VLOOKUP($A417,'Order Sales'!$A$2:$G$2154,G$1,FALSE())</f>
        <v>Small Business</v>
      </c>
    </row>
    <row r="418" customFormat="false" ht="14.25" hidden="false" customHeight="false" outlineLevel="0" collapsed="false">
      <c r="A418" s="1" t="n">
        <v>1617</v>
      </c>
      <c r="B418" s="30" t="n">
        <v>43347</v>
      </c>
      <c r="C418" s="30" t="n">
        <v>43540</v>
      </c>
      <c r="D418" s="31" t="n">
        <f aca="false">VLOOKUP(A418,'Order Shipping'!$A$2:$C$2000,3,FALSE())</f>
        <v>6.6</v>
      </c>
      <c r="E418" s="32" t="n">
        <f aca="false">VLOOKUP($A418,'Order Sales'!$A$2:$G$2154,E$1,FALSE())</f>
        <v>30</v>
      </c>
      <c r="F418" s="32" t="n">
        <f aca="false">VLOOKUP($A418,'Order Sales'!$A$2:$G$2154,F$1,FALSE())</f>
        <v>414.09</v>
      </c>
      <c r="G418" s="32" t="str">
        <f aca="false">VLOOKUP($A418,'Order Sales'!$A$2:$G$2154,G$1,FALSE())</f>
        <v>Home Office</v>
      </c>
    </row>
    <row r="419" customFormat="false" ht="14.25" hidden="false" customHeight="false" outlineLevel="0" collapsed="false">
      <c r="A419" s="1" t="n">
        <v>2275</v>
      </c>
      <c r="B419" s="30" t="n">
        <v>43250</v>
      </c>
      <c r="C419" s="30" t="n">
        <v>43541</v>
      </c>
      <c r="D419" s="31" t="n">
        <f aca="false">VLOOKUP(A419,'Order Shipping'!$A$2:$C$2000,3,FALSE())</f>
        <v>4.3</v>
      </c>
      <c r="E419" s="32" t="n">
        <f aca="false">VLOOKUP($A419,'Order Sales'!$A$2:$G$2154,E$1,FALSE())</f>
        <v>16</v>
      </c>
      <c r="F419" s="32" t="n">
        <f aca="false">VLOOKUP($A419,'Order Sales'!$A$2:$G$2154,F$1,FALSE())</f>
        <v>665.47</v>
      </c>
      <c r="G419" s="32" t="str">
        <f aca="false">VLOOKUP($A419,'Order Sales'!$A$2:$G$2154,G$1,FALSE())</f>
        <v>Home Office</v>
      </c>
    </row>
    <row r="420" customFormat="false" ht="14.25" hidden="false" customHeight="false" outlineLevel="0" collapsed="false">
      <c r="A420" s="1" t="n">
        <v>1798</v>
      </c>
      <c r="B420" s="30" t="n">
        <v>43321</v>
      </c>
      <c r="C420" s="30" t="n">
        <v>43542</v>
      </c>
      <c r="D420" s="31" t="n">
        <f aca="false">VLOOKUP(A420,'Order Shipping'!$A$2:$C$2000,3,FALSE())</f>
        <v>15.5</v>
      </c>
      <c r="E420" s="32" t="n">
        <f aca="false">VLOOKUP($A420,'Order Sales'!$A$2:$G$2154,E$1,FALSE())</f>
        <v>23</v>
      </c>
      <c r="F420" s="32" t="n">
        <f aca="false">VLOOKUP($A420,'Order Sales'!$A$2:$G$2154,F$1,FALSE())</f>
        <v>1073.54</v>
      </c>
      <c r="G420" s="32" t="str">
        <f aca="false">VLOOKUP($A420,'Order Sales'!$A$2:$G$2154,G$1,FALSE())</f>
        <v>Small Business</v>
      </c>
    </row>
    <row r="421" customFormat="false" ht="14.25" hidden="false" customHeight="false" outlineLevel="0" collapsed="false">
      <c r="A421" s="1" t="n">
        <v>1463</v>
      </c>
      <c r="B421" s="30" t="n">
        <v>43227</v>
      </c>
      <c r="C421" s="30" t="n">
        <v>43543</v>
      </c>
      <c r="D421" s="31" t="n">
        <f aca="false">VLOOKUP(A421,'Order Shipping'!$A$2:$C$2000,3,FALSE())</f>
        <v>4.3</v>
      </c>
      <c r="E421" s="32" t="n">
        <f aca="false">VLOOKUP($A421,'Order Sales'!$A$2:$G$2154,E$1,FALSE())</f>
        <v>35</v>
      </c>
      <c r="F421" s="32" t="n">
        <f aca="false">VLOOKUP($A421,'Order Sales'!$A$2:$G$2154,F$1,FALSE())</f>
        <v>1154.08</v>
      </c>
      <c r="G421" s="32" t="str">
        <f aca="false">VLOOKUP($A421,'Order Sales'!$A$2:$G$2154,G$1,FALSE())</f>
        <v>Corporate</v>
      </c>
    </row>
    <row r="422" customFormat="false" ht="14.25" hidden="false" customHeight="false" outlineLevel="0" collapsed="false">
      <c r="A422" s="1" t="n">
        <v>1891</v>
      </c>
      <c r="B422" s="30" t="n">
        <v>43146</v>
      </c>
      <c r="C422" s="30" t="n">
        <v>43544</v>
      </c>
      <c r="D422" s="31" t="n">
        <f aca="false">VLOOKUP(A422,'Order Shipping'!$A$2:$C$2000,3,FALSE())</f>
        <v>2.7</v>
      </c>
      <c r="E422" s="32" t="n">
        <f aca="false">VLOOKUP($A422,'Order Sales'!$A$2:$G$2154,E$1,FALSE())</f>
        <v>37</v>
      </c>
      <c r="F422" s="32" t="n">
        <f aca="false">VLOOKUP($A422,'Order Sales'!$A$2:$G$2154,F$1,FALSE())</f>
        <v>239.4</v>
      </c>
      <c r="G422" s="32" t="str">
        <f aca="false">VLOOKUP($A422,'Order Sales'!$A$2:$G$2154,G$1,FALSE())</f>
        <v>Home Office</v>
      </c>
    </row>
    <row r="423" customFormat="false" ht="14.25" hidden="false" customHeight="false" outlineLevel="0" collapsed="false">
      <c r="A423" s="1" t="n">
        <v>1773</v>
      </c>
      <c r="B423" s="30" t="n">
        <v>43108</v>
      </c>
      <c r="C423" s="30" t="n">
        <v>43545</v>
      </c>
      <c r="D423" s="31" t="n">
        <f aca="false">VLOOKUP(A423,'Order Shipping'!$A$2:$C$2000,3,FALSE())</f>
        <v>21.4</v>
      </c>
      <c r="E423" s="32" t="n">
        <f aca="false">VLOOKUP($A423,'Order Sales'!$A$2:$G$2154,E$1,FALSE())</f>
        <v>34</v>
      </c>
      <c r="F423" s="32" t="n">
        <f aca="false">VLOOKUP($A423,'Order Sales'!$A$2:$G$2154,F$1,FALSE())</f>
        <v>12570.33</v>
      </c>
      <c r="G423" s="32" t="str">
        <f aca="false">VLOOKUP($A423,'Order Sales'!$A$2:$G$2154,G$1,FALSE())</f>
        <v>Consumer</v>
      </c>
    </row>
    <row r="424" customFormat="false" ht="14.25" hidden="false" customHeight="false" outlineLevel="0" collapsed="false">
      <c r="A424" s="1" t="n">
        <v>1795</v>
      </c>
      <c r="B424" s="30" t="n">
        <v>43184</v>
      </c>
      <c r="C424" s="30" t="n">
        <v>43546</v>
      </c>
      <c r="D424" s="31" t="n">
        <f aca="false">VLOOKUP(A424,'Order Shipping'!$A$2:$C$2000,3,FALSE())</f>
        <v>9.6</v>
      </c>
      <c r="E424" s="32" t="n">
        <f aca="false">VLOOKUP($A424,'Order Sales'!$A$2:$G$2154,E$1,FALSE())</f>
        <v>20</v>
      </c>
      <c r="F424" s="32" t="n">
        <f aca="false">VLOOKUP($A424,'Order Sales'!$A$2:$G$2154,F$1,FALSE())</f>
        <v>2630.32</v>
      </c>
      <c r="G424" s="32" t="str">
        <f aca="false">VLOOKUP($A424,'Order Sales'!$A$2:$G$2154,G$1,FALSE())</f>
        <v>Consumer</v>
      </c>
    </row>
    <row r="425" customFormat="false" ht="14.25" hidden="false" customHeight="false" outlineLevel="0" collapsed="false">
      <c r="A425" s="1" t="n">
        <v>1958</v>
      </c>
      <c r="B425" s="30" t="n">
        <v>43302</v>
      </c>
      <c r="C425" s="30" t="n">
        <v>43547</v>
      </c>
      <c r="D425" s="31" t="n">
        <f aca="false">VLOOKUP(A425,'Order Shipping'!$A$2:$C$2000,3,FALSE())</f>
        <v>7</v>
      </c>
      <c r="E425" s="32" t="n">
        <f aca="false">VLOOKUP($A425,'Order Sales'!$A$2:$G$2154,E$1,FALSE())</f>
        <v>43</v>
      </c>
      <c r="F425" s="32" t="n">
        <f aca="false">VLOOKUP($A425,'Order Sales'!$A$2:$G$2154,F$1,FALSE())</f>
        <v>927.4</v>
      </c>
      <c r="G425" s="32" t="str">
        <f aca="false">VLOOKUP($A425,'Order Sales'!$A$2:$G$2154,G$1,FALSE())</f>
        <v>Corporate</v>
      </c>
    </row>
    <row r="426" customFormat="false" ht="14.25" hidden="false" customHeight="false" outlineLevel="0" collapsed="false">
      <c r="A426" s="1" t="n">
        <v>1423</v>
      </c>
      <c r="B426" s="30" t="n">
        <v>43152</v>
      </c>
      <c r="C426" s="30" t="n">
        <v>43548</v>
      </c>
      <c r="D426" s="31" t="n">
        <f aca="false">VLOOKUP(A426,'Order Shipping'!$A$2:$C$2000,3,FALSE())</f>
        <v>5.2</v>
      </c>
      <c r="E426" s="32" t="n">
        <f aca="false">VLOOKUP($A426,'Order Sales'!$A$2:$G$2154,E$1,FALSE())</f>
        <v>2</v>
      </c>
      <c r="F426" s="32" t="n">
        <f aca="false">VLOOKUP($A426,'Order Sales'!$A$2:$G$2154,F$1,FALSE())</f>
        <v>114.62</v>
      </c>
      <c r="G426" s="32" t="str">
        <f aca="false">VLOOKUP($A426,'Order Sales'!$A$2:$G$2154,G$1,FALSE())</f>
        <v>Home Office</v>
      </c>
    </row>
    <row r="427" customFormat="false" ht="14.25" hidden="false" customHeight="false" outlineLevel="0" collapsed="false">
      <c r="A427" s="1" t="n">
        <v>1145</v>
      </c>
      <c r="B427" s="30" t="n">
        <v>43296</v>
      </c>
      <c r="C427" s="30" t="n">
        <v>43549</v>
      </c>
      <c r="D427" s="31" t="n">
        <f aca="false">VLOOKUP(A427,'Order Shipping'!$A$2:$C$2000,3,FALSE())</f>
        <v>9.6</v>
      </c>
      <c r="E427" s="32" t="n">
        <f aca="false">VLOOKUP($A427,'Order Sales'!$A$2:$G$2154,E$1,FALSE())</f>
        <v>28</v>
      </c>
      <c r="F427" s="32" t="n">
        <f aca="false">VLOOKUP($A427,'Order Sales'!$A$2:$G$2154,F$1,FALSE())</f>
        <v>1246.9</v>
      </c>
      <c r="G427" s="32" t="str">
        <f aca="false">VLOOKUP($A427,'Order Sales'!$A$2:$G$2154,G$1,FALSE())</f>
        <v>Small Business</v>
      </c>
    </row>
    <row r="428" customFormat="false" ht="14.25" hidden="false" customHeight="false" outlineLevel="0" collapsed="false">
      <c r="A428" s="1" t="n">
        <v>2561</v>
      </c>
      <c r="B428" s="30" t="n">
        <v>43308</v>
      </c>
      <c r="C428" s="30" t="n">
        <v>43550</v>
      </c>
      <c r="D428" s="31" t="n">
        <f aca="false">VLOOKUP(A428,'Order Shipping'!$A$2:$C$2000,3,FALSE())</f>
        <v>4.9</v>
      </c>
      <c r="E428" s="32" t="n">
        <f aca="false">VLOOKUP($A428,'Order Sales'!$A$2:$G$2154,E$1,FALSE())</f>
        <v>44</v>
      </c>
      <c r="F428" s="32" t="n">
        <f aca="false">VLOOKUP($A428,'Order Sales'!$A$2:$G$2154,F$1,FALSE())</f>
        <v>236.92</v>
      </c>
      <c r="G428" s="32" t="str">
        <f aca="false">VLOOKUP($A428,'Order Sales'!$A$2:$G$2154,G$1,FALSE())</f>
        <v>Corporate</v>
      </c>
    </row>
    <row r="429" customFormat="false" ht="14.25" hidden="false" customHeight="false" outlineLevel="0" collapsed="false">
      <c r="A429" s="1" t="n">
        <v>1098</v>
      </c>
      <c r="B429" s="30" t="n">
        <v>43364</v>
      </c>
      <c r="C429" s="30" t="n">
        <v>43551</v>
      </c>
      <c r="D429" s="31" t="n">
        <f aca="false">VLOOKUP(A429,'Order Shipping'!$A$2:$C$2000,3,FALSE())</f>
        <v>11.4</v>
      </c>
      <c r="E429" s="32" t="n">
        <f aca="false">VLOOKUP($A429,'Order Sales'!$A$2:$G$2154,E$1,FALSE())</f>
        <v>32</v>
      </c>
      <c r="F429" s="32" t="n">
        <f aca="false">VLOOKUP($A429,'Order Sales'!$A$2:$G$2154,F$1,FALSE())</f>
        <v>506.11</v>
      </c>
      <c r="G429" s="32" t="str">
        <f aca="false">VLOOKUP($A429,'Order Sales'!$A$2:$G$2154,G$1,FALSE())</f>
        <v>Small Business</v>
      </c>
    </row>
    <row r="430" customFormat="false" ht="14.25" hidden="false" customHeight="false" outlineLevel="0" collapsed="false">
      <c r="A430" s="1" t="n">
        <v>1788</v>
      </c>
      <c r="B430" s="30" t="n">
        <v>43173</v>
      </c>
      <c r="C430" s="30" t="n">
        <v>43552</v>
      </c>
      <c r="D430" s="31" t="n">
        <f aca="false">VLOOKUP(A430,'Order Shipping'!$A$2:$C$2000,3,FALSE())</f>
        <v>5.3</v>
      </c>
      <c r="E430" s="32" t="n">
        <f aca="false">VLOOKUP($A430,'Order Sales'!$A$2:$G$2154,E$1,FALSE())</f>
        <v>36</v>
      </c>
      <c r="F430" s="32" t="n">
        <f aca="false">VLOOKUP($A430,'Order Sales'!$A$2:$G$2154,F$1,FALSE())</f>
        <v>182.35</v>
      </c>
      <c r="G430" s="32" t="str">
        <f aca="false">VLOOKUP($A430,'Order Sales'!$A$2:$G$2154,G$1,FALSE())</f>
        <v>Corporate</v>
      </c>
    </row>
    <row r="431" customFormat="false" ht="14.25" hidden="false" customHeight="false" outlineLevel="0" collapsed="false">
      <c r="A431" s="1" t="n">
        <v>2496</v>
      </c>
      <c r="B431" s="30" t="n">
        <v>43459</v>
      </c>
      <c r="C431" s="30" t="n">
        <v>43553</v>
      </c>
      <c r="D431" s="31" t="n">
        <f aca="false">VLOOKUP(A431,'Order Shipping'!$A$2:$C$2000,3,FALSE())</f>
        <v>9.6</v>
      </c>
      <c r="E431" s="32" t="n">
        <f aca="false">VLOOKUP($A431,'Order Sales'!$A$2:$G$2154,E$1,FALSE())</f>
        <v>3</v>
      </c>
      <c r="F431" s="32" t="n">
        <f aca="false">VLOOKUP($A431,'Order Sales'!$A$2:$G$2154,F$1,FALSE())</f>
        <v>479.75</v>
      </c>
      <c r="G431" s="32" t="str">
        <f aca="false">VLOOKUP($A431,'Order Sales'!$A$2:$G$2154,G$1,FALSE())</f>
        <v>Consumer</v>
      </c>
    </row>
    <row r="432" customFormat="false" ht="14.25" hidden="false" customHeight="false" outlineLevel="0" collapsed="false">
      <c r="A432" s="1" t="n">
        <v>2364</v>
      </c>
      <c r="B432" s="30" t="n">
        <v>43208</v>
      </c>
      <c r="C432" s="30" t="n">
        <v>43554</v>
      </c>
      <c r="D432" s="31" t="n">
        <f aca="false">VLOOKUP(A432,'Order Shipping'!$A$2:$C$2000,3,FALSE())</f>
        <v>44.9</v>
      </c>
      <c r="E432" s="32" t="n">
        <f aca="false">VLOOKUP($A432,'Order Sales'!$A$2:$G$2154,E$1,FALSE())</f>
        <v>8</v>
      </c>
      <c r="F432" s="32" t="n">
        <f aca="false">VLOOKUP($A432,'Order Sales'!$A$2:$G$2154,F$1,FALSE())</f>
        <v>759.03</v>
      </c>
      <c r="G432" s="32" t="str">
        <f aca="false">VLOOKUP($A432,'Order Sales'!$A$2:$G$2154,G$1,FALSE())</f>
        <v>Home Office</v>
      </c>
    </row>
    <row r="433" customFormat="false" ht="14.25" hidden="false" customHeight="false" outlineLevel="0" collapsed="false">
      <c r="A433" s="1" t="n">
        <v>2016</v>
      </c>
      <c r="B433" s="30" t="n">
        <v>43429</v>
      </c>
      <c r="C433" s="30" t="n">
        <v>43555</v>
      </c>
      <c r="D433" s="31" t="n">
        <f aca="false">VLOOKUP(A433,'Order Shipping'!$A$2:$C$2000,3,FALSE())</f>
        <v>5.6</v>
      </c>
      <c r="E433" s="32" t="n">
        <f aca="false">VLOOKUP($A433,'Order Sales'!$A$2:$G$2154,E$1,FALSE())</f>
        <v>23</v>
      </c>
      <c r="F433" s="32" t="n">
        <f aca="false">VLOOKUP($A433,'Order Sales'!$A$2:$G$2154,F$1,FALSE())</f>
        <v>280.67</v>
      </c>
      <c r="G433" s="32" t="str">
        <f aca="false">VLOOKUP($A433,'Order Sales'!$A$2:$G$2154,G$1,FALSE())</f>
        <v>Home Office</v>
      </c>
    </row>
    <row r="434" customFormat="false" ht="14.25" hidden="false" customHeight="false" outlineLevel="0" collapsed="false">
      <c r="A434" s="1" t="n">
        <v>1623</v>
      </c>
      <c r="B434" s="30" t="n">
        <v>43198</v>
      </c>
      <c r="C434" s="30" t="n">
        <v>43556</v>
      </c>
      <c r="D434" s="31" t="n">
        <f aca="false">VLOOKUP(A434,'Order Shipping'!$A$2:$C$2000,3,FALSE())</f>
        <v>5.1</v>
      </c>
      <c r="E434" s="32" t="n">
        <f aca="false">VLOOKUP($A434,'Order Sales'!$A$2:$G$2154,E$1,FALSE())</f>
        <v>29</v>
      </c>
      <c r="F434" s="32" t="n">
        <f aca="false">VLOOKUP($A434,'Order Sales'!$A$2:$G$2154,F$1,FALSE())</f>
        <v>64.93</v>
      </c>
      <c r="G434" s="32" t="str">
        <f aca="false">VLOOKUP($A434,'Order Sales'!$A$2:$G$2154,G$1,FALSE())</f>
        <v>Small Business</v>
      </c>
    </row>
    <row r="435" customFormat="false" ht="14.25" hidden="false" customHeight="false" outlineLevel="0" collapsed="false">
      <c r="A435" s="1" t="n">
        <v>1408</v>
      </c>
      <c r="B435" s="30" t="n">
        <v>43191</v>
      </c>
      <c r="C435" s="30" t="n">
        <v>43557</v>
      </c>
      <c r="D435" s="31" t="n">
        <f aca="false">VLOOKUP(A435,'Order Shipping'!$A$2:$C$2000,3,FALSE())</f>
        <v>10.8</v>
      </c>
      <c r="E435" s="32" t="n">
        <f aca="false">VLOOKUP($A435,'Order Sales'!$A$2:$G$2154,E$1,FALSE())</f>
        <v>32</v>
      </c>
      <c r="F435" s="32" t="n">
        <f aca="false">VLOOKUP($A435,'Order Sales'!$A$2:$G$2154,F$1,FALSE())</f>
        <v>549.7</v>
      </c>
      <c r="G435" s="32" t="str">
        <f aca="false">VLOOKUP($A435,'Order Sales'!$A$2:$G$2154,G$1,FALSE())</f>
        <v>Corporate</v>
      </c>
    </row>
    <row r="436" customFormat="false" ht="14.25" hidden="false" customHeight="false" outlineLevel="0" collapsed="false">
      <c r="A436" s="1" t="n">
        <v>2999</v>
      </c>
      <c r="B436" s="30" t="n">
        <v>43250</v>
      </c>
      <c r="C436" s="30" t="n">
        <v>43558</v>
      </c>
      <c r="D436" s="31" t="n">
        <f aca="false">VLOOKUP(A436,'Order Shipping'!$A$2:$C$2000,3,FALSE())</f>
        <v>5.4</v>
      </c>
      <c r="E436" s="32" t="n">
        <f aca="false">VLOOKUP($A436,'Order Sales'!$A$2:$G$2154,E$1,FALSE())</f>
        <v>12</v>
      </c>
      <c r="F436" s="32" t="n">
        <f aca="false">VLOOKUP($A436,'Order Sales'!$A$2:$G$2154,F$1,FALSE())</f>
        <v>381.21</v>
      </c>
      <c r="G436" s="32" t="str">
        <f aca="false">VLOOKUP($A436,'Order Sales'!$A$2:$G$2154,G$1,FALSE())</f>
        <v>Home Office</v>
      </c>
    </row>
    <row r="437" customFormat="false" ht="14.25" hidden="false" customHeight="false" outlineLevel="0" collapsed="false">
      <c r="A437" s="1" t="n">
        <v>2093</v>
      </c>
      <c r="B437" s="30" t="n">
        <v>43357</v>
      </c>
      <c r="C437" s="30" t="n">
        <v>43559</v>
      </c>
      <c r="D437" s="31" t="n">
        <f aca="false">VLOOKUP(A437,'Order Shipping'!$A$2:$C$2000,3,FALSE())</f>
        <v>9.4</v>
      </c>
      <c r="E437" s="32" t="n">
        <f aca="false">VLOOKUP($A437,'Order Sales'!$A$2:$G$2154,E$1,FALSE())</f>
        <v>38</v>
      </c>
      <c r="F437" s="32" t="n">
        <f aca="false">VLOOKUP($A437,'Order Sales'!$A$2:$G$2154,F$1,FALSE())</f>
        <v>279.68</v>
      </c>
      <c r="G437" s="32" t="str">
        <f aca="false">VLOOKUP($A437,'Order Sales'!$A$2:$G$2154,G$1,FALSE())</f>
        <v>Corporate</v>
      </c>
    </row>
    <row r="438" customFormat="false" ht="14.25" hidden="false" customHeight="false" outlineLevel="0" collapsed="false">
      <c r="A438" s="1" t="n">
        <v>2424</v>
      </c>
      <c r="B438" s="30" t="n">
        <v>43241</v>
      </c>
      <c r="C438" s="30" t="n">
        <v>43560</v>
      </c>
      <c r="D438" s="31" t="n">
        <f aca="false">VLOOKUP(A438,'Order Shipping'!$A$2:$C$2000,3,FALSE())</f>
        <v>6.2</v>
      </c>
      <c r="E438" s="32" t="n">
        <f aca="false">VLOOKUP($A438,'Order Sales'!$A$2:$G$2154,E$1,FALSE())</f>
        <v>46</v>
      </c>
      <c r="F438" s="32" t="n">
        <f aca="false">VLOOKUP($A438,'Order Sales'!$A$2:$G$2154,F$1,FALSE())</f>
        <v>439.16</v>
      </c>
      <c r="G438" s="32" t="str">
        <f aca="false">VLOOKUP($A438,'Order Sales'!$A$2:$G$2154,G$1,FALSE())</f>
        <v>Corporate</v>
      </c>
    </row>
    <row r="439" customFormat="false" ht="14.25" hidden="false" customHeight="false" outlineLevel="0" collapsed="false">
      <c r="A439" s="1" t="n">
        <v>2295</v>
      </c>
      <c r="B439" s="30" t="n">
        <v>43282</v>
      </c>
      <c r="C439" s="30" t="n">
        <v>43561</v>
      </c>
      <c r="D439" s="31" t="n">
        <f aca="false">VLOOKUP(A439,'Order Shipping'!$A$2:$C$2000,3,FALSE())</f>
        <v>6.6</v>
      </c>
      <c r="E439" s="32" t="n">
        <f aca="false">VLOOKUP($A439,'Order Sales'!$A$2:$G$2154,E$1,FALSE())</f>
        <v>24</v>
      </c>
      <c r="F439" s="32" t="n">
        <f aca="false">VLOOKUP($A439,'Order Sales'!$A$2:$G$2154,F$1,FALSE())</f>
        <v>116.88</v>
      </c>
      <c r="G439" s="32" t="str">
        <f aca="false">VLOOKUP($A439,'Order Sales'!$A$2:$G$2154,G$1,FALSE())</f>
        <v>Small Business</v>
      </c>
    </row>
    <row r="440" customFormat="false" ht="14.25" hidden="false" customHeight="false" outlineLevel="0" collapsed="false">
      <c r="A440" s="1" t="n">
        <v>1626</v>
      </c>
      <c r="B440" s="30" t="n">
        <v>43433</v>
      </c>
      <c r="C440" s="30" t="n">
        <v>43562</v>
      </c>
      <c r="D440" s="31" t="n">
        <f aca="false">VLOOKUP(A440,'Order Shipping'!$A$2:$C$2000,3,FALSE())</f>
        <v>2.4</v>
      </c>
      <c r="E440" s="32" t="n">
        <f aca="false">VLOOKUP($A440,'Order Sales'!$A$2:$G$2154,E$1,FALSE())</f>
        <v>44</v>
      </c>
      <c r="F440" s="32" t="n">
        <f aca="false">VLOOKUP($A440,'Order Sales'!$A$2:$G$2154,F$1,FALSE())</f>
        <v>166.68</v>
      </c>
      <c r="G440" s="32" t="str">
        <f aca="false">VLOOKUP($A440,'Order Sales'!$A$2:$G$2154,G$1,FALSE())</f>
        <v>Corporate</v>
      </c>
    </row>
    <row r="441" customFormat="false" ht="14.25" hidden="false" customHeight="false" outlineLevel="0" collapsed="false">
      <c r="A441" s="1" t="n">
        <v>1959</v>
      </c>
      <c r="B441" s="30" t="n">
        <v>43302</v>
      </c>
      <c r="C441" s="30" t="n">
        <v>43563</v>
      </c>
      <c r="D441" s="31" t="n">
        <f aca="false">VLOOKUP(A441,'Order Shipping'!$A$2:$C$2000,3,FALSE())</f>
        <v>21.4</v>
      </c>
      <c r="E441" s="32" t="n">
        <f aca="false">VLOOKUP($A441,'Order Sales'!$A$2:$G$2154,E$1,FALSE())</f>
        <v>6</v>
      </c>
      <c r="F441" s="32" t="n">
        <f aca="false">VLOOKUP($A441,'Order Sales'!$A$2:$G$2154,F$1,FALSE())</f>
        <v>687.39</v>
      </c>
      <c r="G441" s="32" t="str">
        <f aca="false">VLOOKUP($A441,'Order Sales'!$A$2:$G$2154,G$1,FALSE())</f>
        <v>Corporate</v>
      </c>
    </row>
    <row r="442" customFormat="false" ht="14.25" hidden="false" customHeight="false" outlineLevel="0" collapsed="false">
      <c r="A442" s="1" t="n">
        <v>2571</v>
      </c>
      <c r="B442" s="30" t="n">
        <v>43259</v>
      </c>
      <c r="C442" s="30" t="n">
        <v>43564</v>
      </c>
      <c r="D442" s="31" t="n">
        <f aca="false">VLOOKUP(A442,'Order Shipping'!$A$2:$C$2000,3,FALSE())</f>
        <v>5.9</v>
      </c>
      <c r="E442" s="32" t="n">
        <f aca="false">VLOOKUP($A442,'Order Sales'!$A$2:$G$2154,E$1,FALSE())</f>
        <v>43</v>
      </c>
      <c r="F442" s="32" t="n">
        <f aca="false">VLOOKUP($A442,'Order Sales'!$A$2:$G$2154,F$1,FALSE())</f>
        <v>164.97</v>
      </c>
      <c r="G442" s="32" t="str">
        <f aca="false">VLOOKUP($A442,'Order Sales'!$A$2:$G$2154,G$1,FALSE())</f>
        <v>Corporate</v>
      </c>
    </row>
    <row r="443" customFormat="false" ht="14.25" hidden="false" customHeight="false" outlineLevel="0" collapsed="false">
      <c r="A443" s="1" t="n">
        <v>1358</v>
      </c>
      <c r="B443" s="30" t="n">
        <v>43352</v>
      </c>
      <c r="C443" s="30" t="n">
        <v>43565</v>
      </c>
      <c r="D443" s="31" t="n">
        <f aca="false">VLOOKUP(A443,'Order Shipping'!$A$2:$C$2000,3,FALSE())</f>
        <v>14.1</v>
      </c>
      <c r="E443" s="32" t="n">
        <f aca="false">VLOOKUP($A443,'Order Sales'!$A$2:$G$2154,E$1,FALSE())</f>
        <v>5</v>
      </c>
      <c r="F443" s="32" t="n">
        <f aca="false">VLOOKUP($A443,'Order Sales'!$A$2:$G$2154,F$1,FALSE())</f>
        <v>102.06</v>
      </c>
      <c r="G443" s="32" t="str">
        <f aca="false">VLOOKUP($A443,'Order Sales'!$A$2:$G$2154,G$1,FALSE())</f>
        <v>Small Business</v>
      </c>
    </row>
    <row r="444" customFormat="false" ht="14.25" hidden="false" customHeight="false" outlineLevel="0" collapsed="false">
      <c r="A444" s="1" t="n">
        <v>2388</v>
      </c>
      <c r="B444" s="30" t="n">
        <v>43225</v>
      </c>
      <c r="C444" s="30" t="n">
        <v>43566</v>
      </c>
      <c r="D444" s="31" t="n">
        <f aca="false">VLOOKUP(A444,'Order Shipping'!$A$2:$C$2000,3,FALSE())</f>
        <v>6.7</v>
      </c>
      <c r="E444" s="32" t="n">
        <f aca="false">VLOOKUP($A444,'Order Sales'!$A$2:$G$2154,E$1,FALSE())</f>
        <v>45</v>
      </c>
      <c r="F444" s="32" t="n">
        <f aca="false">VLOOKUP($A444,'Order Sales'!$A$2:$G$2154,F$1,FALSE())</f>
        <v>493.32</v>
      </c>
      <c r="G444" s="32" t="str">
        <f aca="false">VLOOKUP($A444,'Order Sales'!$A$2:$G$2154,G$1,FALSE())</f>
        <v>Home Office</v>
      </c>
    </row>
    <row r="445" customFormat="false" ht="14.25" hidden="false" customHeight="false" outlineLevel="0" collapsed="false">
      <c r="A445" s="1" t="n">
        <v>2922</v>
      </c>
      <c r="B445" s="30" t="n">
        <v>43284</v>
      </c>
      <c r="C445" s="30" t="n">
        <v>43567</v>
      </c>
      <c r="D445" s="31" t="n">
        <f aca="false">VLOOKUP(A445,'Order Shipping'!$A$2:$C$2000,3,FALSE())</f>
        <v>3.9</v>
      </c>
      <c r="E445" s="32" t="n">
        <f aca="false">VLOOKUP($A445,'Order Sales'!$A$2:$G$2154,E$1,FALSE())</f>
        <v>39</v>
      </c>
      <c r="F445" s="32" t="n">
        <f aca="false">VLOOKUP($A445,'Order Sales'!$A$2:$G$2154,F$1,FALSE())</f>
        <v>337.99</v>
      </c>
      <c r="G445" s="32" t="str">
        <f aca="false">VLOOKUP($A445,'Order Sales'!$A$2:$G$2154,G$1,FALSE())</f>
        <v>Corporate</v>
      </c>
    </row>
    <row r="446" customFormat="false" ht="14.25" hidden="false" customHeight="false" outlineLevel="0" collapsed="false">
      <c r="A446" s="1" t="n">
        <v>2208</v>
      </c>
      <c r="B446" s="30" t="n">
        <v>43285</v>
      </c>
      <c r="C446" s="30" t="n">
        <v>43568</v>
      </c>
      <c r="D446" s="31" t="n">
        <f aca="false">VLOOKUP(A446,'Order Shipping'!$A$2:$C$2000,3,FALSE())</f>
        <v>97.4</v>
      </c>
      <c r="E446" s="32" t="n">
        <f aca="false">VLOOKUP($A446,'Order Sales'!$A$2:$G$2154,E$1,FALSE())</f>
        <v>47</v>
      </c>
      <c r="F446" s="32" t="n">
        <f aca="false">VLOOKUP($A446,'Order Sales'!$A$2:$G$2154,F$1,FALSE())</f>
        <v>15609.46</v>
      </c>
      <c r="G446" s="32" t="str">
        <f aca="false">VLOOKUP($A446,'Order Sales'!$A$2:$G$2154,G$1,FALSE())</f>
        <v>Small Business</v>
      </c>
    </row>
    <row r="447" customFormat="false" ht="14.25" hidden="false" customHeight="false" outlineLevel="0" collapsed="false">
      <c r="A447" s="1" t="n">
        <v>2247</v>
      </c>
      <c r="B447" s="30" t="n">
        <v>43462</v>
      </c>
      <c r="C447" s="30" t="n">
        <v>43569</v>
      </c>
      <c r="D447" s="31" t="n">
        <f aca="false">VLOOKUP(A447,'Order Shipping'!$A$2:$C$2000,3,FALSE())</f>
        <v>1</v>
      </c>
      <c r="E447" s="32" t="n">
        <f aca="false">VLOOKUP($A447,'Order Sales'!$A$2:$G$2154,E$1,FALSE())</f>
        <v>14</v>
      </c>
      <c r="F447" s="32" t="n">
        <f aca="false">VLOOKUP($A447,'Order Sales'!$A$2:$G$2154,F$1,FALSE())</f>
        <v>39.31</v>
      </c>
      <c r="G447" s="32" t="str">
        <f aca="false">VLOOKUP($A447,'Order Sales'!$A$2:$G$2154,G$1,FALSE())</f>
        <v>Corporate</v>
      </c>
    </row>
    <row r="448" customFormat="false" ht="14.25" hidden="false" customHeight="false" outlineLevel="0" collapsed="false">
      <c r="A448" s="1" t="n">
        <v>2732</v>
      </c>
      <c r="B448" s="30" t="n">
        <v>43125</v>
      </c>
      <c r="C448" s="30" t="n">
        <v>43570</v>
      </c>
      <c r="D448" s="31" t="n">
        <f aca="false">VLOOKUP(A448,'Order Shipping'!$A$2:$C$2000,3,FALSE())</f>
        <v>5.6</v>
      </c>
      <c r="E448" s="32" t="n">
        <f aca="false">VLOOKUP($A448,'Order Sales'!$A$2:$G$2154,E$1,FALSE())</f>
        <v>19</v>
      </c>
      <c r="F448" s="32" t="n">
        <f aca="false">VLOOKUP($A448,'Order Sales'!$A$2:$G$2154,F$1,FALSE())</f>
        <v>98.7</v>
      </c>
      <c r="G448" s="32" t="str">
        <f aca="false">VLOOKUP($A448,'Order Sales'!$A$2:$G$2154,G$1,FALSE())</f>
        <v>Corporate</v>
      </c>
    </row>
    <row r="449" customFormat="false" ht="14.25" hidden="false" customHeight="false" outlineLevel="0" collapsed="false">
      <c r="A449" s="1" t="n">
        <v>2971</v>
      </c>
      <c r="B449" s="30" t="n">
        <v>43179</v>
      </c>
      <c r="C449" s="30" t="n">
        <v>43571</v>
      </c>
      <c r="D449" s="31" t="n">
        <f aca="false">VLOOKUP(A449,'Order Shipping'!$A$2:$C$2000,3,FALSE())</f>
        <v>64.2</v>
      </c>
      <c r="E449" s="32" t="n">
        <f aca="false">VLOOKUP($A449,'Order Sales'!$A$2:$G$2154,E$1,FALSE())</f>
        <v>46</v>
      </c>
      <c r="F449" s="32" t="n">
        <f aca="false">VLOOKUP($A449,'Order Sales'!$A$2:$G$2154,F$1,FALSE())</f>
        <v>3993.51</v>
      </c>
      <c r="G449" s="32" t="str">
        <f aca="false">VLOOKUP($A449,'Order Sales'!$A$2:$G$2154,G$1,FALSE())</f>
        <v>Corporate</v>
      </c>
    </row>
    <row r="450" customFormat="false" ht="14.25" hidden="false" customHeight="false" outlineLevel="0" collapsed="false">
      <c r="A450" s="1" t="n">
        <v>1934</v>
      </c>
      <c r="B450" s="30" t="n">
        <v>43345</v>
      </c>
      <c r="C450" s="30" t="n">
        <v>43572</v>
      </c>
      <c r="D450" s="31" t="n">
        <f aca="false">VLOOKUP(A450,'Order Shipping'!$A$2:$C$2000,3,FALSE())</f>
        <v>9.6</v>
      </c>
      <c r="E450" s="32" t="n">
        <f aca="false">VLOOKUP($A450,'Order Sales'!$A$2:$G$2154,E$1,FALSE())</f>
        <v>8</v>
      </c>
      <c r="F450" s="32" t="n">
        <f aca="false">VLOOKUP($A450,'Order Sales'!$A$2:$G$2154,F$1,FALSE())</f>
        <v>492.83</v>
      </c>
      <c r="G450" s="32" t="str">
        <f aca="false">VLOOKUP($A450,'Order Sales'!$A$2:$G$2154,G$1,FALSE())</f>
        <v>Consumer</v>
      </c>
    </row>
    <row r="451" customFormat="false" ht="14.25" hidden="false" customHeight="false" outlineLevel="0" collapsed="false">
      <c r="A451" s="1" t="n">
        <v>2459</v>
      </c>
      <c r="B451" s="30" t="n">
        <v>43422</v>
      </c>
      <c r="C451" s="30" t="n">
        <v>43573</v>
      </c>
      <c r="D451" s="31" t="n">
        <f aca="false">VLOOKUP(A451,'Order Shipping'!$A$2:$C$2000,3,FALSE())</f>
        <v>3.1</v>
      </c>
      <c r="E451" s="32" t="n">
        <f aca="false">VLOOKUP($A451,'Order Sales'!$A$2:$G$2154,E$1,FALSE())</f>
        <v>39</v>
      </c>
      <c r="F451" s="32" t="n">
        <f aca="false">VLOOKUP($A451,'Order Sales'!$A$2:$G$2154,F$1,FALSE())</f>
        <v>322.46</v>
      </c>
      <c r="G451" s="32" t="str">
        <f aca="false">VLOOKUP($A451,'Order Sales'!$A$2:$G$2154,G$1,FALSE())</f>
        <v>Corporate</v>
      </c>
    </row>
    <row r="452" customFormat="false" ht="14.25" hidden="false" customHeight="false" outlineLevel="0" collapsed="false">
      <c r="A452" s="1" t="n">
        <v>2993</v>
      </c>
      <c r="B452" s="30" t="n">
        <v>43166</v>
      </c>
      <c r="C452" s="30" t="n">
        <v>43574</v>
      </c>
      <c r="D452" s="31" t="n">
        <f aca="false">VLOOKUP(A452,'Order Shipping'!$A$2:$C$2000,3,FALSE())</f>
        <v>6</v>
      </c>
      <c r="E452" s="32" t="n">
        <f aca="false">VLOOKUP($A452,'Order Sales'!$A$2:$G$2154,E$1,FALSE())</f>
        <v>41</v>
      </c>
      <c r="F452" s="32" t="n">
        <f aca="false">VLOOKUP($A452,'Order Sales'!$A$2:$G$2154,F$1,FALSE())</f>
        <v>260.41</v>
      </c>
      <c r="G452" s="32" t="str">
        <f aca="false">VLOOKUP($A452,'Order Sales'!$A$2:$G$2154,G$1,FALSE())</f>
        <v>Corporate</v>
      </c>
    </row>
    <row r="453" customFormat="false" ht="14.25" hidden="false" customHeight="false" outlineLevel="0" collapsed="false">
      <c r="A453" s="1" t="n">
        <v>2650</v>
      </c>
      <c r="B453" s="30" t="n">
        <v>43369</v>
      </c>
      <c r="C453" s="30" t="n">
        <v>43575</v>
      </c>
      <c r="D453" s="31" t="n">
        <f aca="false">VLOOKUP(A453,'Order Shipping'!$A$2:$C$2000,3,FALSE())</f>
        <v>7.7</v>
      </c>
      <c r="E453" s="32" t="n">
        <f aca="false">VLOOKUP($A453,'Order Sales'!$A$2:$G$2154,E$1,FALSE())</f>
        <v>7</v>
      </c>
      <c r="F453" s="32" t="n">
        <f aca="false">VLOOKUP($A453,'Order Sales'!$A$2:$G$2154,F$1,FALSE())</f>
        <v>113.36</v>
      </c>
      <c r="G453" s="32" t="str">
        <f aca="false">VLOOKUP($A453,'Order Sales'!$A$2:$G$2154,G$1,FALSE())</f>
        <v>Corporate</v>
      </c>
    </row>
    <row r="454" customFormat="false" ht="14.25" hidden="false" customHeight="false" outlineLevel="0" collapsed="false">
      <c r="A454" s="1" t="n">
        <v>1602</v>
      </c>
      <c r="B454" s="30" t="n">
        <v>43453</v>
      </c>
      <c r="C454" s="30" t="n">
        <v>43576</v>
      </c>
      <c r="D454" s="31" t="n">
        <f aca="false">VLOOKUP(A454,'Order Shipping'!$A$2:$C$2000,3,FALSE())</f>
        <v>3.2</v>
      </c>
      <c r="E454" s="32" t="n">
        <f aca="false">VLOOKUP($A454,'Order Sales'!$A$2:$G$2154,E$1,FALSE())</f>
        <v>41</v>
      </c>
      <c r="F454" s="32" t="n">
        <f aca="false">VLOOKUP($A454,'Order Sales'!$A$2:$G$2154,F$1,FALSE())</f>
        <v>171.32</v>
      </c>
      <c r="G454" s="32" t="str">
        <f aca="false">VLOOKUP($A454,'Order Sales'!$A$2:$G$2154,G$1,FALSE())</f>
        <v>Home Office</v>
      </c>
    </row>
    <row r="455" customFormat="false" ht="14.25" hidden="false" customHeight="false" outlineLevel="0" collapsed="false">
      <c r="A455" s="1" t="n">
        <v>2469</v>
      </c>
      <c r="B455" s="30" t="n">
        <v>43268</v>
      </c>
      <c r="C455" s="30" t="n">
        <v>43577</v>
      </c>
      <c r="D455" s="31" t="n">
        <f aca="false">VLOOKUP(A455,'Order Shipping'!$A$2:$C$2000,3,FALSE())</f>
        <v>4.4</v>
      </c>
      <c r="E455" s="32" t="n">
        <f aca="false">VLOOKUP($A455,'Order Sales'!$A$2:$G$2154,E$1,FALSE())</f>
        <v>28</v>
      </c>
      <c r="F455" s="32" t="n">
        <f aca="false">VLOOKUP($A455,'Order Sales'!$A$2:$G$2154,F$1,FALSE())</f>
        <v>562.18</v>
      </c>
      <c r="G455" s="32" t="str">
        <f aca="false">VLOOKUP($A455,'Order Sales'!$A$2:$G$2154,G$1,FALSE())</f>
        <v>Small Business</v>
      </c>
    </row>
    <row r="456" customFormat="false" ht="14.25" hidden="false" customHeight="false" outlineLevel="0" collapsed="false">
      <c r="A456" s="1" t="n">
        <v>1415</v>
      </c>
      <c r="B456" s="30" t="n">
        <v>43411</v>
      </c>
      <c r="C456" s="30" t="n">
        <v>43578</v>
      </c>
      <c r="D456" s="31" t="n">
        <f aca="false">VLOOKUP(A456,'Order Shipping'!$A$2:$C$2000,3,FALSE())</f>
        <v>12.3</v>
      </c>
      <c r="E456" s="32" t="n">
        <f aca="false">VLOOKUP($A456,'Order Sales'!$A$2:$G$2154,E$1,FALSE())</f>
        <v>33</v>
      </c>
      <c r="F456" s="32" t="n">
        <f aca="false">VLOOKUP($A456,'Order Sales'!$A$2:$G$2154,F$1,FALSE())</f>
        <v>257.09</v>
      </c>
      <c r="G456" s="32" t="str">
        <f aca="false">VLOOKUP($A456,'Order Sales'!$A$2:$G$2154,G$1,FALSE())</f>
        <v>Small Business</v>
      </c>
    </row>
    <row r="457" customFormat="false" ht="14.25" hidden="false" customHeight="false" outlineLevel="0" collapsed="false">
      <c r="A457" s="1" t="n">
        <v>2911</v>
      </c>
      <c r="B457" s="30" t="n">
        <v>43419</v>
      </c>
      <c r="C457" s="30" t="n">
        <v>43579</v>
      </c>
      <c r="D457" s="31" t="n">
        <f aca="false">VLOOKUP(A457,'Order Shipping'!$A$2:$C$2000,3,FALSE())</f>
        <v>5.1</v>
      </c>
      <c r="E457" s="32" t="n">
        <f aca="false">VLOOKUP($A457,'Order Sales'!$A$2:$G$2154,E$1,FALSE())</f>
        <v>42</v>
      </c>
      <c r="F457" s="32" t="n">
        <f aca="false">VLOOKUP($A457,'Order Sales'!$A$2:$G$2154,F$1,FALSE())</f>
        <v>213.19</v>
      </c>
      <c r="G457" s="32" t="str">
        <f aca="false">VLOOKUP($A457,'Order Sales'!$A$2:$G$2154,G$1,FALSE())</f>
        <v>Consumer</v>
      </c>
    </row>
    <row r="458" customFormat="false" ht="14.25" hidden="false" customHeight="false" outlineLevel="0" collapsed="false">
      <c r="A458" s="1" t="n">
        <v>2921</v>
      </c>
      <c r="B458" s="30" t="n">
        <v>43233</v>
      </c>
      <c r="C458" s="30" t="n">
        <v>43580</v>
      </c>
      <c r="D458" s="31" t="n">
        <f aca="false">VLOOKUP(A458,'Order Shipping'!$A$2:$C$2000,3,FALSE())</f>
        <v>6.6</v>
      </c>
      <c r="E458" s="32" t="n">
        <f aca="false">VLOOKUP($A458,'Order Sales'!$A$2:$G$2154,E$1,FALSE())</f>
        <v>24</v>
      </c>
      <c r="F458" s="32" t="n">
        <f aca="false">VLOOKUP($A458,'Order Sales'!$A$2:$G$2154,F$1,FALSE())</f>
        <v>191.44</v>
      </c>
      <c r="G458" s="32" t="str">
        <f aca="false">VLOOKUP($A458,'Order Sales'!$A$2:$G$2154,G$1,FALSE())</f>
        <v>Consumer</v>
      </c>
    </row>
    <row r="459" customFormat="false" ht="14.25" hidden="false" customHeight="false" outlineLevel="0" collapsed="false">
      <c r="A459" s="1" t="n">
        <v>1968</v>
      </c>
      <c r="B459" s="30" t="n">
        <v>43303</v>
      </c>
      <c r="C459" s="30" t="n">
        <v>43581</v>
      </c>
      <c r="D459" s="31" t="n">
        <f aca="false">VLOOKUP(A459,'Order Shipping'!$A$2:$C$2000,3,FALSE())</f>
        <v>2.1</v>
      </c>
      <c r="E459" s="32" t="n">
        <f aca="false">VLOOKUP($A459,'Order Sales'!$A$2:$G$2154,E$1,FALSE())</f>
        <v>3</v>
      </c>
      <c r="F459" s="32" t="n">
        <f aca="false">VLOOKUP($A459,'Order Sales'!$A$2:$G$2154,F$1,FALSE())</f>
        <v>62.73</v>
      </c>
      <c r="G459" s="32" t="str">
        <f aca="false">VLOOKUP($A459,'Order Sales'!$A$2:$G$2154,G$1,FALSE())</f>
        <v>Small Business</v>
      </c>
    </row>
    <row r="460" customFormat="false" ht="14.25" hidden="false" customHeight="false" outlineLevel="0" collapsed="false">
      <c r="A460" s="1" t="n">
        <v>2876</v>
      </c>
      <c r="B460" s="30" t="n">
        <v>43424</v>
      </c>
      <c r="C460" s="30" t="n">
        <v>43582</v>
      </c>
      <c r="D460" s="31" t="n">
        <f aca="false">VLOOKUP(A460,'Order Shipping'!$A$2:$C$2000,3,FALSE())</f>
        <v>13</v>
      </c>
      <c r="E460" s="32" t="n">
        <f aca="false">VLOOKUP($A460,'Order Sales'!$A$2:$G$2154,E$1,FALSE())</f>
        <v>15</v>
      </c>
      <c r="F460" s="32" t="n">
        <f aca="false">VLOOKUP($A460,'Order Sales'!$A$2:$G$2154,F$1,FALSE())</f>
        <v>1200.37</v>
      </c>
      <c r="G460" s="32" t="str">
        <f aca="false">VLOOKUP($A460,'Order Sales'!$A$2:$G$2154,G$1,FALSE())</f>
        <v>Small Business</v>
      </c>
    </row>
    <row r="461" customFormat="false" ht="14.25" hidden="false" customHeight="false" outlineLevel="0" collapsed="false">
      <c r="A461" s="1" t="n">
        <v>2822</v>
      </c>
      <c r="B461" s="30" t="n">
        <v>43292</v>
      </c>
      <c r="C461" s="30" t="n">
        <v>43583</v>
      </c>
      <c r="D461" s="31" t="n">
        <f aca="false">VLOOKUP(A461,'Order Shipping'!$A$2:$C$2000,3,FALSE())</f>
        <v>5.9</v>
      </c>
      <c r="E461" s="32" t="n">
        <f aca="false">VLOOKUP($A461,'Order Sales'!$A$2:$G$2154,E$1,FALSE())</f>
        <v>14</v>
      </c>
      <c r="F461" s="32" t="n">
        <f aca="false">VLOOKUP($A461,'Order Sales'!$A$2:$G$2154,F$1,FALSE())</f>
        <v>345.19</v>
      </c>
      <c r="G461" s="32" t="str">
        <f aca="false">VLOOKUP($A461,'Order Sales'!$A$2:$G$2154,G$1,FALSE())</f>
        <v>Home Office</v>
      </c>
    </row>
    <row r="462" customFormat="false" ht="14.25" hidden="false" customHeight="false" outlineLevel="0" collapsed="false">
      <c r="A462" s="1" t="n">
        <v>2553</v>
      </c>
      <c r="B462" s="30" t="n">
        <v>43449</v>
      </c>
      <c r="C462" s="30" t="n">
        <v>43584</v>
      </c>
      <c r="D462" s="31" t="n">
        <f aca="false">VLOOKUP(A462,'Order Shipping'!$A$2:$C$2000,3,FALSE())</f>
        <v>48.7</v>
      </c>
      <c r="E462" s="32" t="n">
        <f aca="false">VLOOKUP($A462,'Order Sales'!$A$2:$G$2154,E$1,FALSE())</f>
        <v>34</v>
      </c>
      <c r="F462" s="32" t="n">
        <f aca="false">VLOOKUP($A462,'Order Sales'!$A$2:$G$2154,F$1,FALSE())</f>
        <v>1144.74</v>
      </c>
      <c r="G462" s="32" t="str">
        <f aca="false">VLOOKUP($A462,'Order Sales'!$A$2:$G$2154,G$1,FALSE())</f>
        <v>Home Office</v>
      </c>
    </row>
    <row r="463" customFormat="false" ht="14.25" hidden="false" customHeight="false" outlineLevel="0" collapsed="false">
      <c r="A463" s="1" t="n">
        <v>2036</v>
      </c>
      <c r="B463" s="30" t="n">
        <v>43145</v>
      </c>
      <c r="C463" s="30" t="n">
        <v>43585</v>
      </c>
      <c r="D463" s="31" t="n">
        <f aca="false">VLOOKUP(A463,'Order Shipping'!$A$2:$C$2000,3,FALSE())</f>
        <v>32.1</v>
      </c>
      <c r="E463" s="32" t="n">
        <f aca="false">VLOOKUP($A463,'Order Sales'!$A$2:$G$2154,E$1,FALSE())</f>
        <v>22</v>
      </c>
      <c r="F463" s="32" t="n">
        <f aca="false">VLOOKUP($A463,'Order Sales'!$A$2:$G$2154,F$1,FALSE())</f>
        <v>3908.95</v>
      </c>
      <c r="G463" s="32" t="str">
        <f aca="false">VLOOKUP($A463,'Order Sales'!$A$2:$G$2154,G$1,FALSE())</f>
        <v>Home Office</v>
      </c>
    </row>
    <row r="464" customFormat="false" ht="14.25" hidden="false" customHeight="false" outlineLevel="0" collapsed="false">
      <c r="A464" s="1" t="n">
        <v>2054</v>
      </c>
      <c r="B464" s="30" t="n">
        <v>43303</v>
      </c>
      <c r="C464" s="30" t="n">
        <v>43586</v>
      </c>
      <c r="D464" s="31" t="n">
        <f aca="false">VLOOKUP(A464,'Order Shipping'!$A$2:$C$2000,3,FALSE())</f>
        <v>26.2</v>
      </c>
      <c r="E464" s="32" t="n">
        <f aca="false">VLOOKUP($A464,'Order Sales'!$A$2:$G$2154,E$1,FALSE())</f>
        <v>12</v>
      </c>
      <c r="F464" s="32" t="n">
        <f aca="false">VLOOKUP($A464,'Order Sales'!$A$2:$G$2154,F$1,FALSE())</f>
        <v>3928.29</v>
      </c>
      <c r="G464" s="32" t="str">
        <f aca="false">VLOOKUP($A464,'Order Sales'!$A$2:$G$2154,G$1,FALSE())</f>
        <v>Home Office</v>
      </c>
    </row>
    <row r="465" customFormat="false" ht="14.25" hidden="false" customHeight="false" outlineLevel="0" collapsed="false">
      <c r="A465" s="1" t="n">
        <v>1665</v>
      </c>
      <c r="B465" s="30" t="n">
        <v>43109</v>
      </c>
      <c r="C465" s="30" t="n">
        <v>43587</v>
      </c>
      <c r="D465" s="31" t="n">
        <f aca="false">VLOOKUP(A465,'Order Shipping'!$A$2:$C$2000,3,FALSE())</f>
        <v>5.5</v>
      </c>
      <c r="E465" s="32" t="n">
        <f aca="false">VLOOKUP($A465,'Order Sales'!$A$2:$G$2154,E$1,FALSE())</f>
        <v>35</v>
      </c>
      <c r="F465" s="32" t="n">
        <f aca="false">VLOOKUP($A465,'Order Sales'!$A$2:$G$2154,F$1,FALSE())</f>
        <v>447.62</v>
      </c>
      <c r="G465" s="32" t="str">
        <f aca="false">VLOOKUP($A465,'Order Sales'!$A$2:$G$2154,G$1,FALSE())</f>
        <v>Home Office</v>
      </c>
    </row>
    <row r="466" customFormat="false" ht="14.25" hidden="false" customHeight="false" outlineLevel="0" collapsed="false">
      <c r="A466" s="1" t="n">
        <v>2704</v>
      </c>
      <c r="B466" s="30" t="n">
        <v>43251</v>
      </c>
      <c r="C466" s="30" t="n">
        <v>43588</v>
      </c>
      <c r="D466" s="31" t="n">
        <f aca="false">VLOOKUP(A466,'Order Shipping'!$A$2:$C$2000,3,FALSE())</f>
        <v>1</v>
      </c>
      <c r="E466" s="32" t="n">
        <f aca="false">VLOOKUP($A466,'Order Sales'!$A$2:$G$2154,E$1,FALSE())</f>
        <v>19</v>
      </c>
      <c r="F466" s="32" t="n">
        <f aca="false">VLOOKUP($A466,'Order Sales'!$A$2:$G$2154,F$1,FALSE())</f>
        <v>54.82</v>
      </c>
      <c r="G466" s="32" t="str">
        <f aca="false">VLOOKUP($A466,'Order Sales'!$A$2:$G$2154,G$1,FALSE())</f>
        <v>Consumer</v>
      </c>
    </row>
    <row r="467" customFormat="false" ht="14.25" hidden="false" customHeight="false" outlineLevel="0" collapsed="false">
      <c r="A467" s="1" t="n">
        <v>2384</v>
      </c>
      <c r="B467" s="30" t="n">
        <v>43437</v>
      </c>
      <c r="C467" s="30" t="n">
        <v>43589</v>
      </c>
      <c r="D467" s="31" t="n">
        <f aca="false">VLOOKUP(A467,'Order Shipping'!$A$2:$C$2000,3,FALSE())</f>
        <v>2.1</v>
      </c>
      <c r="E467" s="32" t="n">
        <f aca="false">VLOOKUP($A467,'Order Sales'!$A$2:$G$2154,E$1,FALSE())</f>
        <v>5</v>
      </c>
      <c r="F467" s="32" t="n">
        <f aca="false">VLOOKUP($A467,'Order Sales'!$A$2:$G$2154,F$1,FALSE())</f>
        <v>58.64</v>
      </c>
      <c r="G467" s="32" t="str">
        <f aca="false">VLOOKUP($A467,'Order Sales'!$A$2:$G$2154,G$1,FALSE())</f>
        <v>Corporate</v>
      </c>
    </row>
    <row r="468" customFormat="false" ht="14.25" hidden="false" customHeight="false" outlineLevel="0" collapsed="false">
      <c r="A468" s="1" t="n">
        <v>2516</v>
      </c>
      <c r="B468" s="30" t="n">
        <v>43136</v>
      </c>
      <c r="C468" s="30" t="n">
        <v>43590</v>
      </c>
      <c r="D468" s="31" t="n">
        <f aca="false">VLOOKUP(A468,'Order Shipping'!$A$2:$C$2000,3,FALSE())</f>
        <v>6.7</v>
      </c>
      <c r="E468" s="32" t="n">
        <f aca="false">VLOOKUP($A468,'Order Sales'!$A$2:$G$2154,E$1,FALSE())</f>
        <v>27</v>
      </c>
      <c r="F468" s="32" t="n">
        <f aca="false">VLOOKUP($A468,'Order Sales'!$A$2:$G$2154,F$1,FALSE())</f>
        <v>1303.01</v>
      </c>
      <c r="G468" s="32" t="str">
        <f aca="false">VLOOKUP($A468,'Order Sales'!$A$2:$G$2154,G$1,FALSE())</f>
        <v>Consumer</v>
      </c>
    </row>
    <row r="469" customFormat="false" ht="14.25" hidden="false" customHeight="false" outlineLevel="0" collapsed="false">
      <c r="A469" s="1" t="n">
        <v>2117</v>
      </c>
      <c r="B469" s="30" t="n">
        <v>43406</v>
      </c>
      <c r="C469" s="30" t="n">
        <v>43591</v>
      </c>
      <c r="D469" s="31" t="n">
        <f aca="false">VLOOKUP(A469,'Order Shipping'!$A$2:$C$2000,3,FALSE())</f>
        <v>9.8</v>
      </c>
      <c r="E469" s="32" t="n">
        <f aca="false">VLOOKUP($A469,'Order Sales'!$A$2:$G$2154,E$1,FALSE())</f>
        <v>11</v>
      </c>
      <c r="F469" s="32" t="n">
        <f aca="false">VLOOKUP($A469,'Order Sales'!$A$2:$G$2154,F$1,FALSE())</f>
        <v>498.99</v>
      </c>
      <c r="G469" s="32" t="str">
        <f aca="false">VLOOKUP($A469,'Order Sales'!$A$2:$G$2154,G$1,FALSE())</f>
        <v>Home Office</v>
      </c>
    </row>
    <row r="470" customFormat="false" ht="14.25" hidden="false" customHeight="false" outlineLevel="0" collapsed="false">
      <c r="A470" s="1" t="n">
        <v>1320</v>
      </c>
      <c r="B470" s="30" t="n">
        <v>43192</v>
      </c>
      <c r="C470" s="30" t="n">
        <v>43592</v>
      </c>
      <c r="D470" s="31" t="n">
        <f aca="false">VLOOKUP(A470,'Order Shipping'!$A$2:$C$2000,3,FALSE())</f>
        <v>38.2</v>
      </c>
      <c r="E470" s="32" t="n">
        <f aca="false">VLOOKUP($A470,'Order Sales'!$A$2:$G$2154,E$1,FALSE())</f>
        <v>24</v>
      </c>
      <c r="F470" s="32" t="n">
        <f aca="false">VLOOKUP($A470,'Order Sales'!$A$2:$G$2154,F$1,FALSE())</f>
        <v>6856.88</v>
      </c>
      <c r="G470" s="32" t="str">
        <f aca="false">VLOOKUP($A470,'Order Sales'!$A$2:$G$2154,G$1,FALSE())</f>
        <v>Consumer</v>
      </c>
    </row>
    <row r="471" customFormat="false" ht="14.25" hidden="false" customHeight="false" outlineLevel="0" collapsed="false">
      <c r="A471" s="1" t="n">
        <v>2879</v>
      </c>
      <c r="B471" s="30" t="n">
        <v>43246</v>
      </c>
      <c r="C471" s="30" t="n">
        <v>43593</v>
      </c>
      <c r="D471" s="31" t="n">
        <f aca="false">VLOOKUP(A471,'Order Shipping'!$A$2:$C$2000,3,FALSE())</f>
        <v>0.5</v>
      </c>
      <c r="E471" s="32" t="n">
        <f aca="false">VLOOKUP($A471,'Order Sales'!$A$2:$G$2154,E$1,FALSE())</f>
        <v>18</v>
      </c>
      <c r="F471" s="32" t="n">
        <f aca="false">VLOOKUP($A471,'Order Sales'!$A$2:$G$2154,F$1,FALSE())</f>
        <v>135.48</v>
      </c>
      <c r="G471" s="32" t="str">
        <f aca="false">VLOOKUP($A471,'Order Sales'!$A$2:$G$2154,G$1,FALSE())</f>
        <v>Small Business</v>
      </c>
    </row>
    <row r="472" customFormat="false" ht="14.25" hidden="false" customHeight="false" outlineLevel="0" collapsed="false">
      <c r="A472" s="1" t="n">
        <v>2022</v>
      </c>
      <c r="B472" s="30" t="n">
        <v>43305</v>
      </c>
      <c r="C472" s="30" t="n">
        <v>43594</v>
      </c>
      <c r="D472" s="31" t="n">
        <f aca="false">VLOOKUP(A472,'Order Shipping'!$A$2:$C$2000,3,FALSE())</f>
        <v>7.4</v>
      </c>
      <c r="E472" s="32" t="n">
        <f aca="false">VLOOKUP($A472,'Order Sales'!$A$2:$G$2154,E$1,FALSE())</f>
        <v>20</v>
      </c>
      <c r="F472" s="32" t="n">
        <f aca="false">VLOOKUP($A472,'Order Sales'!$A$2:$G$2154,F$1,FALSE())</f>
        <v>104.49</v>
      </c>
      <c r="G472" s="32" t="str">
        <f aca="false">VLOOKUP($A472,'Order Sales'!$A$2:$G$2154,G$1,FALSE())</f>
        <v>Small Business</v>
      </c>
    </row>
    <row r="473" customFormat="false" ht="14.25" hidden="false" customHeight="false" outlineLevel="0" collapsed="false">
      <c r="A473" s="1" t="n">
        <v>2923</v>
      </c>
      <c r="B473" s="30" t="n">
        <v>43284</v>
      </c>
      <c r="C473" s="30" t="n">
        <v>43595</v>
      </c>
      <c r="D473" s="31" t="n">
        <f aca="false">VLOOKUP(A473,'Order Shipping'!$A$2:$C$2000,3,FALSE())</f>
        <v>7</v>
      </c>
      <c r="E473" s="32" t="n">
        <f aca="false">VLOOKUP($A473,'Order Sales'!$A$2:$G$2154,E$1,FALSE())</f>
        <v>8</v>
      </c>
      <c r="F473" s="32" t="n">
        <f aca="false">VLOOKUP($A473,'Order Sales'!$A$2:$G$2154,F$1,FALSE())</f>
        <v>276.18</v>
      </c>
      <c r="G473" s="32" t="str">
        <f aca="false">VLOOKUP($A473,'Order Sales'!$A$2:$G$2154,G$1,FALSE())</f>
        <v>Corporate</v>
      </c>
    </row>
    <row r="474" customFormat="false" ht="14.25" hidden="false" customHeight="false" outlineLevel="0" collapsed="false">
      <c r="A474" s="1" t="n">
        <v>1520</v>
      </c>
      <c r="B474" s="30" t="n">
        <v>43303</v>
      </c>
      <c r="C474" s="30" t="n">
        <v>43596</v>
      </c>
      <c r="D474" s="31" t="n">
        <f aca="false">VLOOKUP(A474,'Order Shipping'!$A$2:$C$2000,3,FALSE())</f>
        <v>4.8</v>
      </c>
      <c r="E474" s="32" t="n">
        <f aca="false">VLOOKUP($A474,'Order Sales'!$A$2:$G$2154,E$1,FALSE())</f>
        <v>50</v>
      </c>
      <c r="F474" s="32" t="n">
        <f aca="false">VLOOKUP($A474,'Order Sales'!$A$2:$G$2154,F$1,FALSE())</f>
        <v>550.9</v>
      </c>
      <c r="G474" s="32" t="str">
        <f aca="false">VLOOKUP($A474,'Order Sales'!$A$2:$G$2154,G$1,FALSE())</f>
        <v>Home Office</v>
      </c>
    </row>
    <row r="475" customFormat="false" ht="14.25" hidden="false" customHeight="false" outlineLevel="0" collapsed="false">
      <c r="A475" s="1" t="n">
        <v>1518</v>
      </c>
      <c r="B475" s="30" t="n">
        <v>43165</v>
      </c>
      <c r="C475" s="30" t="n">
        <v>43597</v>
      </c>
      <c r="D475" s="31" t="n">
        <f aca="false">VLOOKUP(A475,'Order Shipping'!$A$2:$C$2000,3,FALSE())</f>
        <v>6.1</v>
      </c>
      <c r="E475" s="32" t="n">
        <f aca="false">VLOOKUP($A475,'Order Sales'!$A$2:$G$2154,E$1,FALSE())</f>
        <v>44</v>
      </c>
      <c r="F475" s="32" t="n">
        <f aca="false">VLOOKUP($A475,'Order Sales'!$A$2:$G$2154,F$1,FALSE())</f>
        <v>242.01</v>
      </c>
      <c r="G475" s="32" t="str">
        <f aca="false">VLOOKUP($A475,'Order Sales'!$A$2:$G$2154,G$1,FALSE())</f>
        <v>Corporate</v>
      </c>
    </row>
    <row r="476" customFormat="false" ht="14.25" hidden="false" customHeight="false" outlineLevel="0" collapsed="false">
      <c r="A476" s="1" t="n">
        <v>2504</v>
      </c>
      <c r="B476" s="30" t="n">
        <v>43245</v>
      </c>
      <c r="C476" s="30" t="n">
        <v>43598</v>
      </c>
      <c r="D476" s="31" t="n">
        <f aca="false">VLOOKUP(A476,'Order Shipping'!$A$2:$C$2000,3,FALSE())</f>
        <v>1.6</v>
      </c>
      <c r="E476" s="32" t="n">
        <f aca="false">VLOOKUP($A476,'Order Sales'!$A$2:$G$2154,E$1,FALSE())</f>
        <v>15</v>
      </c>
      <c r="F476" s="32" t="n">
        <f aca="false">VLOOKUP($A476,'Order Sales'!$A$2:$G$2154,F$1,FALSE())</f>
        <v>72.79</v>
      </c>
      <c r="G476" s="32" t="str">
        <f aca="false">VLOOKUP($A476,'Order Sales'!$A$2:$G$2154,G$1,FALSE())</f>
        <v>Corporate</v>
      </c>
    </row>
    <row r="477" customFormat="false" ht="14.25" hidden="false" customHeight="false" outlineLevel="0" collapsed="false">
      <c r="A477" s="1" t="n">
        <v>1776</v>
      </c>
      <c r="B477" s="30" t="n">
        <v>43320</v>
      </c>
      <c r="C477" s="30" t="n">
        <v>43599</v>
      </c>
      <c r="D477" s="31" t="n">
        <f aca="false">VLOOKUP(A477,'Order Shipping'!$A$2:$C$2000,3,FALSE())</f>
        <v>5.1</v>
      </c>
      <c r="E477" s="32" t="n">
        <f aca="false">VLOOKUP($A477,'Order Sales'!$A$2:$G$2154,E$1,FALSE())</f>
        <v>4</v>
      </c>
      <c r="F477" s="32" t="n">
        <f aca="false">VLOOKUP($A477,'Order Sales'!$A$2:$G$2154,F$1,FALSE())</f>
        <v>27.63</v>
      </c>
      <c r="G477" s="32" t="str">
        <f aca="false">VLOOKUP($A477,'Order Sales'!$A$2:$G$2154,G$1,FALSE())</f>
        <v>Home Office</v>
      </c>
    </row>
    <row r="478" customFormat="false" ht="14.25" hidden="false" customHeight="false" outlineLevel="0" collapsed="false">
      <c r="A478" s="1" t="n">
        <v>1609</v>
      </c>
      <c r="B478" s="30" t="n">
        <v>43361</v>
      </c>
      <c r="C478" s="30" t="n">
        <v>43600</v>
      </c>
      <c r="D478" s="31" t="n">
        <f aca="false">VLOOKUP(A478,'Order Shipping'!$A$2:$C$2000,3,FALSE())</f>
        <v>6.4</v>
      </c>
      <c r="E478" s="32" t="n">
        <f aca="false">VLOOKUP($A478,'Order Sales'!$A$2:$G$2154,E$1,FALSE())</f>
        <v>17</v>
      </c>
      <c r="F478" s="32" t="n">
        <f aca="false">VLOOKUP($A478,'Order Sales'!$A$2:$G$2154,F$1,FALSE())</f>
        <v>375.84</v>
      </c>
      <c r="G478" s="32" t="str">
        <f aca="false">VLOOKUP($A478,'Order Sales'!$A$2:$G$2154,G$1,FALSE())</f>
        <v>Small Business</v>
      </c>
    </row>
    <row r="479" customFormat="false" ht="14.25" hidden="false" customHeight="false" outlineLevel="0" collapsed="false">
      <c r="A479" s="1" t="n">
        <v>1319</v>
      </c>
      <c r="B479" s="30" t="n">
        <v>43233</v>
      </c>
      <c r="C479" s="30" t="n">
        <v>43601</v>
      </c>
      <c r="D479" s="31" t="n">
        <f aca="false">VLOOKUP(A479,'Order Shipping'!$A$2:$C$2000,3,FALSE())</f>
        <v>1.5</v>
      </c>
      <c r="E479" s="32" t="n">
        <f aca="false">VLOOKUP($A479,'Order Sales'!$A$2:$G$2154,E$1,FALSE())</f>
        <v>23</v>
      </c>
      <c r="F479" s="32" t="n">
        <f aca="false">VLOOKUP($A479,'Order Sales'!$A$2:$G$2154,F$1,FALSE())</f>
        <v>381.02</v>
      </c>
      <c r="G479" s="32" t="str">
        <f aca="false">VLOOKUP($A479,'Order Sales'!$A$2:$G$2154,G$1,FALSE())</f>
        <v>Home Office</v>
      </c>
    </row>
    <row r="480" customFormat="false" ht="14.25" hidden="false" customHeight="false" outlineLevel="0" collapsed="false">
      <c r="A480" s="1" t="n">
        <v>2824</v>
      </c>
      <c r="B480" s="30" t="n">
        <v>43441</v>
      </c>
      <c r="C480" s="30" t="n">
        <v>43602</v>
      </c>
      <c r="D480" s="31" t="n">
        <f aca="false">VLOOKUP(A480,'Order Shipping'!$A$2:$C$2000,3,FALSE())</f>
        <v>2.7</v>
      </c>
      <c r="E480" s="32" t="n">
        <f aca="false">VLOOKUP($A480,'Order Sales'!$A$2:$G$2154,E$1,FALSE())</f>
        <v>38</v>
      </c>
      <c r="F480" s="32" t="n">
        <f aca="false">VLOOKUP($A480,'Order Sales'!$A$2:$G$2154,F$1,FALSE())</f>
        <v>2116.92</v>
      </c>
      <c r="G480" s="32" t="str">
        <f aca="false">VLOOKUP($A480,'Order Sales'!$A$2:$G$2154,G$1,FALSE())</f>
        <v>Home Office</v>
      </c>
    </row>
    <row r="481" customFormat="false" ht="14.25" hidden="false" customHeight="false" outlineLevel="0" collapsed="false">
      <c r="A481" s="1" t="n">
        <v>1041</v>
      </c>
      <c r="B481" s="30" t="n">
        <v>43175</v>
      </c>
      <c r="C481" s="30" t="n">
        <v>43603</v>
      </c>
      <c r="D481" s="31" t="n">
        <f aca="false">VLOOKUP(A481,'Order Shipping'!$A$2:$C$2000,3,FALSE())</f>
        <v>0.7</v>
      </c>
      <c r="E481" s="32" t="n">
        <f aca="false">VLOOKUP($A481,'Order Sales'!$A$2:$G$2154,E$1,FALSE())</f>
        <v>35</v>
      </c>
      <c r="F481" s="32" t="n">
        <f aca="false">VLOOKUP($A481,'Order Sales'!$A$2:$G$2154,F$1,FALSE())</f>
        <v>46.62</v>
      </c>
      <c r="G481" s="32" t="str">
        <f aca="false">VLOOKUP($A481,'Order Sales'!$A$2:$G$2154,G$1,FALSE())</f>
        <v>Small Business</v>
      </c>
    </row>
    <row r="482" customFormat="false" ht="14.25" hidden="false" customHeight="false" outlineLevel="0" collapsed="false">
      <c r="A482" s="1" t="n">
        <v>2499</v>
      </c>
      <c r="B482" s="30" t="n">
        <v>43364</v>
      </c>
      <c r="C482" s="30" t="n">
        <v>43604</v>
      </c>
      <c r="D482" s="31" t="n">
        <f aca="false">VLOOKUP(A482,'Order Shipping'!$A$2:$C$2000,3,FALSE())</f>
        <v>9.1</v>
      </c>
      <c r="E482" s="32" t="n">
        <f aca="false">VLOOKUP($A482,'Order Sales'!$A$2:$G$2154,E$1,FALSE())</f>
        <v>38</v>
      </c>
      <c r="F482" s="32" t="n">
        <f aca="false">VLOOKUP($A482,'Order Sales'!$A$2:$G$2154,F$1,FALSE())</f>
        <v>348.55</v>
      </c>
      <c r="G482" s="32" t="str">
        <f aca="false">VLOOKUP($A482,'Order Sales'!$A$2:$G$2154,G$1,FALSE())</f>
        <v>Corporate</v>
      </c>
    </row>
    <row r="483" customFormat="false" ht="14.25" hidden="false" customHeight="false" outlineLevel="0" collapsed="false">
      <c r="A483" s="1" t="n">
        <v>2140</v>
      </c>
      <c r="B483" s="30" t="n">
        <v>43186</v>
      </c>
      <c r="C483" s="30" t="n">
        <v>43605</v>
      </c>
      <c r="D483" s="31" t="n">
        <f aca="false">VLOOKUP(A483,'Order Shipping'!$A$2:$C$2000,3,FALSE())</f>
        <v>3.9</v>
      </c>
      <c r="E483" s="32" t="n">
        <f aca="false">VLOOKUP($A483,'Order Sales'!$A$2:$G$2154,E$1,FALSE())</f>
        <v>1</v>
      </c>
      <c r="F483" s="32" t="n">
        <f aca="false">VLOOKUP($A483,'Order Sales'!$A$2:$G$2154,F$1,FALSE())</f>
        <v>28.55</v>
      </c>
      <c r="G483" s="32" t="str">
        <f aca="false">VLOOKUP($A483,'Order Sales'!$A$2:$G$2154,G$1,FALSE())</f>
        <v>Corporate</v>
      </c>
    </row>
    <row r="484" customFormat="false" ht="14.25" hidden="false" customHeight="false" outlineLevel="0" collapsed="false">
      <c r="A484" s="1" t="n">
        <v>2173</v>
      </c>
      <c r="B484" s="30" t="n">
        <v>43109</v>
      </c>
      <c r="C484" s="30" t="n">
        <v>43606</v>
      </c>
      <c r="D484" s="31" t="n">
        <f aca="false">VLOOKUP(A484,'Order Shipping'!$A$2:$C$2000,3,FALSE())</f>
        <v>74.5</v>
      </c>
      <c r="E484" s="32" t="n">
        <f aca="false">VLOOKUP($A484,'Order Sales'!$A$2:$G$2154,E$1,FALSE())</f>
        <v>28</v>
      </c>
      <c r="F484" s="32" t="n">
        <f aca="false">VLOOKUP($A484,'Order Sales'!$A$2:$G$2154,F$1,FALSE())</f>
        <v>6413.3</v>
      </c>
      <c r="G484" s="32" t="str">
        <f aca="false">VLOOKUP($A484,'Order Sales'!$A$2:$G$2154,G$1,FALSE())</f>
        <v>Corporate</v>
      </c>
    </row>
    <row r="485" customFormat="false" ht="14.25" hidden="false" customHeight="false" outlineLevel="0" collapsed="false">
      <c r="A485" s="1" t="n">
        <v>2633</v>
      </c>
      <c r="B485" s="30" t="n">
        <v>43244</v>
      </c>
      <c r="C485" s="30" t="n">
        <v>43607</v>
      </c>
      <c r="D485" s="31" t="n">
        <f aca="false">VLOOKUP(A485,'Order Shipping'!$A$2:$C$2000,3,FALSE())</f>
        <v>5.8</v>
      </c>
      <c r="E485" s="32" t="n">
        <f aca="false">VLOOKUP($A485,'Order Sales'!$A$2:$G$2154,E$1,FALSE())</f>
        <v>48</v>
      </c>
      <c r="F485" s="32" t="n">
        <f aca="false">VLOOKUP($A485,'Order Sales'!$A$2:$G$2154,F$1,FALSE())</f>
        <v>218.44</v>
      </c>
      <c r="G485" s="32" t="str">
        <f aca="false">VLOOKUP($A485,'Order Sales'!$A$2:$G$2154,G$1,FALSE())</f>
        <v>Home Office</v>
      </c>
    </row>
    <row r="486" customFormat="false" ht="14.25" hidden="false" customHeight="false" outlineLevel="0" collapsed="false">
      <c r="A486" s="1" t="n">
        <v>2376</v>
      </c>
      <c r="B486" s="30" t="n">
        <v>43301</v>
      </c>
      <c r="C486" s="30" t="n">
        <v>43608</v>
      </c>
      <c r="D486" s="31" t="n">
        <f aca="false">VLOOKUP(A486,'Order Shipping'!$A$2:$C$2000,3,FALSE())</f>
        <v>7.7</v>
      </c>
      <c r="E486" s="32" t="n">
        <f aca="false">VLOOKUP($A486,'Order Sales'!$A$2:$G$2154,E$1,FALSE())</f>
        <v>1</v>
      </c>
      <c r="F486" s="32" t="n">
        <f aca="false">VLOOKUP($A486,'Order Sales'!$A$2:$G$2154,F$1,FALSE())</f>
        <v>20.24</v>
      </c>
      <c r="G486" s="32" t="str">
        <f aca="false">VLOOKUP($A486,'Order Sales'!$A$2:$G$2154,G$1,FALSE())</f>
        <v>Corporate</v>
      </c>
    </row>
    <row r="487" customFormat="false" ht="14.25" hidden="false" customHeight="false" outlineLevel="0" collapsed="false">
      <c r="A487" s="1" t="n">
        <v>2157</v>
      </c>
      <c r="B487" s="30" t="n">
        <v>43286</v>
      </c>
      <c r="C487" s="30" t="n">
        <v>43609</v>
      </c>
      <c r="D487" s="31" t="n">
        <f aca="false">VLOOKUP(A487,'Order Shipping'!$A$2:$C$2000,3,FALSE())</f>
        <v>59.2</v>
      </c>
      <c r="E487" s="32" t="n">
        <f aca="false">VLOOKUP($A487,'Order Sales'!$A$2:$G$2154,E$1,FALSE())</f>
        <v>38</v>
      </c>
      <c r="F487" s="32" t="n">
        <f aca="false">VLOOKUP($A487,'Order Sales'!$A$2:$G$2154,F$1,FALSE())</f>
        <v>31229.54</v>
      </c>
      <c r="G487" s="32" t="str">
        <f aca="false">VLOOKUP($A487,'Order Sales'!$A$2:$G$2154,G$1,FALSE())</f>
        <v>Corporate</v>
      </c>
    </row>
    <row r="488" customFormat="false" ht="14.25" hidden="false" customHeight="false" outlineLevel="0" collapsed="false">
      <c r="A488" s="1" t="n">
        <v>2697</v>
      </c>
      <c r="B488" s="30" t="n">
        <v>43430</v>
      </c>
      <c r="C488" s="30" t="n">
        <v>43610</v>
      </c>
      <c r="D488" s="31" t="n">
        <f aca="false">VLOOKUP(A488,'Order Shipping'!$A$2:$C$2000,3,FALSE())</f>
        <v>26.2</v>
      </c>
      <c r="E488" s="32" t="n">
        <f aca="false">VLOOKUP($A488,'Order Sales'!$A$2:$G$2154,E$1,FALSE())</f>
        <v>3</v>
      </c>
      <c r="F488" s="32" t="n">
        <f aca="false">VLOOKUP($A488,'Order Sales'!$A$2:$G$2154,F$1,FALSE())</f>
        <v>22862.17</v>
      </c>
      <c r="G488" s="32" t="str">
        <f aca="false">VLOOKUP($A488,'Order Sales'!$A$2:$G$2154,G$1,FALSE())</f>
        <v>Small Business</v>
      </c>
    </row>
    <row r="489" customFormat="false" ht="14.25" hidden="false" customHeight="false" outlineLevel="0" collapsed="false">
      <c r="A489" s="1" t="n">
        <v>2190</v>
      </c>
      <c r="B489" s="30" t="n">
        <v>43316</v>
      </c>
      <c r="C489" s="30" t="n">
        <v>43611</v>
      </c>
      <c r="D489" s="31" t="n">
        <f aca="false">VLOOKUP(A489,'Order Shipping'!$A$2:$C$2000,3,FALSE())</f>
        <v>21.4</v>
      </c>
      <c r="E489" s="32" t="n">
        <f aca="false">VLOOKUP($A489,'Order Sales'!$A$2:$G$2154,E$1,FALSE())</f>
        <v>42</v>
      </c>
      <c r="F489" s="32" t="n">
        <f aca="false">VLOOKUP($A489,'Order Sales'!$A$2:$G$2154,F$1,FALSE())</f>
        <v>6877.08</v>
      </c>
      <c r="G489" s="32" t="str">
        <f aca="false">VLOOKUP($A489,'Order Sales'!$A$2:$G$2154,G$1,FALSE())</f>
        <v>Corporate</v>
      </c>
    </row>
    <row r="490" customFormat="false" ht="14.25" hidden="false" customHeight="false" outlineLevel="0" collapsed="false">
      <c r="A490" s="1" t="n">
        <v>1340</v>
      </c>
      <c r="B490" s="30" t="n">
        <v>43294</v>
      </c>
      <c r="C490" s="30" t="n">
        <v>43612</v>
      </c>
      <c r="D490" s="31" t="n">
        <f aca="false">VLOOKUP(A490,'Order Shipping'!$A$2:$C$2000,3,FALSE())</f>
        <v>49.9</v>
      </c>
      <c r="E490" s="32" t="n">
        <f aca="false">VLOOKUP($A490,'Order Sales'!$A$2:$G$2154,E$1,FALSE())</f>
        <v>7</v>
      </c>
      <c r="F490" s="32" t="n">
        <f aca="false">VLOOKUP($A490,'Order Sales'!$A$2:$G$2154,F$1,FALSE())</f>
        <v>389.02</v>
      </c>
      <c r="G490" s="32" t="str">
        <f aca="false">VLOOKUP($A490,'Order Sales'!$A$2:$G$2154,G$1,FALSE())</f>
        <v>Corporate</v>
      </c>
    </row>
    <row r="491" customFormat="false" ht="14.25" hidden="false" customHeight="false" outlineLevel="0" collapsed="false">
      <c r="A491" s="1" t="n">
        <v>2641</v>
      </c>
      <c r="B491" s="30" t="n">
        <v>43156</v>
      </c>
      <c r="C491" s="30" t="n">
        <v>43613</v>
      </c>
      <c r="D491" s="31" t="n">
        <f aca="false">VLOOKUP(A491,'Order Shipping'!$A$2:$C$2000,3,FALSE())</f>
        <v>7.2</v>
      </c>
      <c r="E491" s="32" t="n">
        <f aca="false">VLOOKUP($A491,'Order Sales'!$A$2:$G$2154,E$1,FALSE())</f>
        <v>9</v>
      </c>
      <c r="F491" s="32" t="n">
        <f aca="false">VLOOKUP($A491,'Order Sales'!$A$2:$G$2154,F$1,FALSE())</f>
        <v>490.92</v>
      </c>
      <c r="G491" s="32" t="str">
        <f aca="false">VLOOKUP($A491,'Order Sales'!$A$2:$G$2154,G$1,FALSE())</f>
        <v>Corporate</v>
      </c>
    </row>
    <row r="492" customFormat="false" ht="14.25" hidden="false" customHeight="false" outlineLevel="0" collapsed="false">
      <c r="A492" s="1" t="n">
        <v>2757</v>
      </c>
      <c r="B492" s="30" t="n">
        <v>43365</v>
      </c>
      <c r="C492" s="30" t="n">
        <v>43614</v>
      </c>
      <c r="D492" s="31" t="n">
        <f aca="false">VLOOKUP(A492,'Order Shipping'!$A$2:$C$2000,3,FALSE())</f>
        <v>4.3</v>
      </c>
      <c r="E492" s="32" t="n">
        <f aca="false">VLOOKUP($A492,'Order Sales'!$A$2:$G$2154,E$1,FALSE())</f>
        <v>7</v>
      </c>
      <c r="F492" s="32" t="n">
        <f aca="false">VLOOKUP($A492,'Order Sales'!$A$2:$G$2154,F$1,FALSE())</f>
        <v>236.25</v>
      </c>
      <c r="G492" s="32" t="str">
        <f aca="false">VLOOKUP($A492,'Order Sales'!$A$2:$G$2154,G$1,FALSE())</f>
        <v>Home Office</v>
      </c>
    </row>
    <row r="493" customFormat="false" ht="14.25" hidden="false" customHeight="false" outlineLevel="0" collapsed="false">
      <c r="A493" s="1" t="n">
        <v>1620</v>
      </c>
      <c r="B493" s="30" t="n">
        <v>43285</v>
      </c>
      <c r="C493" s="30" t="n">
        <v>43615</v>
      </c>
      <c r="D493" s="31" t="n">
        <f aca="false">VLOOKUP(A493,'Order Shipping'!$A$2:$C$2000,3,FALSE())</f>
        <v>6.1</v>
      </c>
      <c r="E493" s="32" t="n">
        <f aca="false">VLOOKUP($A493,'Order Sales'!$A$2:$G$2154,E$1,FALSE())</f>
        <v>44</v>
      </c>
      <c r="F493" s="32" t="n">
        <f aca="false">VLOOKUP($A493,'Order Sales'!$A$2:$G$2154,F$1,FALSE())</f>
        <v>306.08</v>
      </c>
      <c r="G493" s="32" t="str">
        <f aca="false">VLOOKUP($A493,'Order Sales'!$A$2:$G$2154,G$1,FALSE())</f>
        <v>Home Office</v>
      </c>
    </row>
    <row r="494" customFormat="false" ht="14.25" hidden="false" customHeight="false" outlineLevel="0" collapsed="false">
      <c r="A494" s="1" t="n">
        <v>1161</v>
      </c>
      <c r="B494" s="30" t="n">
        <v>43261</v>
      </c>
      <c r="C494" s="30" t="n">
        <v>43616</v>
      </c>
      <c r="D494" s="31" t="n">
        <f aca="false">VLOOKUP(A494,'Order Shipping'!$A$2:$C$2000,3,FALSE())</f>
        <v>44.9</v>
      </c>
      <c r="E494" s="32" t="n">
        <f aca="false">VLOOKUP($A494,'Order Sales'!$A$2:$G$2154,E$1,FALSE())</f>
        <v>8</v>
      </c>
      <c r="F494" s="32" t="n">
        <f aca="false">VLOOKUP($A494,'Order Sales'!$A$2:$G$2154,F$1,FALSE())</f>
        <v>830.04</v>
      </c>
      <c r="G494" s="32" t="str">
        <f aca="false">VLOOKUP($A494,'Order Sales'!$A$2:$G$2154,G$1,FALSE())</f>
        <v>Consumer</v>
      </c>
    </row>
    <row r="495" customFormat="false" ht="14.25" hidden="false" customHeight="false" outlineLevel="0" collapsed="false">
      <c r="A495" s="1" t="n">
        <v>1703</v>
      </c>
      <c r="B495" s="30" t="n">
        <v>43132</v>
      </c>
      <c r="C495" s="30" t="n">
        <v>43617</v>
      </c>
      <c r="D495" s="31" t="n">
        <f aca="false">VLOOKUP(A495,'Order Shipping'!$A$2:$C$2000,3,FALSE())</f>
        <v>10.6</v>
      </c>
      <c r="E495" s="32" t="n">
        <f aca="false">VLOOKUP($A495,'Order Sales'!$A$2:$G$2154,E$1,FALSE())</f>
        <v>24</v>
      </c>
      <c r="F495" s="32" t="n">
        <f aca="false">VLOOKUP($A495,'Order Sales'!$A$2:$G$2154,F$1,FALSE())</f>
        <v>155.31</v>
      </c>
      <c r="G495" s="32" t="str">
        <f aca="false">VLOOKUP($A495,'Order Sales'!$A$2:$G$2154,G$1,FALSE())</f>
        <v>Home Office</v>
      </c>
    </row>
    <row r="496" customFormat="false" ht="14.25" hidden="false" customHeight="false" outlineLevel="0" collapsed="false">
      <c r="A496" s="1" t="n">
        <v>2346</v>
      </c>
      <c r="B496" s="30" t="n">
        <v>43440</v>
      </c>
      <c r="C496" s="30" t="n">
        <v>43618</v>
      </c>
      <c r="D496" s="31" t="n">
        <f aca="false">VLOOKUP(A496,'Order Shipping'!$A$2:$C$2000,3,FALSE())</f>
        <v>21.4</v>
      </c>
      <c r="E496" s="32" t="n">
        <f aca="false">VLOOKUP($A496,'Order Sales'!$A$2:$G$2154,E$1,FALSE())</f>
        <v>19</v>
      </c>
      <c r="F496" s="32" t="n">
        <f aca="false">VLOOKUP($A496,'Order Sales'!$A$2:$G$2154,F$1,FALSE())</f>
        <v>8141.5</v>
      </c>
      <c r="G496" s="32" t="str">
        <f aca="false">VLOOKUP($A496,'Order Sales'!$A$2:$G$2154,G$1,FALSE())</f>
        <v>Home Office</v>
      </c>
    </row>
    <row r="497" customFormat="false" ht="14.25" hidden="false" customHeight="false" outlineLevel="0" collapsed="false">
      <c r="A497" s="1" t="n">
        <v>2521</v>
      </c>
      <c r="B497" s="30" t="n">
        <v>43309</v>
      </c>
      <c r="C497" s="30" t="n">
        <v>43619</v>
      </c>
      <c r="D497" s="31" t="n">
        <f aca="false">VLOOKUP(A497,'Order Shipping'!$A$2:$C$2000,3,FALSE())</f>
        <v>0.8</v>
      </c>
      <c r="E497" s="32" t="n">
        <f aca="false">VLOOKUP($A497,'Order Sales'!$A$2:$G$2154,E$1,FALSE())</f>
        <v>31</v>
      </c>
      <c r="F497" s="32" t="n">
        <f aca="false">VLOOKUP($A497,'Order Sales'!$A$2:$G$2154,F$1,FALSE())</f>
        <v>153.92</v>
      </c>
      <c r="G497" s="32" t="str">
        <f aca="false">VLOOKUP($A497,'Order Sales'!$A$2:$G$2154,G$1,FALSE())</f>
        <v>Consumer</v>
      </c>
    </row>
    <row r="498" customFormat="false" ht="14.25" hidden="false" customHeight="false" outlineLevel="0" collapsed="false">
      <c r="A498" s="1" t="n">
        <v>2368</v>
      </c>
      <c r="B498" s="30" t="n">
        <v>43205</v>
      </c>
      <c r="C498" s="30" t="n">
        <v>43620</v>
      </c>
      <c r="D498" s="31" t="n">
        <f aca="false">VLOOKUP(A498,'Order Shipping'!$A$2:$C$2000,3,FALSE())</f>
        <v>6.2</v>
      </c>
      <c r="E498" s="32" t="n">
        <f aca="false">VLOOKUP($A498,'Order Sales'!$A$2:$G$2154,E$1,FALSE())</f>
        <v>39</v>
      </c>
      <c r="F498" s="32" t="n">
        <f aca="false">VLOOKUP($A498,'Order Sales'!$A$2:$G$2154,F$1,FALSE())</f>
        <v>4124.21</v>
      </c>
      <c r="G498" s="32" t="str">
        <f aca="false">VLOOKUP($A498,'Order Sales'!$A$2:$G$2154,G$1,FALSE())</f>
        <v>Home Office</v>
      </c>
    </row>
    <row r="499" customFormat="false" ht="14.25" hidden="false" customHeight="false" outlineLevel="0" collapsed="false">
      <c r="A499" s="1" t="n">
        <v>1769</v>
      </c>
      <c r="B499" s="30" t="n">
        <v>43200</v>
      </c>
      <c r="C499" s="30" t="n">
        <v>43621</v>
      </c>
      <c r="D499" s="31" t="n">
        <f aca="false">VLOOKUP(A499,'Order Shipping'!$A$2:$C$2000,3,FALSE())</f>
        <v>9.6</v>
      </c>
      <c r="E499" s="32" t="n">
        <f aca="false">VLOOKUP($A499,'Order Sales'!$A$2:$G$2154,E$1,FALSE())</f>
        <v>20</v>
      </c>
      <c r="F499" s="32" t="n">
        <f aca="false">VLOOKUP($A499,'Order Sales'!$A$2:$G$2154,F$1,FALSE())</f>
        <v>1153.26</v>
      </c>
      <c r="G499" s="32" t="str">
        <f aca="false">VLOOKUP($A499,'Order Sales'!$A$2:$G$2154,G$1,FALSE())</f>
        <v>Small Business</v>
      </c>
    </row>
    <row r="500" customFormat="false" ht="14.25" hidden="false" customHeight="false" outlineLevel="0" collapsed="false">
      <c r="A500" s="1" t="n">
        <v>2715</v>
      </c>
      <c r="B500" s="30" t="n">
        <v>43431</v>
      </c>
      <c r="C500" s="30" t="n">
        <v>43622</v>
      </c>
      <c r="D500" s="31" t="n">
        <f aca="false">VLOOKUP(A500,'Order Shipping'!$A$2:$C$2000,3,FALSE())</f>
        <v>6.2</v>
      </c>
      <c r="E500" s="32" t="n">
        <f aca="false">VLOOKUP($A500,'Order Sales'!$A$2:$G$2154,E$1,FALSE())</f>
        <v>1</v>
      </c>
      <c r="F500" s="32" t="n">
        <f aca="false">VLOOKUP($A500,'Order Sales'!$A$2:$G$2154,F$1,FALSE())</f>
        <v>58.02</v>
      </c>
      <c r="G500" s="32" t="str">
        <f aca="false">VLOOKUP($A500,'Order Sales'!$A$2:$G$2154,G$1,FALSE())</f>
        <v>Corporate</v>
      </c>
    </row>
    <row r="501" customFormat="false" ht="14.25" hidden="false" customHeight="false" outlineLevel="0" collapsed="false">
      <c r="A501" s="1" t="n">
        <v>1283</v>
      </c>
      <c r="B501" s="30" t="n">
        <v>43236</v>
      </c>
      <c r="C501" s="30" t="n">
        <v>43623</v>
      </c>
      <c r="D501" s="31" t="n">
        <f aca="false">VLOOKUP(A501,'Order Shipping'!$A$2:$C$2000,3,FALSE())</f>
        <v>6.3</v>
      </c>
      <c r="E501" s="32" t="n">
        <f aca="false">VLOOKUP($A501,'Order Sales'!$A$2:$G$2154,E$1,FALSE())</f>
        <v>41</v>
      </c>
      <c r="F501" s="32" t="n">
        <f aca="false">VLOOKUP($A501,'Order Sales'!$A$2:$G$2154,F$1,FALSE())</f>
        <v>289.8</v>
      </c>
      <c r="G501" s="32" t="str">
        <f aca="false">VLOOKUP($A501,'Order Sales'!$A$2:$G$2154,G$1,FALSE())</f>
        <v>Consumer</v>
      </c>
    </row>
    <row r="502" customFormat="false" ht="14.25" hidden="false" customHeight="false" outlineLevel="0" collapsed="false">
      <c r="A502" s="1" t="n">
        <v>1831</v>
      </c>
      <c r="B502" s="30" t="n">
        <v>43102</v>
      </c>
      <c r="C502" s="30" t="n">
        <v>43624</v>
      </c>
      <c r="D502" s="31" t="n">
        <f aca="false">VLOOKUP(A502,'Order Shipping'!$A$2:$C$2000,3,FALSE())</f>
        <v>2.7</v>
      </c>
      <c r="E502" s="32" t="n">
        <f aca="false">VLOOKUP($A502,'Order Sales'!$A$2:$G$2154,E$1,FALSE())</f>
        <v>20</v>
      </c>
      <c r="F502" s="32" t="n">
        <f aca="false">VLOOKUP($A502,'Order Sales'!$A$2:$G$2154,F$1,FALSE())</f>
        <v>1673.65</v>
      </c>
      <c r="G502" s="32" t="str">
        <f aca="false">VLOOKUP($A502,'Order Sales'!$A$2:$G$2154,G$1,FALSE())</f>
        <v>Home Office</v>
      </c>
    </row>
    <row r="503" customFormat="false" ht="14.25" hidden="false" customHeight="false" outlineLevel="0" collapsed="false">
      <c r="A503" s="1" t="n">
        <v>2352</v>
      </c>
      <c r="B503" s="30" t="n">
        <v>43348</v>
      </c>
      <c r="C503" s="30" t="n">
        <v>43625</v>
      </c>
      <c r="D503" s="31" t="n">
        <f aca="false">VLOOKUP(A503,'Order Shipping'!$A$2:$C$2000,3,FALSE())</f>
        <v>8.3</v>
      </c>
      <c r="E503" s="32" t="n">
        <f aca="false">VLOOKUP($A503,'Order Sales'!$A$2:$G$2154,E$1,FALSE())</f>
        <v>8</v>
      </c>
      <c r="F503" s="32" t="n">
        <f aca="false">VLOOKUP($A503,'Order Sales'!$A$2:$G$2154,F$1,FALSE())</f>
        <v>56.86</v>
      </c>
      <c r="G503" s="32" t="str">
        <f aca="false">VLOOKUP($A503,'Order Sales'!$A$2:$G$2154,G$1,FALSE())</f>
        <v>Small Business</v>
      </c>
    </row>
    <row r="504" customFormat="false" ht="14.25" hidden="false" customHeight="false" outlineLevel="0" collapsed="false">
      <c r="A504" s="1" t="n">
        <v>2121</v>
      </c>
      <c r="B504" s="30" t="n">
        <v>43103</v>
      </c>
      <c r="C504" s="30" t="n">
        <v>43626</v>
      </c>
      <c r="D504" s="31" t="n">
        <f aca="false">VLOOKUP(A504,'Order Shipping'!$A$2:$C$2000,3,FALSE())</f>
        <v>3.4</v>
      </c>
      <c r="E504" s="32" t="n">
        <f aca="false">VLOOKUP($A504,'Order Sales'!$A$2:$G$2154,E$1,FALSE())</f>
        <v>50</v>
      </c>
      <c r="F504" s="32" t="n">
        <f aca="false">VLOOKUP($A504,'Order Sales'!$A$2:$G$2154,F$1,FALSE())</f>
        <v>642.24</v>
      </c>
      <c r="G504" s="32" t="str">
        <f aca="false">VLOOKUP($A504,'Order Sales'!$A$2:$G$2154,G$1,FALSE())</f>
        <v>Corporate</v>
      </c>
    </row>
    <row r="505" customFormat="false" ht="14.25" hidden="false" customHeight="false" outlineLevel="0" collapsed="false">
      <c r="A505" s="1" t="n">
        <v>1499</v>
      </c>
      <c r="B505" s="30" t="n">
        <v>43139</v>
      </c>
      <c r="C505" s="30" t="n">
        <v>43627</v>
      </c>
      <c r="D505" s="31" t="n">
        <f aca="false">VLOOKUP(A505,'Order Shipping'!$A$2:$C$2000,3,FALSE())</f>
        <v>9.6</v>
      </c>
      <c r="E505" s="32" t="n">
        <f aca="false">VLOOKUP($A505,'Order Sales'!$A$2:$G$2154,E$1,FALSE())</f>
        <v>10</v>
      </c>
      <c r="F505" s="32" t="n">
        <f aca="false">VLOOKUP($A505,'Order Sales'!$A$2:$G$2154,F$1,FALSE())</f>
        <v>1007.54</v>
      </c>
      <c r="G505" s="32" t="str">
        <f aca="false">VLOOKUP($A505,'Order Sales'!$A$2:$G$2154,G$1,FALSE())</f>
        <v>Small Business</v>
      </c>
    </row>
    <row r="506" customFormat="false" ht="14.25" hidden="false" customHeight="false" outlineLevel="0" collapsed="false">
      <c r="A506" s="1" t="n">
        <v>1981</v>
      </c>
      <c r="B506" s="30" t="n">
        <v>43421</v>
      </c>
      <c r="C506" s="30" t="n">
        <v>43628</v>
      </c>
      <c r="D506" s="31" t="n">
        <f aca="false">VLOOKUP(A506,'Order Shipping'!$A$2:$C$2000,3,FALSE())</f>
        <v>2.7</v>
      </c>
      <c r="E506" s="32" t="n">
        <f aca="false">VLOOKUP($A506,'Order Sales'!$A$2:$G$2154,E$1,FALSE())</f>
        <v>29</v>
      </c>
      <c r="F506" s="32" t="n">
        <f aca="false">VLOOKUP($A506,'Order Sales'!$A$2:$G$2154,F$1,FALSE())</f>
        <v>2930.5</v>
      </c>
      <c r="G506" s="32" t="str">
        <f aca="false">VLOOKUP($A506,'Order Sales'!$A$2:$G$2154,G$1,FALSE())</f>
        <v>Corporate</v>
      </c>
    </row>
    <row r="507" customFormat="false" ht="14.25" hidden="false" customHeight="false" outlineLevel="0" collapsed="false">
      <c r="A507" s="1" t="n">
        <v>2440</v>
      </c>
      <c r="B507" s="30" t="n">
        <v>43334</v>
      </c>
      <c r="C507" s="30" t="n">
        <v>43629</v>
      </c>
      <c r="D507" s="31" t="n">
        <f aca="false">VLOOKUP(A507,'Order Shipping'!$A$2:$C$2000,3,FALSE())</f>
        <v>1.1</v>
      </c>
      <c r="E507" s="32" t="n">
        <f aca="false">VLOOKUP($A507,'Order Sales'!$A$2:$G$2154,E$1,FALSE())</f>
        <v>43</v>
      </c>
      <c r="F507" s="32" t="n">
        <f aca="false">VLOOKUP($A507,'Order Sales'!$A$2:$G$2154,F$1,FALSE())</f>
        <v>771.06</v>
      </c>
      <c r="G507" s="32" t="str">
        <f aca="false">VLOOKUP($A507,'Order Sales'!$A$2:$G$2154,G$1,FALSE())</f>
        <v>Corporate</v>
      </c>
    </row>
    <row r="508" customFormat="false" ht="14.25" hidden="false" customHeight="false" outlineLevel="0" collapsed="false">
      <c r="A508" s="1" t="n">
        <v>1147</v>
      </c>
      <c r="B508" s="30" t="n">
        <v>43240</v>
      </c>
      <c r="C508" s="30" t="n">
        <v>43630</v>
      </c>
      <c r="D508" s="31" t="n">
        <f aca="false">VLOOKUP(A508,'Order Shipping'!$A$2:$C$2000,3,FALSE())</f>
        <v>9.6</v>
      </c>
      <c r="E508" s="32" t="n">
        <f aca="false">VLOOKUP($A508,'Order Sales'!$A$2:$G$2154,E$1,FALSE())</f>
        <v>17</v>
      </c>
      <c r="F508" s="32" t="n">
        <f aca="false">VLOOKUP($A508,'Order Sales'!$A$2:$G$2154,F$1,FALSE())</f>
        <v>417.42</v>
      </c>
      <c r="G508" s="32" t="str">
        <f aca="false">VLOOKUP($A508,'Order Sales'!$A$2:$G$2154,G$1,FALSE())</f>
        <v>Consumer</v>
      </c>
    </row>
    <row r="509" customFormat="false" ht="14.25" hidden="false" customHeight="false" outlineLevel="0" collapsed="false">
      <c r="A509" s="1" t="n">
        <v>2385</v>
      </c>
      <c r="B509" s="30" t="n">
        <v>43246</v>
      </c>
      <c r="C509" s="30" t="n">
        <v>43631</v>
      </c>
      <c r="D509" s="31" t="n">
        <f aca="false">VLOOKUP(A509,'Order Shipping'!$A$2:$C$2000,3,FALSE())</f>
        <v>5.1</v>
      </c>
      <c r="E509" s="32" t="n">
        <f aca="false">VLOOKUP($A509,'Order Sales'!$A$2:$G$2154,E$1,FALSE())</f>
        <v>49</v>
      </c>
      <c r="F509" s="32" t="n">
        <f aca="false">VLOOKUP($A509,'Order Sales'!$A$2:$G$2154,F$1,FALSE())</f>
        <v>954.02</v>
      </c>
      <c r="G509" s="32" t="str">
        <f aca="false">VLOOKUP($A509,'Order Sales'!$A$2:$G$2154,G$1,FALSE())</f>
        <v>Home Office</v>
      </c>
    </row>
    <row r="510" customFormat="false" ht="14.25" hidden="false" customHeight="false" outlineLevel="0" collapsed="false">
      <c r="A510" s="1" t="n">
        <v>1464</v>
      </c>
      <c r="B510" s="30" t="n">
        <v>43327</v>
      </c>
      <c r="C510" s="30" t="n">
        <v>43632</v>
      </c>
      <c r="D510" s="31" t="n">
        <f aca="false">VLOOKUP(A510,'Order Shipping'!$A$2:$C$2000,3,FALSE())</f>
        <v>1.4</v>
      </c>
      <c r="E510" s="32" t="n">
        <f aca="false">VLOOKUP($A510,'Order Sales'!$A$2:$G$2154,E$1,FALSE())</f>
        <v>4</v>
      </c>
      <c r="F510" s="32" t="n">
        <f aca="false">VLOOKUP($A510,'Order Sales'!$A$2:$G$2154,F$1,FALSE())</f>
        <v>15.78</v>
      </c>
      <c r="G510" s="32" t="str">
        <f aca="false">VLOOKUP($A510,'Order Sales'!$A$2:$G$2154,G$1,FALSE())</f>
        <v>Home Office</v>
      </c>
    </row>
    <row r="511" customFormat="false" ht="14.25" hidden="false" customHeight="false" outlineLevel="0" collapsed="false">
      <c r="A511" s="1" t="n">
        <v>1013</v>
      </c>
      <c r="B511" s="30" t="n">
        <v>43392</v>
      </c>
      <c r="C511" s="30" t="n">
        <v>43633</v>
      </c>
      <c r="D511" s="31" t="n">
        <f aca="false">VLOOKUP(A511,'Order Shipping'!$A$2:$C$2000,3,FALSE())</f>
        <v>4.9</v>
      </c>
      <c r="E511" s="32" t="n">
        <f aca="false">VLOOKUP($A511,'Order Sales'!$A$2:$G$2154,E$1,FALSE())</f>
        <v>25</v>
      </c>
      <c r="F511" s="32" t="n">
        <f aca="false">VLOOKUP($A511,'Order Sales'!$A$2:$G$2154,F$1,FALSE())</f>
        <v>134.66</v>
      </c>
      <c r="G511" s="32" t="str">
        <f aca="false">VLOOKUP($A511,'Order Sales'!$A$2:$G$2154,G$1,FALSE())</f>
        <v>Consumer</v>
      </c>
    </row>
    <row r="512" customFormat="false" ht="14.25" hidden="false" customHeight="false" outlineLevel="0" collapsed="false">
      <c r="A512" s="1" t="n">
        <v>2644</v>
      </c>
      <c r="B512" s="30" t="n">
        <v>43144</v>
      </c>
      <c r="C512" s="30" t="n">
        <v>43634</v>
      </c>
      <c r="D512" s="31" t="n">
        <f aca="false">VLOOKUP(A512,'Order Shipping'!$A$2:$C$2000,3,FALSE())</f>
        <v>2.5</v>
      </c>
      <c r="E512" s="32" t="n">
        <f aca="false">VLOOKUP($A512,'Order Sales'!$A$2:$G$2154,E$1,FALSE())</f>
        <v>34</v>
      </c>
      <c r="F512" s="32" t="n">
        <f aca="false">VLOOKUP($A512,'Order Sales'!$A$2:$G$2154,F$1,FALSE())</f>
        <v>417.67</v>
      </c>
      <c r="G512" s="32" t="str">
        <f aca="false">VLOOKUP($A512,'Order Sales'!$A$2:$G$2154,G$1,FALSE())</f>
        <v>Small Business</v>
      </c>
    </row>
    <row r="513" customFormat="false" ht="14.25" hidden="false" customHeight="false" outlineLevel="0" collapsed="false">
      <c r="A513" s="1" t="n">
        <v>1660</v>
      </c>
      <c r="B513" s="30" t="n">
        <v>43458</v>
      </c>
      <c r="C513" s="30" t="n">
        <v>43635</v>
      </c>
      <c r="D513" s="31" t="n">
        <f aca="false">VLOOKUP(A513,'Order Shipping'!$A$2:$C$2000,3,FALSE())</f>
        <v>66.1</v>
      </c>
      <c r="E513" s="32" t="n">
        <f aca="false">VLOOKUP($A513,'Order Sales'!$A$2:$G$2154,E$1,FALSE())</f>
        <v>15</v>
      </c>
      <c r="F513" s="32" t="n">
        <f aca="false">VLOOKUP($A513,'Order Sales'!$A$2:$G$2154,F$1,FALSE())</f>
        <v>3599.75</v>
      </c>
      <c r="G513" s="32" t="str">
        <f aca="false">VLOOKUP($A513,'Order Sales'!$A$2:$G$2154,G$1,FALSE())</f>
        <v>Home Office</v>
      </c>
    </row>
    <row r="514" customFormat="false" ht="14.25" hidden="false" customHeight="false" outlineLevel="0" collapsed="false">
      <c r="A514" s="1" t="n">
        <v>2506</v>
      </c>
      <c r="B514" s="30" t="n">
        <v>43244</v>
      </c>
      <c r="C514" s="30" t="n">
        <v>43636</v>
      </c>
      <c r="D514" s="31" t="n">
        <f aca="false">VLOOKUP(A514,'Order Shipping'!$A$2:$C$2000,3,FALSE())</f>
        <v>26.2</v>
      </c>
      <c r="E514" s="32" t="n">
        <f aca="false">VLOOKUP($A514,'Order Sales'!$A$2:$G$2154,E$1,FALSE())</f>
        <v>28</v>
      </c>
      <c r="F514" s="32" t="n">
        <f aca="false">VLOOKUP($A514,'Order Sales'!$A$2:$G$2154,F$1,FALSE())</f>
        <v>18831.35</v>
      </c>
      <c r="G514" s="32" t="str">
        <f aca="false">VLOOKUP($A514,'Order Sales'!$A$2:$G$2154,G$1,FALSE())</f>
        <v>Small Business</v>
      </c>
    </row>
    <row r="515" customFormat="false" ht="14.25" hidden="false" customHeight="false" outlineLevel="0" collapsed="false">
      <c r="A515" s="1" t="n">
        <v>1783</v>
      </c>
      <c r="B515" s="30" t="n">
        <v>43162</v>
      </c>
      <c r="C515" s="30" t="n">
        <v>43637</v>
      </c>
      <c r="D515" s="31" t="n">
        <f aca="false">VLOOKUP(A515,'Order Shipping'!$A$2:$C$2000,3,FALSE())</f>
        <v>6.2</v>
      </c>
      <c r="E515" s="32" t="n">
        <f aca="false">VLOOKUP($A515,'Order Sales'!$A$2:$G$2154,E$1,FALSE())</f>
        <v>19</v>
      </c>
      <c r="F515" s="32" t="n">
        <f aca="false">VLOOKUP($A515,'Order Sales'!$A$2:$G$2154,F$1,FALSE())</f>
        <v>136.4</v>
      </c>
      <c r="G515" s="32" t="str">
        <f aca="false">VLOOKUP($A515,'Order Sales'!$A$2:$G$2154,G$1,FALSE())</f>
        <v>Corporate</v>
      </c>
    </row>
    <row r="516" customFormat="false" ht="14.25" hidden="false" customHeight="false" outlineLevel="0" collapsed="false">
      <c r="A516" s="1" t="n">
        <v>2539</v>
      </c>
      <c r="B516" s="30" t="n">
        <v>43462</v>
      </c>
      <c r="C516" s="30" t="n">
        <v>43638</v>
      </c>
      <c r="D516" s="31" t="n">
        <f aca="false">VLOOKUP(A516,'Order Shipping'!$A$2:$C$2000,3,FALSE())</f>
        <v>0.8</v>
      </c>
      <c r="E516" s="32" t="n">
        <f aca="false">VLOOKUP($A516,'Order Sales'!$A$2:$G$2154,E$1,FALSE())</f>
        <v>33</v>
      </c>
      <c r="F516" s="32" t="n">
        <f aca="false">VLOOKUP($A516,'Order Sales'!$A$2:$G$2154,F$1,FALSE())</f>
        <v>173.34</v>
      </c>
      <c r="G516" s="32" t="str">
        <f aca="false">VLOOKUP($A516,'Order Sales'!$A$2:$G$2154,G$1,FALSE())</f>
        <v>Home Office</v>
      </c>
    </row>
    <row r="517" customFormat="false" ht="14.25" hidden="false" customHeight="false" outlineLevel="0" collapsed="false">
      <c r="A517" s="1" t="n">
        <v>1035</v>
      </c>
      <c r="B517" s="30" t="n">
        <v>43267</v>
      </c>
      <c r="C517" s="30" t="n">
        <v>43639</v>
      </c>
      <c r="D517" s="31" t="n">
        <f aca="false">VLOOKUP(A517,'Order Shipping'!$A$2:$C$2000,3,FALSE())</f>
        <v>8.3</v>
      </c>
      <c r="E517" s="32" t="n">
        <f aca="false">VLOOKUP($A517,'Order Sales'!$A$2:$G$2154,E$1,FALSE())</f>
        <v>12</v>
      </c>
      <c r="F517" s="32" t="n">
        <f aca="false">VLOOKUP($A517,'Order Sales'!$A$2:$G$2154,F$1,FALSE())</f>
        <v>100.09</v>
      </c>
      <c r="G517" s="32" t="str">
        <f aca="false">VLOOKUP($A517,'Order Sales'!$A$2:$G$2154,G$1,FALSE())</f>
        <v>Corporate</v>
      </c>
    </row>
    <row r="518" customFormat="false" ht="14.25" hidden="false" customHeight="false" outlineLevel="0" collapsed="false">
      <c r="A518" s="1" t="n">
        <v>1162</v>
      </c>
      <c r="B518" s="30" t="n">
        <v>43261</v>
      </c>
      <c r="C518" s="30" t="n">
        <v>43640</v>
      </c>
      <c r="D518" s="31" t="n">
        <f aca="false">VLOOKUP(A518,'Order Shipping'!$A$2:$C$2000,3,FALSE())</f>
        <v>4.3</v>
      </c>
      <c r="E518" s="32" t="n">
        <f aca="false">VLOOKUP($A518,'Order Sales'!$A$2:$G$2154,E$1,FALSE())</f>
        <v>26</v>
      </c>
      <c r="F518" s="32" t="n">
        <f aca="false">VLOOKUP($A518,'Order Sales'!$A$2:$G$2154,F$1,FALSE())</f>
        <v>255.02</v>
      </c>
      <c r="G518" s="32" t="str">
        <f aca="false">VLOOKUP($A518,'Order Sales'!$A$2:$G$2154,G$1,FALSE())</f>
        <v>Consumer</v>
      </c>
    </row>
    <row r="519" customFormat="false" ht="14.25" hidden="false" customHeight="false" outlineLevel="0" collapsed="false">
      <c r="A519" s="1" t="n">
        <v>1354</v>
      </c>
      <c r="B519" s="30" t="n">
        <v>43246</v>
      </c>
      <c r="C519" s="30" t="n">
        <v>43641</v>
      </c>
      <c r="D519" s="31" t="n">
        <f aca="false">VLOOKUP(A519,'Order Shipping'!$A$2:$C$2000,3,FALSE())</f>
        <v>21.4</v>
      </c>
      <c r="E519" s="32" t="n">
        <f aca="false">VLOOKUP($A519,'Order Sales'!$A$2:$G$2154,E$1,FALSE())</f>
        <v>25</v>
      </c>
      <c r="F519" s="32" t="n">
        <f aca="false">VLOOKUP($A519,'Order Sales'!$A$2:$G$2154,F$1,FALSE())</f>
        <v>914.72</v>
      </c>
      <c r="G519" s="32" t="str">
        <f aca="false">VLOOKUP($A519,'Order Sales'!$A$2:$G$2154,G$1,FALSE())</f>
        <v>Corporate</v>
      </c>
    </row>
    <row r="520" customFormat="false" ht="14.25" hidden="false" customHeight="false" outlineLevel="0" collapsed="false">
      <c r="A520" s="1" t="n">
        <v>2545</v>
      </c>
      <c r="B520" s="30" t="n">
        <v>43375</v>
      </c>
      <c r="C520" s="30" t="n">
        <v>43642</v>
      </c>
      <c r="D520" s="31" t="n">
        <f aca="false">VLOOKUP(A520,'Order Shipping'!$A$2:$C$2000,3,FALSE())</f>
        <v>1</v>
      </c>
      <c r="E520" s="32" t="n">
        <f aca="false">VLOOKUP($A520,'Order Sales'!$A$2:$G$2154,E$1,FALSE())</f>
        <v>40</v>
      </c>
      <c r="F520" s="32" t="n">
        <f aca="false">VLOOKUP($A520,'Order Sales'!$A$2:$G$2154,F$1,FALSE())</f>
        <v>123.6</v>
      </c>
      <c r="G520" s="32" t="str">
        <f aca="false">VLOOKUP($A520,'Order Sales'!$A$2:$G$2154,G$1,FALSE())</f>
        <v>Home Office</v>
      </c>
    </row>
    <row r="521" customFormat="false" ht="14.25" hidden="false" customHeight="false" outlineLevel="0" collapsed="false">
      <c r="A521" s="1" t="n">
        <v>2577</v>
      </c>
      <c r="B521" s="30" t="n">
        <v>43168</v>
      </c>
      <c r="C521" s="30" t="n">
        <v>43643</v>
      </c>
      <c r="D521" s="31" t="n">
        <f aca="false">VLOOKUP(A521,'Order Shipping'!$A$2:$C$2000,3,FALSE())</f>
        <v>7.5</v>
      </c>
      <c r="E521" s="32" t="n">
        <f aca="false">VLOOKUP($A521,'Order Sales'!$A$2:$G$2154,E$1,FALSE())</f>
        <v>30</v>
      </c>
      <c r="F521" s="32" t="n">
        <f aca="false">VLOOKUP($A521,'Order Sales'!$A$2:$G$2154,F$1,FALSE())</f>
        <v>188.48</v>
      </c>
      <c r="G521" s="32" t="str">
        <f aca="false">VLOOKUP($A521,'Order Sales'!$A$2:$G$2154,G$1,FALSE())</f>
        <v>Corporate</v>
      </c>
    </row>
    <row r="522" customFormat="false" ht="14.25" hidden="false" customHeight="false" outlineLevel="0" collapsed="false">
      <c r="A522" s="1" t="n">
        <v>1208</v>
      </c>
      <c r="B522" s="30" t="n">
        <v>43141</v>
      </c>
      <c r="C522" s="30" t="n">
        <v>43644</v>
      </c>
      <c r="D522" s="31" t="n">
        <f aca="false">VLOOKUP(A522,'Order Shipping'!$A$2:$C$2000,3,FALSE())</f>
        <v>21.4</v>
      </c>
      <c r="E522" s="32" t="n">
        <f aca="false">VLOOKUP($A522,'Order Sales'!$A$2:$G$2154,E$1,FALSE())</f>
        <v>41</v>
      </c>
      <c r="F522" s="32" t="n">
        <f aca="false">VLOOKUP($A522,'Order Sales'!$A$2:$G$2154,F$1,FALSE())</f>
        <v>19125.46</v>
      </c>
      <c r="G522" s="32" t="str">
        <f aca="false">VLOOKUP($A522,'Order Sales'!$A$2:$G$2154,G$1,FALSE())</f>
        <v>Small Business</v>
      </c>
    </row>
    <row r="523" customFormat="false" ht="14.25" hidden="false" customHeight="false" outlineLevel="0" collapsed="false">
      <c r="A523" s="1" t="n">
        <v>2319</v>
      </c>
      <c r="B523" s="30" t="n">
        <v>43450</v>
      </c>
      <c r="C523" s="30" t="n">
        <v>43645</v>
      </c>
      <c r="D523" s="31" t="n">
        <f aca="false">VLOOKUP(A523,'Order Shipping'!$A$2:$C$2000,3,FALSE())</f>
        <v>1.3</v>
      </c>
      <c r="E523" s="32" t="n">
        <f aca="false">VLOOKUP($A523,'Order Sales'!$A$2:$G$2154,E$1,FALSE())</f>
        <v>28</v>
      </c>
      <c r="F523" s="32" t="n">
        <f aca="false">VLOOKUP($A523,'Order Sales'!$A$2:$G$2154,F$1,FALSE())</f>
        <v>181.32</v>
      </c>
      <c r="G523" s="32" t="str">
        <f aca="false">VLOOKUP($A523,'Order Sales'!$A$2:$G$2154,G$1,FALSE())</f>
        <v>Small Business</v>
      </c>
    </row>
    <row r="524" customFormat="false" ht="14.25" hidden="false" customHeight="false" outlineLevel="0" collapsed="false">
      <c r="A524" s="1" t="n">
        <v>1535</v>
      </c>
      <c r="B524" s="30" t="n">
        <v>43160</v>
      </c>
      <c r="C524" s="30" t="n">
        <v>43646</v>
      </c>
      <c r="D524" s="31" t="n">
        <f aca="false">VLOOKUP(A524,'Order Shipping'!$A$2:$C$2000,3,FALSE())</f>
        <v>2.7</v>
      </c>
      <c r="E524" s="32" t="n">
        <f aca="false">VLOOKUP($A524,'Order Sales'!$A$2:$G$2154,E$1,FALSE())</f>
        <v>46</v>
      </c>
      <c r="F524" s="32" t="n">
        <f aca="false">VLOOKUP($A524,'Order Sales'!$A$2:$G$2154,F$1,FALSE())</f>
        <v>8175.04</v>
      </c>
      <c r="G524" s="32" t="str">
        <f aca="false">VLOOKUP($A524,'Order Sales'!$A$2:$G$2154,G$1,FALSE())</f>
        <v>Corporate</v>
      </c>
    </row>
    <row r="525" customFormat="false" ht="14.25" hidden="false" customHeight="false" outlineLevel="0" collapsed="false">
      <c r="A525" s="1" t="n">
        <v>1129</v>
      </c>
      <c r="B525" s="30" t="n">
        <v>43176</v>
      </c>
      <c r="C525" s="30" t="n">
        <v>43647</v>
      </c>
      <c r="D525" s="31" t="n">
        <f aca="false">VLOOKUP(A525,'Order Shipping'!$A$2:$C$2000,3,FALSE())</f>
        <v>4.2</v>
      </c>
      <c r="E525" s="32" t="n">
        <f aca="false">VLOOKUP($A525,'Order Sales'!$A$2:$G$2154,E$1,FALSE())</f>
        <v>14</v>
      </c>
      <c r="F525" s="32" t="n">
        <f aca="false">VLOOKUP($A525,'Order Sales'!$A$2:$G$2154,F$1,FALSE())</f>
        <v>438.99</v>
      </c>
      <c r="G525" s="32" t="str">
        <f aca="false">VLOOKUP($A525,'Order Sales'!$A$2:$G$2154,G$1,FALSE())</f>
        <v>Home Office</v>
      </c>
    </row>
    <row r="526" customFormat="false" ht="14.25" hidden="false" customHeight="false" outlineLevel="0" collapsed="false">
      <c r="A526" s="1" t="n">
        <v>2004</v>
      </c>
      <c r="B526" s="30" t="n">
        <v>43450</v>
      </c>
      <c r="C526" s="30" t="n">
        <v>43648</v>
      </c>
      <c r="D526" s="31" t="n">
        <f aca="false">VLOOKUP(A526,'Order Shipping'!$A$2:$C$2000,3,FALSE())</f>
        <v>9.6</v>
      </c>
      <c r="E526" s="32" t="n">
        <f aca="false">VLOOKUP($A526,'Order Sales'!$A$2:$G$2154,E$1,FALSE())</f>
        <v>26</v>
      </c>
      <c r="F526" s="32" t="n">
        <f aca="false">VLOOKUP($A526,'Order Sales'!$A$2:$G$2154,F$1,FALSE())</f>
        <v>228.43</v>
      </c>
      <c r="G526" s="32" t="str">
        <f aca="false">VLOOKUP($A526,'Order Sales'!$A$2:$G$2154,G$1,FALSE())</f>
        <v>Home Office</v>
      </c>
    </row>
    <row r="527" customFormat="false" ht="14.25" hidden="false" customHeight="false" outlineLevel="0" collapsed="false">
      <c r="A527" s="1" t="n">
        <v>1812</v>
      </c>
      <c r="B527" s="30" t="n">
        <v>43357</v>
      </c>
      <c r="C527" s="30" t="n">
        <v>43649</v>
      </c>
      <c r="D527" s="31" t="n">
        <f aca="false">VLOOKUP(A527,'Order Shipping'!$A$2:$C$2000,3,FALSE())</f>
        <v>2.1</v>
      </c>
      <c r="E527" s="32" t="n">
        <f aca="false">VLOOKUP($A527,'Order Sales'!$A$2:$G$2154,E$1,FALSE())</f>
        <v>15</v>
      </c>
      <c r="F527" s="32" t="n">
        <f aca="false">VLOOKUP($A527,'Order Sales'!$A$2:$G$2154,F$1,FALSE())</f>
        <v>498.92</v>
      </c>
      <c r="G527" s="32" t="str">
        <f aca="false">VLOOKUP($A527,'Order Sales'!$A$2:$G$2154,G$1,FALSE())</f>
        <v>Consumer</v>
      </c>
    </row>
    <row r="528" customFormat="false" ht="14.25" hidden="false" customHeight="false" outlineLevel="0" collapsed="false">
      <c r="A528" s="1" t="n">
        <v>1614</v>
      </c>
      <c r="B528" s="30" t="n">
        <v>43452</v>
      </c>
      <c r="C528" s="30" t="n">
        <v>43650</v>
      </c>
      <c r="D528" s="31" t="n">
        <f aca="false">VLOOKUP(A528,'Order Shipping'!$A$2:$C$2000,3,FALSE())</f>
        <v>9.6</v>
      </c>
      <c r="E528" s="32" t="n">
        <f aca="false">VLOOKUP($A528,'Order Sales'!$A$2:$G$2154,E$1,FALSE())</f>
        <v>10</v>
      </c>
      <c r="F528" s="32" t="n">
        <f aca="false">VLOOKUP($A528,'Order Sales'!$A$2:$G$2154,F$1,FALSE())</f>
        <v>226.81</v>
      </c>
      <c r="G528" s="32" t="str">
        <f aca="false">VLOOKUP($A528,'Order Sales'!$A$2:$G$2154,G$1,FALSE())</f>
        <v>Corporate</v>
      </c>
    </row>
    <row r="529" customFormat="false" ht="14.25" hidden="false" customHeight="false" outlineLevel="0" collapsed="false">
      <c r="A529" s="1" t="n">
        <v>1618</v>
      </c>
      <c r="B529" s="30" t="n">
        <v>43371</v>
      </c>
      <c r="C529" s="30" t="n">
        <v>43651</v>
      </c>
      <c r="D529" s="31" t="n">
        <f aca="false">VLOOKUP(A529,'Order Shipping'!$A$2:$C$2000,3,FALSE())</f>
        <v>5.6</v>
      </c>
      <c r="E529" s="32" t="n">
        <f aca="false">VLOOKUP($A529,'Order Sales'!$A$2:$G$2154,E$1,FALSE())</f>
        <v>40</v>
      </c>
      <c r="F529" s="32" t="n">
        <f aca="false">VLOOKUP($A529,'Order Sales'!$A$2:$G$2154,F$1,FALSE())</f>
        <v>173.04</v>
      </c>
      <c r="G529" s="32" t="str">
        <f aca="false">VLOOKUP($A529,'Order Sales'!$A$2:$G$2154,G$1,FALSE())</f>
        <v>Consumer</v>
      </c>
    </row>
    <row r="530" customFormat="false" ht="14.25" hidden="false" customHeight="false" outlineLevel="0" collapsed="false">
      <c r="A530" s="1" t="n">
        <v>2406</v>
      </c>
      <c r="B530" s="30" t="n">
        <v>43392</v>
      </c>
      <c r="C530" s="30" t="n">
        <v>43652</v>
      </c>
      <c r="D530" s="31" t="n">
        <f aca="false">VLOOKUP(A530,'Order Shipping'!$A$2:$C$2000,3,FALSE())</f>
        <v>3.2</v>
      </c>
      <c r="E530" s="32" t="n">
        <f aca="false">VLOOKUP($A530,'Order Sales'!$A$2:$G$2154,E$1,FALSE())</f>
        <v>11</v>
      </c>
      <c r="F530" s="32" t="n">
        <f aca="false">VLOOKUP($A530,'Order Sales'!$A$2:$G$2154,F$1,FALSE())</f>
        <v>48.48</v>
      </c>
      <c r="G530" s="32" t="str">
        <f aca="false">VLOOKUP($A530,'Order Sales'!$A$2:$G$2154,G$1,FALSE())</f>
        <v>Corporate</v>
      </c>
    </row>
    <row r="531" customFormat="false" ht="14.25" hidden="false" customHeight="false" outlineLevel="0" collapsed="false">
      <c r="A531" s="1" t="n">
        <v>1121</v>
      </c>
      <c r="B531" s="30" t="n">
        <v>43283</v>
      </c>
      <c r="C531" s="30" t="n">
        <v>43653</v>
      </c>
      <c r="D531" s="31" t="n">
        <f aca="false">VLOOKUP(A531,'Order Shipping'!$A$2:$C$2000,3,FALSE())</f>
        <v>7.8</v>
      </c>
      <c r="E531" s="32" t="n">
        <f aca="false">VLOOKUP($A531,'Order Sales'!$A$2:$G$2154,E$1,FALSE())</f>
        <v>33</v>
      </c>
      <c r="F531" s="32" t="n">
        <f aca="false">VLOOKUP($A531,'Order Sales'!$A$2:$G$2154,F$1,FALSE())</f>
        <v>348.73</v>
      </c>
      <c r="G531" s="32" t="str">
        <f aca="false">VLOOKUP($A531,'Order Sales'!$A$2:$G$2154,G$1,FALSE())</f>
        <v>Consumer</v>
      </c>
    </row>
    <row r="532" customFormat="false" ht="14.25" hidden="false" customHeight="false" outlineLevel="0" collapsed="false">
      <c r="A532" s="1" t="n">
        <v>1495</v>
      </c>
      <c r="B532" s="30" t="n">
        <v>43420</v>
      </c>
      <c r="C532" s="30" t="n">
        <v>43654</v>
      </c>
      <c r="D532" s="31" t="n">
        <f aca="false">VLOOKUP(A532,'Order Shipping'!$A$2:$C$2000,3,FALSE())</f>
        <v>0.5</v>
      </c>
      <c r="E532" s="32" t="n">
        <f aca="false">VLOOKUP($A532,'Order Sales'!$A$2:$G$2154,E$1,FALSE())</f>
        <v>13</v>
      </c>
      <c r="F532" s="32" t="n">
        <f aca="false">VLOOKUP($A532,'Order Sales'!$A$2:$G$2154,F$1,FALSE())</f>
        <v>96.46</v>
      </c>
      <c r="G532" s="32" t="str">
        <f aca="false">VLOOKUP($A532,'Order Sales'!$A$2:$G$2154,G$1,FALSE())</f>
        <v>Home Office</v>
      </c>
    </row>
    <row r="533" customFormat="false" ht="14.25" hidden="false" customHeight="false" outlineLevel="0" collapsed="false">
      <c r="A533" s="1" t="n">
        <v>1779</v>
      </c>
      <c r="B533" s="30" t="n">
        <v>43294</v>
      </c>
      <c r="C533" s="30" t="n">
        <v>43655</v>
      </c>
      <c r="D533" s="31" t="n">
        <f aca="false">VLOOKUP(A533,'Order Shipping'!$A$2:$C$2000,3,FALSE())</f>
        <v>2.7</v>
      </c>
      <c r="E533" s="32" t="n">
        <f aca="false">VLOOKUP($A533,'Order Sales'!$A$2:$G$2154,E$1,FALSE())</f>
        <v>7</v>
      </c>
      <c r="F533" s="32" t="n">
        <f aca="false">VLOOKUP($A533,'Order Sales'!$A$2:$G$2154,F$1,FALSE())</f>
        <v>411.09</v>
      </c>
      <c r="G533" s="32" t="str">
        <f aca="false">VLOOKUP($A533,'Order Sales'!$A$2:$G$2154,G$1,FALSE())</f>
        <v>Corporate</v>
      </c>
    </row>
    <row r="534" customFormat="false" ht="14.25" hidden="false" customHeight="false" outlineLevel="0" collapsed="false">
      <c r="A534" s="1" t="n">
        <v>2660</v>
      </c>
      <c r="B534" s="30" t="n">
        <v>43451</v>
      </c>
      <c r="C534" s="30" t="n">
        <v>43656</v>
      </c>
      <c r="D534" s="31" t="n">
        <f aca="false">VLOOKUP(A534,'Order Shipping'!$A$2:$C$2000,3,FALSE())</f>
        <v>12.3</v>
      </c>
      <c r="E534" s="32" t="n">
        <f aca="false">VLOOKUP($A534,'Order Sales'!$A$2:$G$2154,E$1,FALSE())</f>
        <v>40</v>
      </c>
      <c r="F534" s="32" t="n">
        <f aca="false">VLOOKUP($A534,'Order Sales'!$A$2:$G$2154,F$1,FALSE())</f>
        <v>337.53</v>
      </c>
      <c r="G534" s="32" t="str">
        <f aca="false">VLOOKUP($A534,'Order Sales'!$A$2:$G$2154,G$1,FALSE())</f>
        <v>Corporate</v>
      </c>
    </row>
    <row r="535" customFormat="false" ht="14.25" hidden="false" customHeight="false" outlineLevel="0" collapsed="false">
      <c r="A535" s="1" t="n">
        <v>1453</v>
      </c>
      <c r="B535" s="30" t="n">
        <v>43199</v>
      </c>
      <c r="C535" s="30" t="n">
        <v>43657</v>
      </c>
      <c r="D535" s="31" t="n">
        <f aca="false">VLOOKUP(A535,'Order Shipping'!$A$2:$C$2000,3,FALSE())</f>
        <v>5.4</v>
      </c>
      <c r="E535" s="32" t="n">
        <f aca="false">VLOOKUP($A535,'Order Sales'!$A$2:$G$2154,E$1,FALSE())</f>
        <v>37</v>
      </c>
      <c r="F535" s="32" t="n">
        <f aca="false">VLOOKUP($A535,'Order Sales'!$A$2:$G$2154,F$1,FALSE())</f>
        <v>1394.2</v>
      </c>
      <c r="G535" s="32" t="str">
        <f aca="false">VLOOKUP($A535,'Order Sales'!$A$2:$G$2154,G$1,FALSE())</f>
        <v>Small Business</v>
      </c>
    </row>
    <row r="536" customFormat="false" ht="14.25" hidden="false" customHeight="false" outlineLevel="0" collapsed="false">
      <c r="A536" s="1" t="n">
        <v>1346</v>
      </c>
      <c r="B536" s="30" t="n">
        <v>43425</v>
      </c>
      <c r="C536" s="30" t="n">
        <v>43658</v>
      </c>
      <c r="D536" s="31" t="n">
        <f aca="false">VLOOKUP(A536,'Order Shipping'!$A$2:$C$2000,3,FALSE())</f>
        <v>12.5</v>
      </c>
      <c r="E536" s="32" t="n">
        <f aca="false">VLOOKUP($A536,'Order Sales'!$A$2:$G$2154,E$1,FALSE())</f>
        <v>38</v>
      </c>
      <c r="F536" s="32" t="n">
        <f aca="false">VLOOKUP($A536,'Order Sales'!$A$2:$G$2154,F$1,FALSE())</f>
        <v>11307.17</v>
      </c>
      <c r="G536" s="32" t="str">
        <f aca="false">VLOOKUP($A536,'Order Sales'!$A$2:$G$2154,G$1,FALSE())</f>
        <v>Consumer</v>
      </c>
    </row>
    <row r="537" customFormat="false" ht="14.25" hidden="false" customHeight="false" outlineLevel="0" collapsed="false">
      <c r="A537" s="1" t="n">
        <v>2670</v>
      </c>
      <c r="B537" s="30" t="n">
        <v>43450</v>
      </c>
      <c r="C537" s="30" t="n">
        <v>43659</v>
      </c>
      <c r="D537" s="31" t="n">
        <f aca="false">VLOOKUP(A537,'Order Shipping'!$A$2:$C$2000,3,FALSE())</f>
        <v>3.6</v>
      </c>
      <c r="E537" s="32" t="n">
        <f aca="false">VLOOKUP($A537,'Order Sales'!$A$2:$G$2154,E$1,FALSE())</f>
        <v>42</v>
      </c>
      <c r="F537" s="32" t="n">
        <f aca="false">VLOOKUP($A537,'Order Sales'!$A$2:$G$2154,F$1,FALSE())</f>
        <v>483.8</v>
      </c>
      <c r="G537" s="32" t="str">
        <f aca="false">VLOOKUP($A537,'Order Sales'!$A$2:$G$2154,G$1,FALSE())</f>
        <v>Corporate</v>
      </c>
    </row>
    <row r="538" customFormat="false" ht="14.25" hidden="false" customHeight="false" outlineLevel="0" collapsed="false">
      <c r="A538" s="1" t="n">
        <v>1300</v>
      </c>
      <c r="B538" s="30" t="n">
        <v>43192</v>
      </c>
      <c r="C538" s="30" t="n">
        <v>43660</v>
      </c>
      <c r="D538" s="31" t="n">
        <f aca="false">VLOOKUP(A538,'Order Shipping'!$A$2:$C$2000,3,FALSE())</f>
        <v>0.9</v>
      </c>
      <c r="E538" s="32" t="n">
        <f aca="false">VLOOKUP($A538,'Order Sales'!$A$2:$G$2154,E$1,FALSE())</f>
        <v>26</v>
      </c>
      <c r="F538" s="32" t="n">
        <f aca="false">VLOOKUP($A538,'Order Sales'!$A$2:$G$2154,F$1,FALSE())</f>
        <v>131.78</v>
      </c>
      <c r="G538" s="32" t="str">
        <f aca="false">VLOOKUP($A538,'Order Sales'!$A$2:$G$2154,G$1,FALSE())</f>
        <v>Consumer</v>
      </c>
    </row>
    <row r="539" customFormat="false" ht="14.25" hidden="false" customHeight="false" outlineLevel="0" collapsed="false">
      <c r="A539" s="1" t="n">
        <v>2026</v>
      </c>
      <c r="B539" s="30" t="n">
        <v>43184</v>
      </c>
      <c r="C539" s="30" t="n">
        <v>43661</v>
      </c>
      <c r="D539" s="31" t="n">
        <f aca="false">VLOOKUP(A539,'Order Shipping'!$A$2:$C$2000,3,FALSE())</f>
        <v>37.5</v>
      </c>
      <c r="E539" s="32" t="n">
        <f aca="false">VLOOKUP($A539,'Order Sales'!$A$2:$G$2154,E$1,FALSE())</f>
        <v>44</v>
      </c>
      <c r="F539" s="32" t="n">
        <f aca="false">VLOOKUP($A539,'Order Sales'!$A$2:$G$2154,F$1,FALSE())</f>
        <v>6463.04</v>
      </c>
      <c r="G539" s="32" t="str">
        <f aca="false">VLOOKUP($A539,'Order Sales'!$A$2:$G$2154,G$1,FALSE())</f>
        <v>Corporate</v>
      </c>
    </row>
    <row r="540" customFormat="false" ht="14.25" hidden="false" customHeight="false" outlineLevel="0" collapsed="false">
      <c r="A540" s="1" t="n">
        <v>2049</v>
      </c>
      <c r="B540" s="30" t="n">
        <v>43408</v>
      </c>
      <c r="C540" s="30" t="n">
        <v>43662</v>
      </c>
      <c r="D540" s="31" t="n">
        <f aca="false">VLOOKUP(A540,'Order Shipping'!$A$2:$C$2000,3,FALSE())</f>
        <v>5.3</v>
      </c>
      <c r="E540" s="32" t="n">
        <f aca="false">VLOOKUP($A540,'Order Sales'!$A$2:$G$2154,E$1,FALSE())</f>
        <v>9</v>
      </c>
      <c r="F540" s="32" t="n">
        <f aca="false">VLOOKUP($A540,'Order Sales'!$A$2:$G$2154,F$1,FALSE())</f>
        <v>360.81</v>
      </c>
      <c r="G540" s="32" t="str">
        <f aca="false">VLOOKUP($A540,'Order Sales'!$A$2:$G$2154,G$1,FALSE())</f>
        <v>Consumer</v>
      </c>
    </row>
    <row r="541" customFormat="false" ht="14.25" hidden="false" customHeight="false" outlineLevel="0" collapsed="false">
      <c r="A541" s="1" t="n">
        <v>2223</v>
      </c>
      <c r="B541" s="30" t="n">
        <v>43118</v>
      </c>
      <c r="C541" s="30" t="n">
        <v>43663</v>
      </c>
      <c r="D541" s="31" t="n">
        <f aca="false">VLOOKUP(A541,'Order Shipping'!$A$2:$C$2000,3,FALSE())</f>
        <v>1.7</v>
      </c>
      <c r="E541" s="32" t="n">
        <f aca="false">VLOOKUP($A541,'Order Sales'!$A$2:$G$2154,E$1,FALSE())</f>
        <v>46</v>
      </c>
      <c r="F541" s="32" t="n">
        <f aca="false">VLOOKUP($A541,'Order Sales'!$A$2:$G$2154,F$1,FALSE())</f>
        <v>193.2</v>
      </c>
      <c r="G541" s="32" t="str">
        <f aca="false">VLOOKUP($A541,'Order Sales'!$A$2:$G$2154,G$1,FALSE())</f>
        <v>Home Office</v>
      </c>
    </row>
    <row r="542" customFormat="false" ht="14.25" hidden="false" customHeight="false" outlineLevel="0" collapsed="false">
      <c r="A542" s="1" t="n">
        <v>2429</v>
      </c>
      <c r="B542" s="30" t="n">
        <v>43211</v>
      </c>
      <c r="C542" s="30" t="n">
        <v>43664</v>
      </c>
      <c r="D542" s="31" t="n">
        <f aca="false">VLOOKUP(A542,'Order Shipping'!$A$2:$C$2000,3,FALSE())</f>
        <v>23.8</v>
      </c>
      <c r="E542" s="32" t="n">
        <f aca="false">VLOOKUP($A542,'Order Sales'!$A$2:$G$2154,E$1,FALSE())</f>
        <v>50</v>
      </c>
      <c r="F542" s="32" t="n">
        <f aca="false">VLOOKUP($A542,'Order Sales'!$A$2:$G$2154,F$1,FALSE())</f>
        <v>2608.31</v>
      </c>
      <c r="G542" s="32" t="str">
        <f aca="false">VLOOKUP($A542,'Order Sales'!$A$2:$G$2154,G$1,FALSE())</f>
        <v>Home Office</v>
      </c>
    </row>
    <row r="543" customFormat="false" ht="14.25" hidden="false" customHeight="false" outlineLevel="0" collapsed="false">
      <c r="A543" s="1" t="n">
        <v>1548</v>
      </c>
      <c r="B543" s="30" t="n">
        <v>43218</v>
      </c>
      <c r="C543" s="30" t="n">
        <v>43665</v>
      </c>
      <c r="D543" s="31" t="n">
        <f aca="false">VLOOKUP(A543,'Order Shipping'!$A$2:$C$2000,3,FALSE())</f>
        <v>6.4</v>
      </c>
      <c r="E543" s="32" t="n">
        <f aca="false">VLOOKUP($A543,'Order Sales'!$A$2:$G$2154,E$1,FALSE())</f>
        <v>48</v>
      </c>
      <c r="F543" s="32" t="n">
        <f aca="false">VLOOKUP($A543,'Order Sales'!$A$2:$G$2154,F$1,FALSE())</f>
        <v>2443.05</v>
      </c>
      <c r="G543" s="32" t="str">
        <f aca="false">VLOOKUP($A543,'Order Sales'!$A$2:$G$2154,G$1,FALSE())</f>
        <v>Consumer</v>
      </c>
    </row>
    <row r="544" customFormat="false" ht="14.25" hidden="false" customHeight="false" outlineLevel="0" collapsed="false">
      <c r="A544" s="1" t="n">
        <v>1426</v>
      </c>
      <c r="B544" s="30" t="n">
        <v>43110</v>
      </c>
      <c r="C544" s="30" t="n">
        <v>43666</v>
      </c>
      <c r="D544" s="31" t="n">
        <f aca="false">VLOOKUP(A544,'Order Shipping'!$A$2:$C$2000,3,FALSE())</f>
        <v>1.6</v>
      </c>
      <c r="E544" s="32" t="n">
        <f aca="false">VLOOKUP($A544,'Order Sales'!$A$2:$G$2154,E$1,FALSE())</f>
        <v>6</v>
      </c>
      <c r="F544" s="32" t="n">
        <f aca="false">VLOOKUP($A544,'Order Sales'!$A$2:$G$2154,F$1,FALSE())</f>
        <v>18.19</v>
      </c>
      <c r="G544" s="32" t="str">
        <f aca="false">VLOOKUP($A544,'Order Sales'!$A$2:$G$2154,G$1,FALSE())</f>
        <v>Corporate</v>
      </c>
    </row>
    <row r="545" customFormat="false" ht="14.25" hidden="false" customHeight="false" outlineLevel="0" collapsed="false">
      <c r="A545" s="1" t="n">
        <v>2000</v>
      </c>
      <c r="B545" s="30" t="n">
        <v>43105</v>
      </c>
      <c r="C545" s="30" t="n">
        <v>43667</v>
      </c>
      <c r="D545" s="31" t="n">
        <f aca="false">VLOOKUP(A545,'Order Shipping'!$A$2:$C$2000,3,FALSE())</f>
        <v>27.8</v>
      </c>
      <c r="E545" s="32" t="n">
        <f aca="false">VLOOKUP($A545,'Order Sales'!$A$2:$G$2154,E$1,FALSE())</f>
        <v>32</v>
      </c>
      <c r="F545" s="32" t="n">
        <f aca="false">VLOOKUP($A545,'Order Sales'!$A$2:$G$2154,F$1,FALSE())</f>
        <v>15901.34</v>
      </c>
      <c r="G545" s="32" t="str">
        <f aca="false">VLOOKUP($A545,'Order Sales'!$A$2:$G$2154,G$1,FALSE())</f>
        <v>Consumer</v>
      </c>
    </row>
    <row r="546" customFormat="false" ht="14.25" hidden="false" customHeight="false" outlineLevel="0" collapsed="false">
      <c r="A546" s="1" t="n">
        <v>1603</v>
      </c>
      <c r="B546" s="30" t="n">
        <v>43364</v>
      </c>
      <c r="C546" s="30" t="n">
        <v>43668</v>
      </c>
      <c r="D546" s="31" t="n">
        <f aca="false">VLOOKUP(A546,'Order Shipping'!$A$2:$C$2000,3,FALSE())</f>
        <v>95.6</v>
      </c>
      <c r="E546" s="32" t="n">
        <f aca="false">VLOOKUP($A546,'Order Sales'!$A$2:$G$2154,E$1,FALSE())</f>
        <v>19</v>
      </c>
      <c r="F546" s="32" t="n">
        <f aca="false">VLOOKUP($A546,'Order Sales'!$A$2:$G$2154,F$1,FALSE())</f>
        <v>1125.63</v>
      </c>
      <c r="G546" s="32" t="str">
        <f aca="false">VLOOKUP($A546,'Order Sales'!$A$2:$G$2154,G$1,FALSE())</f>
        <v>Corporate</v>
      </c>
    </row>
    <row r="547" customFormat="false" ht="14.25" hidden="false" customHeight="false" outlineLevel="0" collapsed="false">
      <c r="A547" s="1" t="n">
        <v>2325</v>
      </c>
      <c r="B547" s="30" t="n">
        <v>43223</v>
      </c>
      <c r="C547" s="30" t="n">
        <v>43669</v>
      </c>
      <c r="D547" s="31" t="n">
        <f aca="false">VLOOKUP(A547,'Order Shipping'!$A$2:$C$2000,3,FALSE())</f>
        <v>60.1</v>
      </c>
      <c r="E547" s="32" t="n">
        <f aca="false">VLOOKUP($A547,'Order Sales'!$A$2:$G$2154,E$1,FALSE())</f>
        <v>8</v>
      </c>
      <c r="F547" s="32" t="n">
        <f aca="false">VLOOKUP($A547,'Order Sales'!$A$2:$G$2154,F$1,FALSE())</f>
        <v>1022.16</v>
      </c>
      <c r="G547" s="32" t="str">
        <f aca="false">VLOOKUP($A547,'Order Sales'!$A$2:$G$2154,G$1,FALSE())</f>
        <v>Corporate</v>
      </c>
    </row>
    <row r="548" customFormat="false" ht="14.25" hidden="false" customHeight="false" outlineLevel="0" collapsed="false">
      <c r="A548" s="1" t="n">
        <v>1570</v>
      </c>
      <c r="B548" s="30" t="n">
        <v>43413</v>
      </c>
      <c r="C548" s="30" t="n">
        <v>43670</v>
      </c>
      <c r="D548" s="31" t="n">
        <f aca="false">VLOOKUP(A548,'Order Shipping'!$A$2:$C$2000,3,FALSE())</f>
        <v>9.4</v>
      </c>
      <c r="E548" s="32" t="n">
        <f aca="false">VLOOKUP($A548,'Order Sales'!$A$2:$G$2154,E$1,FALSE())</f>
        <v>37</v>
      </c>
      <c r="F548" s="32" t="n">
        <f aca="false">VLOOKUP($A548,'Order Sales'!$A$2:$G$2154,F$1,FALSE())</f>
        <v>650.91</v>
      </c>
      <c r="G548" s="32" t="str">
        <f aca="false">VLOOKUP($A548,'Order Sales'!$A$2:$G$2154,G$1,FALSE())</f>
        <v>Consumer</v>
      </c>
    </row>
    <row r="549" customFormat="false" ht="14.25" hidden="false" customHeight="false" outlineLevel="0" collapsed="false">
      <c r="A549" s="1" t="n">
        <v>2355</v>
      </c>
      <c r="B549" s="30" t="n">
        <v>43355</v>
      </c>
      <c r="C549" s="30" t="n">
        <v>43671</v>
      </c>
      <c r="D549" s="31" t="n">
        <f aca="false">VLOOKUP(A549,'Order Shipping'!$A$2:$C$2000,3,FALSE())</f>
        <v>32.1</v>
      </c>
      <c r="E549" s="32" t="n">
        <f aca="false">VLOOKUP($A549,'Order Sales'!$A$2:$G$2154,E$1,FALSE())</f>
        <v>18</v>
      </c>
      <c r="F549" s="32" t="n">
        <f aca="false">VLOOKUP($A549,'Order Sales'!$A$2:$G$2154,F$1,FALSE())</f>
        <v>2164.24</v>
      </c>
      <c r="G549" s="32" t="str">
        <f aca="false">VLOOKUP($A549,'Order Sales'!$A$2:$G$2154,G$1,FALSE())</f>
        <v>Corporate</v>
      </c>
    </row>
    <row r="550" customFormat="false" ht="14.25" hidden="false" customHeight="false" outlineLevel="0" collapsed="false">
      <c r="A550" s="1" t="n">
        <v>2013</v>
      </c>
      <c r="B550" s="30" t="n">
        <v>43136</v>
      </c>
      <c r="C550" s="30" t="n">
        <v>43672</v>
      </c>
      <c r="D550" s="31" t="n">
        <f aca="false">VLOOKUP(A550,'Order Shipping'!$A$2:$C$2000,3,FALSE())</f>
        <v>5.7</v>
      </c>
      <c r="E550" s="32" t="n">
        <f aca="false">VLOOKUP($A550,'Order Sales'!$A$2:$G$2154,E$1,FALSE())</f>
        <v>31</v>
      </c>
      <c r="F550" s="32" t="n">
        <f aca="false">VLOOKUP($A550,'Order Sales'!$A$2:$G$2154,F$1,FALSE())</f>
        <v>203.36</v>
      </c>
      <c r="G550" s="32" t="str">
        <f aca="false">VLOOKUP($A550,'Order Sales'!$A$2:$G$2154,G$1,FALSE())</f>
        <v>Corporate</v>
      </c>
    </row>
    <row r="551" customFormat="false" ht="14.25" hidden="false" customHeight="false" outlineLevel="0" collapsed="false">
      <c r="A551" s="1" t="n">
        <v>2308</v>
      </c>
      <c r="B551" s="30" t="n">
        <v>43136</v>
      </c>
      <c r="C551" s="30" t="n">
        <v>43673</v>
      </c>
      <c r="D551" s="31" t="n">
        <f aca="false">VLOOKUP(A551,'Order Shipping'!$A$2:$C$2000,3,FALSE())</f>
        <v>3.6</v>
      </c>
      <c r="E551" s="32" t="n">
        <f aca="false">VLOOKUP($A551,'Order Sales'!$A$2:$G$2154,E$1,FALSE())</f>
        <v>11</v>
      </c>
      <c r="F551" s="32" t="n">
        <f aca="false">VLOOKUP($A551,'Order Sales'!$A$2:$G$2154,F$1,FALSE())</f>
        <v>70.38</v>
      </c>
      <c r="G551" s="32" t="str">
        <f aca="false">VLOOKUP($A551,'Order Sales'!$A$2:$G$2154,G$1,FALSE())</f>
        <v>Home Office</v>
      </c>
    </row>
    <row r="552" customFormat="false" ht="14.25" hidden="false" customHeight="false" outlineLevel="0" collapsed="false">
      <c r="A552" s="1" t="n">
        <v>1476</v>
      </c>
      <c r="B552" s="30" t="n">
        <v>43419</v>
      </c>
      <c r="C552" s="30" t="n">
        <v>43674</v>
      </c>
      <c r="D552" s="31" t="n">
        <f aca="false">VLOOKUP(A552,'Order Shipping'!$A$2:$C$2000,3,FALSE())</f>
        <v>1.1</v>
      </c>
      <c r="E552" s="32" t="n">
        <f aca="false">VLOOKUP($A552,'Order Sales'!$A$2:$G$2154,E$1,FALSE())</f>
        <v>24</v>
      </c>
      <c r="F552" s="32" t="n">
        <f aca="false">VLOOKUP($A552,'Order Sales'!$A$2:$G$2154,F$1,FALSE())</f>
        <v>42.47</v>
      </c>
      <c r="G552" s="32" t="str">
        <f aca="false">VLOOKUP($A552,'Order Sales'!$A$2:$G$2154,G$1,FALSE())</f>
        <v>Corporate</v>
      </c>
    </row>
    <row r="553" customFormat="false" ht="14.25" hidden="false" customHeight="false" outlineLevel="0" collapsed="false">
      <c r="A553" s="1" t="n">
        <v>2277</v>
      </c>
      <c r="B553" s="30" t="n">
        <v>43328</v>
      </c>
      <c r="C553" s="30" t="n">
        <v>43675</v>
      </c>
      <c r="D553" s="31" t="n">
        <f aca="false">VLOOKUP(A553,'Order Shipping'!$A$2:$C$2000,3,FALSE())</f>
        <v>5.8</v>
      </c>
      <c r="E553" s="32" t="n">
        <f aca="false">VLOOKUP($A553,'Order Sales'!$A$2:$G$2154,E$1,FALSE())</f>
        <v>22</v>
      </c>
      <c r="F553" s="32" t="n">
        <f aca="false">VLOOKUP($A553,'Order Sales'!$A$2:$G$2154,F$1,FALSE())</f>
        <v>145.71</v>
      </c>
      <c r="G553" s="32" t="str">
        <f aca="false">VLOOKUP($A553,'Order Sales'!$A$2:$G$2154,G$1,FALSE())</f>
        <v>Corporate</v>
      </c>
    </row>
    <row r="554" customFormat="false" ht="14.25" hidden="false" customHeight="false" outlineLevel="0" collapsed="false">
      <c r="A554" s="1" t="n">
        <v>1392</v>
      </c>
      <c r="B554" s="30" t="n">
        <v>43265</v>
      </c>
      <c r="C554" s="30" t="n">
        <v>43676</v>
      </c>
      <c r="D554" s="31" t="n">
        <f aca="false">VLOOKUP(A554,'Order Shipping'!$A$2:$C$2000,3,FALSE())</f>
        <v>5.1</v>
      </c>
      <c r="E554" s="32" t="n">
        <f aca="false">VLOOKUP($A554,'Order Sales'!$A$2:$G$2154,E$1,FALSE())</f>
        <v>21</v>
      </c>
      <c r="F554" s="32" t="n">
        <f aca="false">VLOOKUP($A554,'Order Sales'!$A$2:$G$2154,F$1,FALSE())</f>
        <v>52.68</v>
      </c>
      <c r="G554" s="32" t="str">
        <f aca="false">VLOOKUP($A554,'Order Sales'!$A$2:$G$2154,G$1,FALSE())</f>
        <v>Home Office</v>
      </c>
    </row>
    <row r="555" customFormat="false" ht="14.25" hidden="false" customHeight="false" outlineLevel="0" collapsed="false">
      <c r="A555" s="1" t="n">
        <v>2868</v>
      </c>
      <c r="B555" s="30" t="n">
        <v>43239</v>
      </c>
      <c r="C555" s="30" t="n">
        <v>43677</v>
      </c>
      <c r="D555" s="31" t="n">
        <f aca="false">VLOOKUP(A555,'Order Shipping'!$A$2:$C$2000,3,FALSE())</f>
        <v>10.8</v>
      </c>
      <c r="E555" s="32" t="n">
        <f aca="false">VLOOKUP($A555,'Order Sales'!$A$2:$G$2154,E$1,FALSE())</f>
        <v>9</v>
      </c>
      <c r="F555" s="32" t="n">
        <f aca="false">VLOOKUP($A555,'Order Sales'!$A$2:$G$2154,F$1,FALSE())</f>
        <v>72.18</v>
      </c>
      <c r="G555" s="32" t="str">
        <f aca="false">VLOOKUP($A555,'Order Sales'!$A$2:$G$2154,G$1,FALSE())</f>
        <v>Small Business</v>
      </c>
    </row>
    <row r="556" customFormat="false" ht="14.25" hidden="false" customHeight="false" outlineLevel="0" collapsed="false">
      <c r="A556" s="1" t="n">
        <v>2292</v>
      </c>
      <c r="B556" s="30" t="n">
        <v>43255</v>
      </c>
      <c r="C556" s="30" t="n">
        <v>43678</v>
      </c>
      <c r="D556" s="31" t="n">
        <f aca="false">VLOOKUP(A556,'Order Shipping'!$A$2:$C$2000,3,FALSE())</f>
        <v>15</v>
      </c>
      <c r="E556" s="32" t="n">
        <f aca="false">VLOOKUP($A556,'Order Sales'!$A$2:$G$2154,E$1,FALSE())</f>
        <v>44</v>
      </c>
      <c r="F556" s="32" t="n">
        <f aca="false">VLOOKUP($A556,'Order Sales'!$A$2:$G$2154,F$1,FALSE())</f>
        <v>7342.59</v>
      </c>
      <c r="G556" s="32" t="str">
        <f aca="false">VLOOKUP($A556,'Order Sales'!$A$2:$G$2154,G$1,FALSE())</f>
        <v>Home Office</v>
      </c>
    </row>
    <row r="557" customFormat="false" ht="14.25" hidden="false" customHeight="false" outlineLevel="0" collapsed="false">
      <c r="A557" s="1" t="n">
        <v>2369</v>
      </c>
      <c r="B557" s="30" t="n">
        <v>43364</v>
      </c>
      <c r="C557" s="30" t="n">
        <v>43679</v>
      </c>
      <c r="D557" s="31" t="n">
        <f aca="false">VLOOKUP(A557,'Order Shipping'!$A$2:$C$2000,3,FALSE())</f>
        <v>12</v>
      </c>
      <c r="E557" s="32" t="n">
        <f aca="false">VLOOKUP($A557,'Order Sales'!$A$2:$G$2154,E$1,FALSE())</f>
        <v>7</v>
      </c>
      <c r="F557" s="32" t="n">
        <f aca="false">VLOOKUP($A557,'Order Sales'!$A$2:$G$2154,F$1,FALSE())</f>
        <v>128.43</v>
      </c>
      <c r="G557" s="32" t="str">
        <f aca="false">VLOOKUP($A557,'Order Sales'!$A$2:$G$2154,G$1,FALSE())</f>
        <v>Home Office</v>
      </c>
    </row>
    <row r="558" customFormat="false" ht="14.25" hidden="false" customHeight="false" outlineLevel="0" collapsed="false">
      <c r="A558" s="1" t="n">
        <v>2713</v>
      </c>
      <c r="B558" s="30" t="n">
        <v>43414</v>
      </c>
      <c r="C558" s="30" t="n">
        <v>43680</v>
      </c>
      <c r="D558" s="31" t="n">
        <f aca="false">VLOOKUP(A558,'Order Shipping'!$A$2:$C$2000,3,FALSE())</f>
        <v>31.3</v>
      </c>
      <c r="E558" s="32" t="n">
        <f aca="false">VLOOKUP($A558,'Order Sales'!$A$2:$G$2154,E$1,FALSE())</f>
        <v>10</v>
      </c>
      <c r="F558" s="32" t="n">
        <f aca="false">VLOOKUP($A558,'Order Sales'!$A$2:$G$2154,F$1,FALSE())</f>
        <v>2006.44</v>
      </c>
      <c r="G558" s="32" t="str">
        <f aca="false">VLOOKUP($A558,'Order Sales'!$A$2:$G$2154,G$1,FALSE())</f>
        <v>Consumer</v>
      </c>
    </row>
    <row r="559" customFormat="false" ht="14.25" hidden="false" customHeight="false" outlineLevel="0" collapsed="false">
      <c r="A559" s="1" t="n">
        <v>2288</v>
      </c>
      <c r="B559" s="30" t="n">
        <v>43366</v>
      </c>
      <c r="C559" s="30" t="n">
        <v>43681</v>
      </c>
      <c r="D559" s="31" t="n">
        <f aca="false">VLOOKUP(A559,'Order Shipping'!$A$2:$C$2000,3,FALSE())</f>
        <v>52.4</v>
      </c>
      <c r="E559" s="32" t="n">
        <f aca="false">VLOOKUP($A559,'Order Sales'!$A$2:$G$2154,E$1,FALSE())</f>
        <v>7</v>
      </c>
      <c r="F559" s="32" t="n">
        <f aca="false">VLOOKUP($A559,'Order Sales'!$A$2:$G$2154,F$1,FALSE())</f>
        <v>532</v>
      </c>
      <c r="G559" s="32" t="str">
        <f aca="false">VLOOKUP($A559,'Order Sales'!$A$2:$G$2154,G$1,FALSE())</f>
        <v>Consumer</v>
      </c>
    </row>
    <row r="560" customFormat="false" ht="14.25" hidden="false" customHeight="false" outlineLevel="0" collapsed="false">
      <c r="A560" s="1" t="n">
        <v>2322</v>
      </c>
      <c r="B560" s="30" t="n">
        <v>43321</v>
      </c>
      <c r="C560" s="30" t="n">
        <v>43682</v>
      </c>
      <c r="D560" s="31" t="n">
        <f aca="false">VLOOKUP(A560,'Order Shipping'!$A$2:$C$2000,3,FALSE())</f>
        <v>19.3</v>
      </c>
      <c r="E560" s="32" t="n">
        <f aca="false">VLOOKUP($A560,'Order Sales'!$A$2:$G$2154,E$1,FALSE())</f>
        <v>41</v>
      </c>
      <c r="F560" s="32" t="n">
        <f aca="false">VLOOKUP($A560,'Order Sales'!$A$2:$G$2154,F$1,FALSE())</f>
        <v>8974.2</v>
      </c>
      <c r="G560" s="32" t="str">
        <f aca="false">VLOOKUP($A560,'Order Sales'!$A$2:$G$2154,G$1,FALSE())</f>
        <v>Corporate</v>
      </c>
    </row>
    <row r="561" customFormat="false" ht="14.25" hidden="false" customHeight="false" outlineLevel="0" collapsed="false">
      <c r="A561" s="1" t="n">
        <v>1563</v>
      </c>
      <c r="B561" s="30" t="n">
        <v>43357</v>
      </c>
      <c r="C561" s="30" t="n">
        <v>43683</v>
      </c>
      <c r="D561" s="31" t="n">
        <f aca="false">VLOOKUP(A561,'Order Shipping'!$A$2:$C$2000,3,FALSE())</f>
        <v>9.6</v>
      </c>
      <c r="E561" s="32" t="n">
        <f aca="false">VLOOKUP($A561,'Order Sales'!$A$2:$G$2154,E$1,FALSE())</f>
        <v>10</v>
      </c>
      <c r="F561" s="32" t="n">
        <f aca="false">VLOOKUP($A561,'Order Sales'!$A$2:$G$2154,F$1,FALSE())</f>
        <v>1636.36</v>
      </c>
      <c r="G561" s="32" t="str">
        <f aca="false">VLOOKUP($A561,'Order Sales'!$A$2:$G$2154,G$1,FALSE())</f>
        <v>Consumer</v>
      </c>
    </row>
    <row r="562" customFormat="false" ht="14.25" hidden="false" customHeight="false" outlineLevel="0" collapsed="false">
      <c r="A562" s="1" t="n">
        <v>2706</v>
      </c>
      <c r="B562" s="30" t="n">
        <v>43198</v>
      </c>
      <c r="C562" s="30" t="n">
        <v>43684</v>
      </c>
      <c r="D562" s="31" t="n">
        <f aca="false">VLOOKUP(A562,'Order Shipping'!$A$2:$C$2000,3,FALSE())</f>
        <v>0.5</v>
      </c>
      <c r="E562" s="32" t="n">
        <f aca="false">VLOOKUP($A562,'Order Sales'!$A$2:$G$2154,E$1,FALSE())</f>
        <v>37</v>
      </c>
      <c r="F562" s="32" t="n">
        <f aca="false">VLOOKUP($A562,'Order Sales'!$A$2:$G$2154,F$1,FALSE())</f>
        <v>209.2</v>
      </c>
      <c r="G562" s="32" t="str">
        <f aca="false">VLOOKUP($A562,'Order Sales'!$A$2:$G$2154,G$1,FALSE())</f>
        <v>Home Office</v>
      </c>
    </row>
    <row r="563" customFormat="false" ht="14.25" hidden="false" customHeight="false" outlineLevel="0" collapsed="false">
      <c r="A563" s="1" t="n">
        <v>1876</v>
      </c>
      <c r="B563" s="30" t="n">
        <v>43127</v>
      </c>
      <c r="C563" s="30" t="n">
        <v>43685</v>
      </c>
      <c r="D563" s="31" t="n">
        <f aca="false">VLOOKUP(A563,'Order Shipping'!$A$2:$C$2000,3,FALSE())</f>
        <v>12</v>
      </c>
      <c r="E563" s="32" t="n">
        <f aca="false">VLOOKUP($A563,'Order Sales'!$A$2:$G$2154,E$1,FALSE())</f>
        <v>17</v>
      </c>
      <c r="F563" s="32" t="n">
        <f aca="false">VLOOKUP($A563,'Order Sales'!$A$2:$G$2154,F$1,FALSE())</f>
        <v>215.84</v>
      </c>
      <c r="G563" s="32" t="str">
        <f aca="false">VLOOKUP($A563,'Order Sales'!$A$2:$G$2154,G$1,FALSE())</f>
        <v>Consumer</v>
      </c>
    </row>
    <row r="564" customFormat="false" ht="14.25" hidden="false" customHeight="false" outlineLevel="0" collapsed="false">
      <c r="A564" s="1" t="n">
        <v>1780</v>
      </c>
      <c r="B564" s="30" t="n">
        <v>43197</v>
      </c>
      <c r="C564" s="30" t="n">
        <v>43686</v>
      </c>
      <c r="D564" s="31" t="n">
        <f aca="false">VLOOKUP(A564,'Order Shipping'!$A$2:$C$2000,3,FALSE())</f>
        <v>64.4</v>
      </c>
      <c r="E564" s="32" t="n">
        <f aca="false">VLOOKUP($A564,'Order Sales'!$A$2:$G$2154,E$1,FALSE())</f>
        <v>11</v>
      </c>
      <c r="F564" s="32" t="n">
        <f aca="false">VLOOKUP($A564,'Order Sales'!$A$2:$G$2154,F$1,FALSE())</f>
        <v>1857.08</v>
      </c>
      <c r="G564" s="32" t="str">
        <f aca="false">VLOOKUP($A564,'Order Sales'!$A$2:$G$2154,G$1,FALSE())</f>
        <v>Home Office</v>
      </c>
    </row>
    <row r="565" customFormat="false" ht="14.25" hidden="false" customHeight="false" outlineLevel="0" collapsed="false">
      <c r="A565" s="1" t="n">
        <v>1047</v>
      </c>
      <c r="B565" s="30" t="n">
        <v>43417</v>
      </c>
      <c r="C565" s="30" t="n">
        <v>43687</v>
      </c>
      <c r="D565" s="31" t="n">
        <f aca="false">VLOOKUP(A565,'Order Shipping'!$A$2:$C$2000,3,FALSE())</f>
        <v>5.6</v>
      </c>
      <c r="E565" s="32" t="n">
        <f aca="false">VLOOKUP($A565,'Order Sales'!$A$2:$G$2154,E$1,FALSE())</f>
        <v>17</v>
      </c>
      <c r="F565" s="32" t="n">
        <f aca="false">VLOOKUP($A565,'Order Sales'!$A$2:$G$2154,F$1,FALSE())</f>
        <v>112.29</v>
      </c>
      <c r="G565" s="32" t="str">
        <f aca="false">VLOOKUP($A565,'Order Sales'!$A$2:$G$2154,G$1,FALSE())</f>
        <v>Home Office</v>
      </c>
    </row>
    <row r="566" customFormat="false" ht="14.25" hidden="false" customHeight="false" outlineLevel="0" collapsed="false">
      <c r="A566" s="1" t="n">
        <v>1948</v>
      </c>
      <c r="B566" s="30" t="n">
        <v>43326</v>
      </c>
      <c r="C566" s="30" t="n">
        <v>43688</v>
      </c>
      <c r="D566" s="31" t="n">
        <f aca="false">VLOOKUP(A566,'Order Shipping'!$A$2:$C$2000,3,FALSE())</f>
        <v>6.1</v>
      </c>
      <c r="E566" s="32" t="n">
        <f aca="false">VLOOKUP($A566,'Order Sales'!$A$2:$G$2154,E$1,FALSE())</f>
        <v>26</v>
      </c>
      <c r="F566" s="32" t="n">
        <f aca="false">VLOOKUP($A566,'Order Sales'!$A$2:$G$2154,F$1,FALSE())</f>
        <v>173.3</v>
      </c>
      <c r="G566" s="32" t="str">
        <f aca="false">VLOOKUP($A566,'Order Sales'!$A$2:$G$2154,G$1,FALSE())</f>
        <v>Home Office</v>
      </c>
    </row>
    <row r="567" customFormat="false" ht="14.25" hidden="false" customHeight="false" outlineLevel="0" collapsed="false">
      <c r="A567" s="1" t="n">
        <v>2040</v>
      </c>
      <c r="B567" s="30" t="n">
        <v>43131</v>
      </c>
      <c r="C567" s="30" t="n">
        <v>43689</v>
      </c>
      <c r="D567" s="31" t="n">
        <f aca="false">VLOOKUP(A567,'Order Shipping'!$A$2:$C$2000,3,FALSE())</f>
        <v>1.1</v>
      </c>
      <c r="E567" s="32" t="n">
        <f aca="false">VLOOKUP($A567,'Order Sales'!$A$2:$G$2154,E$1,FALSE())</f>
        <v>4</v>
      </c>
      <c r="F567" s="32" t="n">
        <f aca="false">VLOOKUP($A567,'Order Sales'!$A$2:$G$2154,F$1,FALSE())</f>
        <v>14.36</v>
      </c>
      <c r="G567" s="32" t="str">
        <f aca="false">VLOOKUP($A567,'Order Sales'!$A$2:$G$2154,G$1,FALSE())</f>
        <v>Home Office</v>
      </c>
    </row>
    <row r="568" customFormat="false" ht="14.25" hidden="false" customHeight="false" outlineLevel="0" collapsed="false">
      <c r="A568" s="1" t="n">
        <v>1826</v>
      </c>
      <c r="B568" s="30" t="n">
        <v>43104</v>
      </c>
      <c r="C568" s="30" t="n">
        <v>43690</v>
      </c>
      <c r="D568" s="31" t="n">
        <f aca="false">VLOOKUP(A568,'Order Shipping'!$A$2:$C$2000,3,FALSE())</f>
        <v>5.4</v>
      </c>
      <c r="E568" s="32" t="n">
        <f aca="false">VLOOKUP($A568,'Order Sales'!$A$2:$G$2154,E$1,FALSE())</f>
        <v>14</v>
      </c>
      <c r="F568" s="32" t="n">
        <f aca="false">VLOOKUP($A568,'Order Sales'!$A$2:$G$2154,F$1,FALSE())</f>
        <v>590.73</v>
      </c>
      <c r="G568" s="32" t="str">
        <f aca="false">VLOOKUP($A568,'Order Sales'!$A$2:$G$2154,G$1,FALSE())</f>
        <v>Home Office</v>
      </c>
    </row>
    <row r="569" customFormat="false" ht="14.25" hidden="false" customHeight="false" outlineLevel="0" collapsed="false">
      <c r="A569" s="1" t="n">
        <v>2870</v>
      </c>
      <c r="B569" s="30" t="n">
        <v>43304</v>
      </c>
      <c r="C569" s="30" t="n">
        <v>43691</v>
      </c>
      <c r="D569" s="31" t="n">
        <f aca="false">VLOOKUP(A569,'Order Shipping'!$A$2:$C$2000,3,FALSE())</f>
        <v>8.6</v>
      </c>
      <c r="E569" s="32" t="n">
        <f aca="false">VLOOKUP($A569,'Order Sales'!$A$2:$G$2154,E$1,FALSE())</f>
        <v>48</v>
      </c>
      <c r="F569" s="32" t="n">
        <f aca="false">VLOOKUP($A569,'Order Sales'!$A$2:$G$2154,F$1,FALSE())</f>
        <v>5498.02</v>
      </c>
      <c r="G569" s="32" t="str">
        <f aca="false">VLOOKUP($A569,'Order Sales'!$A$2:$G$2154,G$1,FALSE())</f>
        <v>Consumer</v>
      </c>
    </row>
    <row r="570" customFormat="false" ht="14.25" hidden="false" customHeight="false" outlineLevel="0" collapsed="false">
      <c r="A570" s="1" t="n">
        <v>2006</v>
      </c>
      <c r="B570" s="30" t="n">
        <v>43128</v>
      </c>
      <c r="C570" s="30" t="n">
        <v>43692</v>
      </c>
      <c r="D570" s="31" t="n">
        <f aca="false">VLOOKUP(A570,'Order Shipping'!$A$2:$C$2000,3,FALSE())</f>
        <v>13.9</v>
      </c>
      <c r="E570" s="32" t="n">
        <f aca="false">VLOOKUP($A570,'Order Sales'!$A$2:$G$2154,E$1,FALSE())</f>
        <v>31</v>
      </c>
      <c r="F570" s="32" t="n">
        <f aca="false">VLOOKUP($A570,'Order Sales'!$A$2:$G$2154,F$1,FALSE())</f>
        <v>848.25</v>
      </c>
      <c r="G570" s="32" t="str">
        <f aca="false">VLOOKUP($A570,'Order Sales'!$A$2:$G$2154,G$1,FALSE())</f>
        <v>Home Office</v>
      </c>
    </row>
    <row r="571" customFormat="false" ht="14.25" hidden="false" customHeight="false" outlineLevel="0" collapsed="false">
      <c r="A571" s="1" t="n">
        <v>1239</v>
      </c>
      <c r="B571" s="30" t="n">
        <v>43255</v>
      </c>
      <c r="C571" s="30" t="n">
        <v>43693</v>
      </c>
      <c r="D571" s="31" t="n">
        <f aca="false">VLOOKUP(A571,'Order Shipping'!$A$2:$C$2000,3,FALSE())</f>
        <v>2.9</v>
      </c>
      <c r="E571" s="32" t="n">
        <f aca="false">VLOOKUP($A571,'Order Sales'!$A$2:$G$2154,E$1,FALSE())</f>
        <v>46</v>
      </c>
      <c r="F571" s="32" t="n">
        <f aca="false">VLOOKUP($A571,'Order Sales'!$A$2:$G$2154,F$1,FALSE())</f>
        <v>324.87</v>
      </c>
      <c r="G571" s="32" t="str">
        <f aca="false">VLOOKUP($A571,'Order Sales'!$A$2:$G$2154,G$1,FALSE())</f>
        <v>Small Business</v>
      </c>
    </row>
    <row r="572" customFormat="false" ht="14.25" hidden="false" customHeight="false" outlineLevel="0" collapsed="false">
      <c r="A572" s="1" t="n">
        <v>2356</v>
      </c>
      <c r="B572" s="30" t="n">
        <v>43355</v>
      </c>
      <c r="C572" s="30" t="n">
        <v>43694</v>
      </c>
      <c r="D572" s="31" t="n">
        <f aca="false">VLOOKUP(A572,'Order Shipping'!$A$2:$C$2000,3,FALSE())</f>
        <v>6</v>
      </c>
      <c r="E572" s="32" t="n">
        <f aca="false">VLOOKUP($A572,'Order Sales'!$A$2:$G$2154,E$1,FALSE())</f>
        <v>32</v>
      </c>
      <c r="F572" s="32" t="n">
        <f aca="false">VLOOKUP($A572,'Order Sales'!$A$2:$G$2154,F$1,FALSE())</f>
        <v>314.62</v>
      </c>
      <c r="G572" s="32" t="str">
        <f aca="false">VLOOKUP($A572,'Order Sales'!$A$2:$G$2154,G$1,FALSE())</f>
        <v>Corporate</v>
      </c>
    </row>
    <row r="573" customFormat="false" ht="14.25" hidden="false" customHeight="false" outlineLevel="0" collapsed="false">
      <c r="A573" s="1" t="n">
        <v>2149</v>
      </c>
      <c r="B573" s="30" t="n">
        <v>43141</v>
      </c>
      <c r="C573" s="30" t="n">
        <v>43695</v>
      </c>
      <c r="D573" s="31" t="n">
        <f aca="false">VLOOKUP(A573,'Order Shipping'!$A$2:$C$2000,3,FALSE())</f>
        <v>9.1</v>
      </c>
      <c r="E573" s="32" t="n">
        <f aca="false">VLOOKUP($A573,'Order Sales'!$A$2:$G$2154,E$1,FALSE())</f>
        <v>10</v>
      </c>
      <c r="F573" s="32" t="n">
        <f aca="false">VLOOKUP($A573,'Order Sales'!$A$2:$G$2154,F$1,FALSE())</f>
        <v>95.27</v>
      </c>
      <c r="G573" s="32" t="str">
        <f aca="false">VLOOKUP($A573,'Order Sales'!$A$2:$G$2154,G$1,FALSE())</f>
        <v>Home Office</v>
      </c>
    </row>
    <row r="574" customFormat="false" ht="14.25" hidden="false" customHeight="false" outlineLevel="0" collapsed="false">
      <c r="A574" s="1" t="n">
        <v>1758</v>
      </c>
      <c r="B574" s="30" t="n">
        <v>43310</v>
      </c>
      <c r="C574" s="30" t="n">
        <v>43696</v>
      </c>
      <c r="D574" s="31" t="n">
        <f aca="false">VLOOKUP(A574,'Order Shipping'!$A$2:$C$2000,3,FALSE())</f>
        <v>6.2</v>
      </c>
      <c r="E574" s="32" t="n">
        <f aca="false">VLOOKUP($A574,'Order Sales'!$A$2:$G$2154,E$1,FALSE())</f>
        <v>48</v>
      </c>
      <c r="F574" s="32" t="n">
        <f aca="false">VLOOKUP($A574,'Order Sales'!$A$2:$G$2154,F$1,FALSE())</f>
        <v>650.87</v>
      </c>
      <c r="G574" s="32" t="str">
        <f aca="false">VLOOKUP($A574,'Order Sales'!$A$2:$G$2154,G$1,FALSE())</f>
        <v>Small Business</v>
      </c>
    </row>
    <row r="575" customFormat="false" ht="14.25" hidden="false" customHeight="false" outlineLevel="0" collapsed="false">
      <c r="A575" s="1" t="n">
        <v>1377</v>
      </c>
      <c r="B575" s="30" t="n">
        <v>43392</v>
      </c>
      <c r="C575" s="30" t="n">
        <v>43697</v>
      </c>
      <c r="D575" s="31" t="n">
        <f aca="false">VLOOKUP(A575,'Order Shipping'!$A$2:$C$2000,3,FALSE())</f>
        <v>1.3</v>
      </c>
      <c r="E575" s="32" t="n">
        <f aca="false">VLOOKUP($A575,'Order Sales'!$A$2:$G$2154,E$1,FALSE())</f>
        <v>16</v>
      </c>
      <c r="F575" s="32" t="n">
        <f aca="false">VLOOKUP($A575,'Order Sales'!$A$2:$G$2154,F$1,FALSE())</f>
        <v>119.73</v>
      </c>
      <c r="G575" s="32" t="str">
        <f aca="false">VLOOKUP($A575,'Order Sales'!$A$2:$G$2154,G$1,FALSE())</f>
        <v>Small Business</v>
      </c>
    </row>
    <row r="576" customFormat="false" ht="14.25" hidden="false" customHeight="false" outlineLevel="0" collapsed="false">
      <c r="A576" s="1" t="n">
        <v>1905</v>
      </c>
      <c r="B576" s="30" t="n">
        <v>43422</v>
      </c>
      <c r="C576" s="30" t="n">
        <v>43698</v>
      </c>
      <c r="D576" s="31" t="n">
        <f aca="false">VLOOKUP(A576,'Order Shipping'!$A$2:$C$2000,3,FALSE())</f>
        <v>26.2</v>
      </c>
      <c r="E576" s="32" t="n">
        <f aca="false">VLOOKUP($A576,'Order Sales'!$A$2:$G$2154,E$1,FALSE())</f>
        <v>40</v>
      </c>
      <c r="F576" s="32" t="n">
        <f aca="false">VLOOKUP($A576,'Order Sales'!$A$2:$G$2154,F$1,FALSE())</f>
        <v>8360.66</v>
      </c>
      <c r="G576" s="32" t="str">
        <f aca="false">VLOOKUP($A576,'Order Sales'!$A$2:$G$2154,G$1,FALSE())</f>
        <v>Small Business</v>
      </c>
    </row>
    <row r="577" customFormat="false" ht="14.25" hidden="false" customHeight="false" outlineLevel="0" collapsed="false">
      <c r="A577" s="1" t="n">
        <v>2171</v>
      </c>
      <c r="B577" s="30" t="n">
        <v>43415</v>
      </c>
      <c r="C577" s="30" t="n">
        <v>43699</v>
      </c>
      <c r="D577" s="31" t="n">
        <f aca="false">VLOOKUP(A577,'Order Shipping'!$A$2:$C$2000,3,FALSE())</f>
        <v>10.4</v>
      </c>
      <c r="E577" s="32" t="n">
        <f aca="false">VLOOKUP($A577,'Order Sales'!$A$2:$G$2154,E$1,FALSE())</f>
        <v>38</v>
      </c>
      <c r="F577" s="32" t="n">
        <f aca="false">VLOOKUP($A577,'Order Sales'!$A$2:$G$2154,F$1,FALSE())</f>
        <v>2415.93</v>
      </c>
      <c r="G577" s="32" t="str">
        <f aca="false">VLOOKUP($A577,'Order Sales'!$A$2:$G$2154,G$1,FALSE())</f>
        <v>Small Business</v>
      </c>
    </row>
    <row r="578" customFormat="false" ht="14.25" hidden="false" customHeight="false" outlineLevel="0" collapsed="false">
      <c r="A578" s="1" t="n">
        <v>1242</v>
      </c>
      <c r="B578" s="30" t="n">
        <v>43238</v>
      </c>
      <c r="C578" s="30" t="n">
        <v>43700</v>
      </c>
      <c r="D578" s="31" t="n">
        <f aca="false">VLOOKUP(A578,'Order Shipping'!$A$2:$C$2000,3,FALSE())</f>
        <v>1.3</v>
      </c>
      <c r="E578" s="32" t="n">
        <f aca="false">VLOOKUP($A578,'Order Sales'!$A$2:$G$2154,E$1,FALSE())</f>
        <v>34</v>
      </c>
      <c r="F578" s="32" t="n">
        <f aca="false">VLOOKUP($A578,'Order Sales'!$A$2:$G$2154,F$1,FALSE())</f>
        <v>695.65</v>
      </c>
      <c r="G578" s="32" t="str">
        <f aca="false">VLOOKUP($A578,'Order Sales'!$A$2:$G$2154,G$1,FALSE())</f>
        <v>Consumer</v>
      </c>
    </row>
    <row r="579" customFormat="false" ht="14.25" hidden="false" customHeight="false" outlineLevel="0" collapsed="false">
      <c r="A579" s="1" t="n">
        <v>1652</v>
      </c>
      <c r="B579" s="30" t="n">
        <v>43313</v>
      </c>
      <c r="C579" s="30" t="n">
        <v>43701</v>
      </c>
      <c r="D579" s="31" t="n">
        <f aca="false">VLOOKUP(A579,'Order Shipping'!$A$2:$C$2000,3,FALSE())</f>
        <v>2.7</v>
      </c>
      <c r="E579" s="32" t="n">
        <f aca="false">VLOOKUP($A579,'Order Sales'!$A$2:$G$2154,E$1,FALSE())</f>
        <v>23</v>
      </c>
      <c r="F579" s="32" t="n">
        <f aca="false">VLOOKUP($A579,'Order Sales'!$A$2:$G$2154,F$1,FALSE())</f>
        <v>112.16</v>
      </c>
      <c r="G579" s="32" t="str">
        <f aca="false">VLOOKUP($A579,'Order Sales'!$A$2:$G$2154,G$1,FALSE())</f>
        <v>Corporate</v>
      </c>
    </row>
    <row r="580" customFormat="false" ht="14.25" hidden="false" customHeight="false" outlineLevel="0" collapsed="false">
      <c r="A580" s="1" t="n">
        <v>1467</v>
      </c>
      <c r="B580" s="30" t="n">
        <v>43315</v>
      </c>
      <c r="C580" s="30" t="n">
        <v>43702</v>
      </c>
      <c r="D580" s="31" t="n">
        <f aca="false">VLOOKUP(A580,'Order Shipping'!$A$2:$C$2000,3,FALSE())</f>
        <v>2.7</v>
      </c>
      <c r="E580" s="32" t="n">
        <f aca="false">VLOOKUP($A580,'Order Sales'!$A$2:$G$2154,E$1,FALSE())</f>
        <v>10</v>
      </c>
      <c r="F580" s="32" t="n">
        <f aca="false">VLOOKUP($A580,'Order Sales'!$A$2:$G$2154,F$1,FALSE())</f>
        <v>996.33</v>
      </c>
      <c r="G580" s="32" t="str">
        <f aca="false">VLOOKUP($A580,'Order Sales'!$A$2:$G$2154,G$1,FALSE())</f>
        <v>Small Business</v>
      </c>
    </row>
    <row r="581" customFormat="false" ht="14.25" hidden="false" customHeight="false" outlineLevel="0" collapsed="false">
      <c r="A581" s="1" t="n">
        <v>2068</v>
      </c>
      <c r="B581" s="30" t="n">
        <v>43226</v>
      </c>
      <c r="C581" s="30" t="n">
        <v>43703</v>
      </c>
      <c r="D581" s="31" t="n">
        <f aca="false">VLOOKUP(A581,'Order Shipping'!$A$2:$C$2000,3,FALSE())</f>
        <v>37.5</v>
      </c>
      <c r="E581" s="32" t="n">
        <f aca="false">VLOOKUP($A581,'Order Sales'!$A$2:$G$2154,E$1,FALSE())</f>
        <v>8</v>
      </c>
      <c r="F581" s="32" t="n">
        <f aca="false">VLOOKUP($A581,'Order Sales'!$A$2:$G$2154,F$1,FALSE())</f>
        <v>793.39</v>
      </c>
      <c r="G581" s="32" t="str">
        <f aca="false">VLOOKUP($A581,'Order Sales'!$A$2:$G$2154,G$1,FALSE())</f>
        <v>Corporate</v>
      </c>
    </row>
    <row r="582" customFormat="false" ht="14.25" hidden="false" customHeight="false" outlineLevel="0" collapsed="false">
      <c r="A582" s="1" t="n">
        <v>1845</v>
      </c>
      <c r="B582" s="30" t="n">
        <v>43312</v>
      </c>
      <c r="C582" s="30" t="n">
        <v>43704</v>
      </c>
      <c r="D582" s="31" t="n">
        <f aca="false">VLOOKUP(A582,'Order Shipping'!$A$2:$C$2000,3,FALSE())</f>
        <v>55.6</v>
      </c>
      <c r="E582" s="32" t="n">
        <f aca="false">VLOOKUP($A582,'Order Sales'!$A$2:$G$2154,E$1,FALSE())</f>
        <v>36</v>
      </c>
      <c r="F582" s="32" t="n">
        <f aca="false">VLOOKUP($A582,'Order Sales'!$A$2:$G$2154,F$1,FALSE())</f>
        <v>5499.89</v>
      </c>
      <c r="G582" s="32" t="str">
        <f aca="false">VLOOKUP($A582,'Order Sales'!$A$2:$G$2154,G$1,FALSE())</f>
        <v>Home Office</v>
      </c>
    </row>
    <row r="583" customFormat="false" ht="14.25" hidden="false" customHeight="false" outlineLevel="0" collapsed="false">
      <c r="A583" s="1" t="n">
        <v>2342</v>
      </c>
      <c r="B583" s="30" t="n">
        <v>43109</v>
      </c>
      <c r="C583" s="30" t="n">
        <v>43705</v>
      </c>
      <c r="D583" s="31" t="n">
        <f aca="false">VLOOKUP(A583,'Order Shipping'!$A$2:$C$2000,3,FALSE())</f>
        <v>1.1</v>
      </c>
      <c r="E583" s="32" t="n">
        <f aca="false">VLOOKUP($A583,'Order Sales'!$A$2:$G$2154,E$1,FALSE())</f>
        <v>50</v>
      </c>
      <c r="F583" s="32" t="n">
        <f aca="false">VLOOKUP($A583,'Order Sales'!$A$2:$G$2154,F$1,FALSE())</f>
        <v>948.41</v>
      </c>
      <c r="G583" s="32" t="str">
        <f aca="false">VLOOKUP($A583,'Order Sales'!$A$2:$G$2154,G$1,FALSE())</f>
        <v>Corporate</v>
      </c>
    </row>
    <row r="584" customFormat="false" ht="14.25" hidden="false" customHeight="false" outlineLevel="0" collapsed="false">
      <c r="A584" s="1" t="n">
        <v>1715</v>
      </c>
      <c r="B584" s="30" t="n">
        <v>43451</v>
      </c>
      <c r="C584" s="30" t="n">
        <v>43706</v>
      </c>
      <c r="D584" s="31" t="n">
        <f aca="false">VLOOKUP(A584,'Order Shipping'!$A$2:$C$2000,3,FALSE())</f>
        <v>2.2</v>
      </c>
      <c r="E584" s="32" t="n">
        <f aca="false">VLOOKUP($A584,'Order Sales'!$A$2:$G$2154,E$1,FALSE())</f>
        <v>6</v>
      </c>
      <c r="F584" s="32" t="n">
        <f aca="false">VLOOKUP($A584,'Order Sales'!$A$2:$G$2154,F$1,FALSE())</f>
        <v>58.1</v>
      </c>
      <c r="G584" s="32" t="str">
        <f aca="false">VLOOKUP($A584,'Order Sales'!$A$2:$G$2154,G$1,FALSE())</f>
        <v>Consumer</v>
      </c>
    </row>
    <row r="585" customFormat="false" ht="14.25" hidden="false" customHeight="false" outlineLevel="0" collapsed="false">
      <c r="A585" s="1" t="n">
        <v>1916</v>
      </c>
      <c r="B585" s="30" t="n">
        <v>43402</v>
      </c>
      <c r="C585" s="30" t="n">
        <v>43707</v>
      </c>
      <c r="D585" s="31" t="n">
        <f aca="false">VLOOKUP(A585,'Order Shipping'!$A$2:$C$2000,3,FALSE())</f>
        <v>5.2</v>
      </c>
      <c r="E585" s="32" t="n">
        <f aca="false">VLOOKUP($A585,'Order Sales'!$A$2:$G$2154,E$1,FALSE())</f>
        <v>38</v>
      </c>
      <c r="F585" s="32" t="n">
        <f aca="false">VLOOKUP($A585,'Order Sales'!$A$2:$G$2154,F$1,FALSE())</f>
        <v>498.51</v>
      </c>
      <c r="G585" s="32" t="str">
        <f aca="false">VLOOKUP($A585,'Order Sales'!$A$2:$G$2154,G$1,FALSE())</f>
        <v>Home Office</v>
      </c>
    </row>
    <row r="586" customFormat="false" ht="14.25" hidden="false" customHeight="false" outlineLevel="0" collapsed="false">
      <c r="A586" s="1" t="n">
        <v>1089</v>
      </c>
      <c r="B586" s="30" t="n">
        <v>43382</v>
      </c>
      <c r="C586" s="30" t="n">
        <v>43708</v>
      </c>
      <c r="D586" s="31" t="n">
        <f aca="false">VLOOKUP(A586,'Order Shipping'!$A$2:$C$2000,3,FALSE())</f>
        <v>0.5</v>
      </c>
      <c r="E586" s="32" t="n">
        <f aca="false">VLOOKUP($A586,'Order Sales'!$A$2:$G$2154,E$1,FALSE())</f>
        <v>39</v>
      </c>
      <c r="F586" s="32" t="n">
        <f aca="false">VLOOKUP($A586,'Order Sales'!$A$2:$G$2154,F$1,FALSE())</f>
        <v>301.81</v>
      </c>
      <c r="G586" s="32" t="str">
        <f aca="false">VLOOKUP($A586,'Order Sales'!$A$2:$G$2154,G$1,FALSE())</f>
        <v>Corporate</v>
      </c>
    </row>
    <row r="587" customFormat="false" ht="14.25" hidden="false" customHeight="false" outlineLevel="0" collapsed="false">
      <c r="A587" s="1" t="n">
        <v>2268</v>
      </c>
      <c r="B587" s="30" t="n">
        <v>43260</v>
      </c>
      <c r="C587" s="30" t="n">
        <v>43709</v>
      </c>
      <c r="D587" s="31" t="n">
        <f aca="false">VLOOKUP(A587,'Order Shipping'!$A$2:$C$2000,3,FALSE())</f>
        <v>1.3</v>
      </c>
      <c r="E587" s="32" t="n">
        <f aca="false">VLOOKUP($A587,'Order Sales'!$A$2:$G$2154,E$1,FALSE())</f>
        <v>10</v>
      </c>
      <c r="F587" s="32" t="n">
        <f aca="false">VLOOKUP($A587,'Order Sales'!$A$2:$G$2154,F$1,FALSE())</f>
        <v>518.11</v>
      </c>
      <c r="G587" s="32" t="str">
        <f aca="false">VLOOKUP($A587,'Order Sales'!$A$2:$G$2154,G$1,FALSE())</f>
        <v>Consumer</v>
      </c>
    </row>
    <row r="588" customFormat="false" ht="14.25" hidden="false" customHeight="false" outlineLevel="0" collapsed="false">
      <c r="A588" s="1" t="n">
        <v>2807</v>
      </c>
      <c r="B588" s="30" t="n">
        <v>43103</v>
      </c>
      <c r="C588" s="30" t="n">
        <v>43710</v>
      </c>
      <c r="D588" s="31" t="n">
        <f aca="false">VLOOKUP(A588,'Order Shipping'!$A$2:$C$2000,3,FALSE())</f>
        <v>9.6</v>
      </c>
      <c r="E588" s="32" t="n">
        <f aca="false">VLOOKUP($A588,'Order Sales'!$A$2:$G$2154,E$1,FALSE())</f>
        <v>17</v>
      </c>
      <c r="F588" s="32" t="n">
        <f aca="false">VLOOKUP($A588,'Order Sales'!$A$2:$G$2154,F$1,FALSE())</f>
        <v>221.69</v>
      </c>
      <c r="G588" s="32" t="str">
        <f aca="false">VLOOKUP($A588,'Order Sales'!$A$2:$G$2154,G$1,FALSE())</f>
        <v>Consumer</v>
      </c>
    </row>
    <row r="589" customFormat="false" ht="14.25" hidden="false" customHeight="false" outlineLevel="0" collapsed="false">
      <c r="A589" s="1" t="n">
        <v>1529</v>
      </c>
      <c r="B589" s="30" t="n">
        <v>43234</v>
      </c>
      <c r="C589" s="30" t="n">
        <v>43711</v>
      </c>
      <c r="D589" s="31" t="n">
        <f aca="false">VLOOKUP(A589,'Order Shipping'!$A$2:$C$2000,3,FALSE())</f>
        <v>2.7</v>
      </c>
      <c r="E589" s="32" t="n">
        <f aca="false">VLOOKUP($A589,'Order Sales'!$A$2:$G$2154,E$1,FALSE())</f>
        <v>12</v>
      </c>
      <c r="F589" s="32" t="n">
        <f aca="false">VLOOKUP($A589,'Order Sales'!$A$2:$G$2154,F$1,FALSE())</f>
        <v>78.65</v>
      </c>
      <c r="G589" s="32" t="str">
        <f aca="false">VLOOKUP($A589,'Order Sales'!$A$2:$G$2154,G$1,FALSE())</f>
        <v>Small Business</v>
      </c>
    </row>
    <row r="590" customFormat="false" ht="14.25" hidden="false" customHeight="false" outlineLevel="0" collapsed="false">
      <c r="A590" s="1" t="n">
        <v>1589</v>
      </c>
      <c r="B590" s="30" t="n">
        <v>43364</v>
      </c>
      <c r="C590" s="30" t="n">
        <v>43712</v>
      </c>
      <c r="D590" s="31" t="n">
        <f aca="false">VLOOKUP(A590,'Order Shipping'!$A$2:$C$2000,3,FALSE())</f>
        <v>0.5</v>
      </c>
      <c r="E590" s="32" t="n">
        <f aca="false">VLOOKUP($A590,'Order Sales'!$A$2:$G$2154,E$1,FALSE())</f>
        <v>20</v>
      </c>
      <c r="F590" s="32" t="n">
        <f aca="false">VLOOKUP($A590,'Order Sales'!$A$2:$G$2154,F$1,FALSE())</f>
        <v>82.27</v>
      </c>
      <c r="G590" s="32" t="str">
        <f aca="false">VLOOKUP($A590,'Order Sales'!$A$2:$G$2154,G$1,FALSE())</f>
        <v>Small Business</v>
      </c>
    </row>
    <row r="591" customFormat="false" ht="14.25" hidden="false" customHeight="false" outlineLevel="0" collapsed="false">
      <c r="A591" s="1" t="n">
        <v>1920</v>
      </c>
      <c r="B591" s="30" t="n">
        <v>43136</v>
      </c>
      <c r="C591" s="30" t="n">
        <v>43713</v>
      </c>
      <c r="D591" s="31" t="n">
        <f aca="false">VLOOKUP(A591,'Order Shipping'!$A$2:$C$2000,3,FALSE())</f>
        <v>46.6</v>
      </c>
      <c r="E591" s="32" t="n">
        <f aca="false">VLOOKUP($A591,'Order Sales'!$A$2:$G$2154,E$1,FALSE())</f>
        <v>4</v>
      </c>
      <c r="F591" s="32" t="n">
        <f aca="false">VLOOKUP($A591,'Order Sales'!$A$2:$G$2154,F$1,FALSE())</f>
        <v>1370.38</v>
      </c>
      <c r="G591" s="32" t="str">
        <f aca="false">VLOOKUP($A591,'Order Sales'!$A$2:$G$2154,G$1,FALSE())</f>
        <v>Consumer</v>
      </c>
    </row>
    <row r="592" customFormat="false" ht="14.25" hidden="false" customHeight="false" outlineLevel="0" collapsed="false">
      <c r="A592" s="1" t="n">
        <v>1381</v>
      </c>
      <c r="B592" s="30" t="n">
        <v>43152</v>
      </c>
      <c r="C592" s="30" t="n">
        <v>43714</v>
      </c>
      <c r="D592" s="31" t="n">
        <f aca="false">VLOOKUP(A592,'Order Shipping'!$A$2:$C$2000,3,FALSE())</f>
        <v>1</v>
      </c>
      <c r="E592" s="32" t="n">
        <f aca="false">VLOOKUP($A592,'Order Sales'!$A$2:$G$2154,E$1,FALSE())</f>
        <v>19</v>
      </c>
      <c r="F592" s="32" t="n">
        <f aca="false">VLOOKUP($A592,'Order Sales'!$A$2:$G$2154,F$1,FALSE())</f>
        <v>70.46</v>
      </c>
      <c r="G592" s="32" t="str">
        <f aca="false">VLOOKUP($A592,'Order Sales'!$A$2:$G$2154,G$1,FALSE())</f>
        <v>Small Business</v>
      </c>
    </row>
    <row r="593" customFormat="false" ht="14.25" hidden="false" customHeight="false" outlineLevel="0" collapsed="false">
      <c r="A593" s="1" t="n">
        <v>2339</v>
      </c>
      <c r="B593" s="30" t="n">
        <v>43232</v>
      </c>
      <c r="C593" s="30" t="n">
        <v>43715</v>
      </c>
      <c r="D593" s="31" t="n">
        <f aca="false">VLOOKUP(A593,'Order Shipping'!$A$2:$C$2000,3,FALSE())</f>
        <v>2.7</v>
      </c>
      <c r="E593" s="32" t="n">
        <f aca="false">VLOOKUP($A593,'Order Sales'!$A$2:$G$2154,E$1,FALSE())</f>
        <v>42</v>
      </c>
      <c r="F593" s="32" t="n">
        <f aca="false">VLOOKUP($A593,'Order Sales'!$A$2:$G$2154,F$1,FALSE())</f>
        <v>163.23</v>
      </c>
      <c r="G593" s="32" t="str">
        <f aca="false">VLOOKUP($A593,'Order Sales'!$A$2:$G$2154,G$1,FALSE())</f>
        <v>Corporate</v>
      </c>
    </row>
    <row r="594" customFormat="false" ht="14.25" hidden="false" customHeight="false" outlineLevel="0" collapsed="false">
      <c r="A594" s="1" t="n">
        <v>1684</v>
      </c>
      <c r="B594" s="30" t="n">
        <v>43318</v>
      </c>
      <c r="C594" s="30" t="n">
        <v>43716</v>
      </c>
      <c r="D594" s="31" t="n">
        <f aca="false">VLOOKUP(A594,'Order Shipping'!$A$2:$C$2000,3,FALSE())</f>
        <v>21.4</v>
      </c>
      <c r="E594" s="32" t="n">
        <f aca="false">VLOOKUP($A594,'Order Sales'!$A$2:$G$2154,E$1,FALSE())</f>
        <v>17</v>
      </c>
      <c r="F594" s="32" t="n">
        <f aca="false">VLOOKUP($A594,'Order Sales'!$A$2:$G$2154,F$1,FALSE())</f>
        <v>1729.8</v>
      </c>
      <c r="G594" s="32" t="str">
        <f aca="false">VLOOKUP($A594,'Order Sales'!$A$2:$G$2154,G$1,FALSE())</f>
        <v>Corporate</v>
      </c>
    </row>
    <row r="595" customFormat="false" ht="14.25" hidden="false" customHeight="false" outlineLevel="0" collapsed="false">
      <c r="A595" s="1" t="n">
        <v>2251</v>
      </c>
      <c r="B595" s="30" t="n">
        <v>43209</v>
      </c>
      <c r="C595" s="30" t="n">
        <v>43717</v>
      </c>
      <c r="D595" s="31" t="n">
        <f aca="false">VLOOKUP(A595,'Order Shipping'!$A$2:$C$2000,3,FALSE())</f>
        <v>0.5</v>
      </c>
      <c r="E595" s="32" t="n">
        <f aca="false">VLOOKUP($A595,'Order Sales'!$A$2:$G$2154,E$1,FALSE())</f>
        <v>42</v>
      </c>
      <c r="F595" s="32" t="n">
        <f aca="false">VLOOKUP($A595,'Order Sales'!$A$2:$G$2154,F$1,FALSE())</f>
        <v>220.63</v>
      </c>
      <c r="G595" s="32" t="str">
        <f aca="false">VLOOKUP($A595,'Order Sales'!$A$2:$G$2154,G$1,FALSE())</f>
        <v>Corporate</v>
      </c>
    </row>
    <row r="596" customFormat="false" ht="14.25" hidden="false" customHeight="false" outlineLevel="0" collapsed="false">
      <c r="A596" s="1" t="n">
        <v>2617</v>
      </c>
      <c r="B596" s="30" t="n">
        <v>43165</v>
      </c>
      <c r="C596" s="30" t="n">
        <v>43718</v>
      </c>
      <c r="D596" s="31" t="n">
        <f aca="false">VLOOKUP(A596,'Order Shipping'!$A$2:$C$2000,3,FALSE())</f>
        <v>11.5</v>
      </c>
      <c r="E596" s="32" t="n">
        <f aca="false">VLOOKUP($A596,'Order Sales'!$A$2:$G$2154,E$1,FALSE())</f>
        <v>33</v>
      </c>
      <c r="F596" s="32" t="n">
        <f aca="false">VLOOKUP($A596,'Order Sales'!$A$2:$G$2154,F$1,FALSE())</f>
        <v>1810.47</v>
      </c>
      <c r="G596" s="32" t="str">
        <f aca="false">VLOOKUP($A596,'Order Sales'!$A$2:$G$2154,G$1,FALSE())</f>
        <v>Home Office</v>
      </c>
    </row>
    <row r="597" customFormat="false" ht="14.25" hidden="false" customHeight="false" outlineLevel="0" collapsed="false">
      <c r="A597" s="1" t="n">
        <v>1343</v>
      </c>
      <c r="B597" s="30" t="n">
        <v>43272</v>
      </c>
      <c r="C597" s="30" t="n">
        <v>43719</v>
      </c>
      <c r="D597" s="31" t="n">
        <f aca="false">VLOOKUP(A597,'Order Shipping'!$A$2:$C$2000,3,FALSE())</f>
        <v>5.9</v>
      </c>
      <c r="E597" s="32" t="n">
        <f aca="false">VLOOKUP($A597,'Order Sales'!$A$2:$G$2154,E$1,FALSE())</f>
        <v>15</v>
      </c>
      <c r="F597" s="32" t="n">
        <f aca="false">VLOOKUP($A597,'Order Sales'!$A$2:$G$2154,F$1,FALSE())</f>
        <v>333.82</v>
      </c>
      <c r="G597" s="32" t="str">
        <f aca="false">VLOOKUP($A597,'Order Sales'!$A$2:$G$2154,G$1,FALSE())</f>
        <v>Home Office</v>
      </c>
    </row>
    <row r="598" customFormat="false" ht="14.25" hidden="false" customHeight="false" outlineLevel="0" collapsed="false">
      <c r="A598" s="1" t="n">
        <v>2825</v>
      </c>
      <c r="B598" s="30" t="n">
        <v>43441</v>
      </c>
      <c r="C598" s="30" t="n">
        <v>43720</v>
      </c>
      <c r="D598" s="31" t="n">
        <f aca="false">VLOOKUP(A598,'Order Shipping'!$A$2:$C$2000,3,FALSE())</f>
        <v>4.8</v>
      </c>
      <c r="E598" s="32" t="n">
        <f aca="false">VLOOKUP($A598,'Order Sales'!$A$2:$G$2154,E$1,FALSE())</f>
        <v>28</v>
      </c>
      <c r="F598" s="32" t="n">
        <f aca="false">VLOOKUP($A598,'Order Sales'!$A$2:$G$2154,F$1,FALSE())</f>
        <v>1838.13</v>
      </c>
      <c r="G598" s="32" t="str">
        <f aca="false">VLOOKUP($A598,'Order Sales'!$A$2:$G$2154,G$1,FALSE())</f>
        <v>Home Office</v>
      </c>
    </row>
    <row r="599" customFormat="false" ht="14.25" hidden="false" customHeight="false" outlineLevel="0" collapsed="false">
      <c r="A599" s="1" t="n">
        <v>1719</v>
      </c>
      <c r="B599" s="30" t="n">
        <v>43140</v>
      </c>
      <c r="C599" s="30" t="n">
        <v>43721</v>
      </c>
      <c r="D599" s="31" t="n">
        <f aca="false">VLOOKUP(A599,'Order Shipping'!$A$2:$C$2000,3,FALSE())</f>
        <v>6.6</v>
      </c>
      <c r="E599" s="32" t="n">
        <f aca="false">VLOOKUP($A599,'Order Sales'!$A$2:$G$2154,E$1,FALSE())</f>
        <v>9</v>
      </c>
      <c r="F599" s="32" t="n">
        <f aca="false">VLOOKUP($A599,'Order Sales'!$A$2:$G$2154,F$1,FALSE())</f>
        <v>127.28</v>
      </c>
      <c r="G599" s="32" t="str">
        <f aca="false">VLOOKUP($A599,'Order Sales'!$A$2:$G$2154,G$1,FALSE())</f>
        <v>Home Office</v>
      </c>
    </row>
    <row r="600" customFormat="false" ht="14.25" hidden="false" customHeight="false" outlineLevel="0" collapsed="false">
      <c r="A600" s="1" t="n">
        <v>2255</v>
      </c>
      <c r="B600" s="30" t="n">
        <v>43392</v>
      </c>
      <c r="C600" s="30" t="n">
        <v>43722</v>
      </c>
      <c r="D600" s="31" t="n">
        <f aca="false">VLOOKUP(A600,'Order Shipping'!$A$2:$C$2000,3,FALSE())</f>
        <v>15</v>
      </c>
      <c r="E600" s="32" t="n">
        <f aca="false">VLOOKUP($A600,'Order Sales'!$A$2:$G$2154,E$1,FALSE())</f>
        <v>33</v>
      </c>
      <c r="F600" s="32" t="n">
        <f aca="false">VLOOKUP($A600,'Order Sales'!$A$2:$G$2154,F$1,FALSE())</f>
        <v>5514.79</v>
      </c>
      <c r="G600" s="32" t="str">
        <f aca="false">VLOOKUP($A600,'Order Sales'!$A$2:$G$2154,G$1,FALSE())</f>
        <v>Small Business</v>
      </c>
    </row>
    <row r="601" customFormat="false" ht="14.25" hidden="false" customHeight="false" outlineLevel="0" collapsed="false">
      <c r="A601" s="1" t="n">
        <v>2114</v>
      </c>
      <c r="B601" s="30" t="n">
        <v>43443</v>
      </c>
      <c r="C601" s="30" t="n">
        <v>43723</v>
      </c>
      <c r="D601" s="31" t="n">
        <f aca="false">VLOOKUP(A601,'Order Shipping'!$A$2:$C$2000,3,FALSE())</f>
        <v>68.7</v>
      </c>
      <c r="E601" s="32" t="n">
        <f aca="false">VLOOKUP($A601,'Order Sales'!$A$2:$G$2154,E$1,FALSE())</f>
        <v>32</v>
      </c>
      <c r="F601" s="32" t="n">
        <f aca="false">VLOOKUP($A601,'Order Sales'!$A$2:$G$2154,F$1,FALSE())</f>
        <v>7855.9</v>
      </c>
      <c r="G601" s="32" t="str">
        <f aca="false">VLOOKUP($A601,'Order Sales'!$A$2:$G$2154,G$1,FALSE())</f>
        <v>Consumer</v>
      </c>
    </row>
    <row r="602" customFormat="false" ht="14.25" hidden="false" customHeight="false" outlineLevel="0" collapsed="false">
      <c r="A602" s="1" t="n">
        <v>1822</v>
      </c>
      <c r="B602" s="30" t="n">
        <v>43187</v>
      </c>
      <c r="C602" s="30" t="n">
        <v>43724</v>
      </c>
      <c r="D602" s="31" t="n">
        <f aca="false">VLOOKUP(A602,'Order Shipping'!$A$2:$C$2000,3,FALSE())</f>
        <v>9.1</v>
      </c>
      <c r="E602" s="32" t="n">
        <f aca="false">VLOOKUP($A602,'Order Sales'!$A$2:$G$2154,E$1,FALSE())</f>
        <v>42</v>
      </c>
      <c r="F602" s="32" t="n">
        <f aca="false">VLOOKUP($A602,'Order Sales'!$A$2:$G$2154,F$1,FALSE())</f>
        <v>1226.34</v>
      </c>
      <c r="G602" s="32" t="str">
        <f aca="false">VLOOKUP($A602,'Order Sales'!$A$2:$G$2154,G$1,FALSE())</f>
        <v>Corporate</v>
      </c>
    </row>
    <row r="603" customFormat="false" ht="14.25" hidden="false" customHeight="false" outlineLevel="0" collapsed="false">
      <c r="A603" s="1" t="n">
        <v>1419</v>
      </c>
      <c r="B603" s="30" t="n">
        <v>43150</v>
      </c>
      <c r="C603" s="30" t="n">
        <v>43725</v>
      </c>
      <c r="D603" s="31" t="n">
        <f aca="false">VLOOKUP(A603,'Order Shipping'!$A$2:$C$2000,3,FALSE())</f>
        <v>7.7</v>
      </c>
      <c r="E603" s="32" t="n">
        <f aca="false">VLOOKUP($A603,'Order Sales'!$A$2:$G$2154,E$1,FALSE())</f>
        <v>42</v>
      </c>
      <c r="F603" s="32" t="n">
        <f aca="false">VLOOKUP($A603,'Order Sales'!$A$2:$G$2154,F$1,FALSE())</f>
        <v>1811.04</v>
      </c>
      <c r="G603" s="32" t="str">
        <f aca="false">VLOOKUP($A603,'Order Sales'!$A$2:$G$2154,G$1,FALSE())</f>
        <v>Corporate</v>
      </c>
    </row>
    <row r="604" customFormat="false" ht="14.25" hidden="false" customHeight="false" outlineLevel="0" collapsed="false">
      <c r="A604" s="1" t="n">
        <v>2112</v>
      </c>
      <c r="B604" s="30" t="n">
        <v>43415</v>
      </c>
      <c r="C604" s="30" t="n">
        <v>43726</v>
      </c>
      <c r="D604" s="31" t="n">
        <f aca="false">VLOOKUP(A604,'Order Shipping'!$A$2:$C$2000,3,FALSE())</f>
        <v>0.5</v>
      </c>
      <c r="E604" s="32" t="n">
        <f aca="false">VLOOKUP($A604,'Order Sales'!$A$2:$G$2154,E$1,FALSE())</f>
        <v>28</v>
      </c>
      <c r="F604" s="32" t="n">
        <f aca="false">VLOOKUP($A604,'Order Sales'!$A$2:$G$2154,F$1,FALSE())</f>
        <v>188.06</v>
      </c>
      <c r="G604" s="32" t="str">
        <f aca="false">VLOOKUP($A604,'Order Sales'!$A$2:$G$2154,G$1,FALSE())</f>
        <v>Small Business</v>
      </c>
    </row>
    <row r="605" customFormat="false" ht="14.25" hidden="false" customHeight="false" outlineLevel="0" collapsed="false">
      <c r="A605" s="1" t="n">
        <v>2042</v>
      </c>
      <c r="B605" s="30" t="n">
        <v>43366</v>
      </c>
      <c r="C605" s="30" t="n">
        <v>43727</v>
      </c>
      <c r="D605" s="31" t="n">
        <f aca="false">VLOOKUP(A605,'Order Shipping'!$A$2:$C$2000,3,FALSE())</f>
        <v>2.1</v>
      </c>
      <c r="E605" s="32" t="n">
        <f aca="false">VLOOKUP($A605,'Order Sales'!$A$2:$G$2154,E$1,FALSE())</f>
        <v>41</v>
      </c>
      <c r="F605" s="32" t="n">
        <f aca="false">VLOOKUP($A605,'Order Sales'!$A$2:$G$2154,F$1,FALSE())</f>
        <v>1389.17</v>
      </c>
      <c r="G605" s="32" t="str">
        <f aca="false">VLOOKUP($A605,'Order Sales'!$A$2:$G$2154,G$1,FALSE())</f>
        <v>Home Office</v>
      </c>
    </row>
    <row r="606" customFormat="false" ht="14.25" hidden="false" customHeight="false" outlineLevel="0" collapsed="false">
      <c r="A606" s="1" t="n">
        <v>1992</v>
      </c>
      <c r="B606" s="30" t="n">
        <v>43463</v>
      </c>
      <c r="C606" s="30" t="n">
        <v>43728</v>
      </c>
      <c r="D606" s="31" t="n">
        <f aca="false">VLOOKUP(A606,'Order Shipping'!$A$2:$C$2000,3,FALSE())</f>
        <v>2.5</v>
      </c>
      <c r="E606" s="32" t="n">
        <f aca="false">VLOOKUP($A606,'Order Sales'!$A$2:$G$2154,E$1,FALSE())</f>
        <v>44</v>
      </c>
      <c r="F606" s="32" t="n">
        <f aca="false">VLOOKUP($A606,'Order Sales'!$A$2:$G$2154,F$1,FALSE())</f>
        <v>388.14</v>
      </c>
      <c r="G606" s="32" t="str">
        <f aca="false">VLOOKUP($A606,'Order Sales'!$A$2:$G$2154,G$1,FALSE())</f>
        <v>Small Business</v>
      </c>
    </row>
    <row r="607" customFormat="false" ht="14.25" hidden="false" customHeight="false" outlineLevel="0" collapsed="false">
      <c r="A607" s="1" t="n">
        <v>1852</v>
      </c>
      <c r="B607" s="30" t="n">
        <v>43398</v>
      </c>
      <c r="C607" s="30" t="n">
        <v>43729</v>
      </c>
      <c r="D607" s="31" t="n">
        <f aca="false">VLOOKUP(A607,'Order Shipping'!$A$2:$C$2000,3,FALSE())</f>
        <v>1.1</v>
      </c>
      <c r="E607" s="32" t="n">
        <f aca="false">VLOOKUP($A607,'Order Sales'!$A$2:$G$2154,E$1,FALSE())</f>
        <v>28</v>
      </c>
      <c r="F607" s="32" t="n">
        <f aca="false">VLOOKUP($A607,'Order Sales'!$A$2:$G$2154,F$1,FALSE())</f>
        <v>81.04</v>
      </c>
      <c r="G607" s="32" t="str">
        <f aca="false">VLOOKUP($A607,'Order Sales'!$A$2:$G$2154,G$1,FALSE())</f>
        <v>Small Business</v>
      </c>
    </row>
    <row r="608" customFormat="false" ht="14.25" hidden="false" customHeight="false" outlineLevel="0" collapsed="false">
      <c r="A608" s="1" t="n">
        <v>1975</v>
      </c>
      <c r="B608" s="30" t="n">
        <v>43374</v>
      </c>
      <c r="C608" s="30" t="n">
        <v>43730</v>
      </c>
      <c r="D608" s="31" t="n">
        <f aca="false">VLOOKUP(A608,'Order Shipping'!$A$2:$C$2000,3,FALSE())</f>
        <v>25.4</v>
      </c>
      <c r="E608" s="32" t="n">
        <f aca="false">VLOOKUP($A608,'Order Sales'!$A$2:$G$2154,E$1,FALSE())</f>
        <v>40</v>
      </c>
      <c r="F608" s="32" t="n">
        <f aca="false">VLOOKUP($A608,'Order Sales'!$A$2:$G$2154,F$1,FALSE())</f>
        <v>8334.9</v>
      </c>
      <c r="G608" s="32" t="str">
        <f aca="false">VLOOKUP($A608,'Order Sales'!$A$2:$G$2154,G$1,FALSE())</f>
        <v>Corporate</v>
      </c>
    </row>
    <row r="609" customFormat="false" ht="14.25" hidden="false" customHeight="false" outlineLevel="0" collapsed="false">
      <c r="A609" s="1" t="n">
        <v>1142</v>
      </c>
      <c r="B609" s="30" t="n">
        <v>43110</v>
      </c>
      <c r="C609" s="30" t="n">
        <v>43731</v>
      </c>
      <c r="D609" s="31" t="n">
        <f aca="false">VLOOKUP(A609,'Order Shipping'!$A$2:$C$2000,3,FALSE())</f>
        <v>58.6</v>
      </c>
      <c r="E609" s="32" t="n">
        <f aca="false">VLOOKUP($A609,'Order Sales'!$A$2:$G$2154,E$1,FALSE())</f>
        <v>48</v>
      </c>
      <c r="F609" s="32" t="n">
        <f aca="false">VLOOKUP($A609,'Order Sales'!$A$2:$G$2154,F$1,FALSE())</f>
        <v>6851.63</v>
      </c>
      <c r="G609" s="32" t="str">
        <f aca="false">VLOOKUP($A609,'Order Sales'!$A$2:$G$2154,G$1,FALSE())</f>
        <v>Small Business</v>
      </c>
    </row>
    <row r="610" customFormat="false" ht="14.25" hidden="false" customHeight="false" outlineLevel="0" collapsed="false">
      <c r="A610" s="1" t="n">
        <v>1432</v>
      </c>
      <c r="B610" s="30" t="n">
        <v>43159</v>
      </c>
      <c r="C610" s="30" t="n">
        <v>43732</v>
      </c>
      <c r="D610" s="31" t="n">
        <f aca="false">VLOOKUP(A610,'Order Shipping'!$A$2:$C$2000,3,FALSE())</f>
        <v>0.7</v>
      </c>
      <c r="E610" s="32" t="n">
        <f aca="false">VLOOKUP($A610,'Order Sales'!$A$2:$G$2154,E$1,FALSE())</f>
        <v>31</v>
      </c>
      <c r="F610" s="32" t="n">
        <f aca="false">VLOOKUP($A610,'Order Sales'!$A$2:$G$2154,F$1,FALSE())</f>
        <v>57.06</v>
      </c>
      <c r="G610" s="32" t="str">
        <f aca="false">VLOOKUP($A610,'Order Sales'!$A$2:$G$2154,G$1,FALSE())</f>
        <v>Consumer</v>
      </c>
    </row>
    <row r="611" customFormat="false" ht="14.25" hidden="false" customHeight="false" outlineLevel="0" collapsed="false">
      <c r="A611" s="1" t="n">
        <v>2871</v>
      </c>
      <c r="B611" s="30" t="n">
        <v>43304</v>
      </c>
      <c r="C611" s="30" t="n">
        <v>43733</v>
      </c>
      <c r="D611" s="31" t="n">
        <f aca="false">VLOOKUP(A611,'Order Shipping'!$A$2:$C$2000,3,FALSE())</f>
        <v>4.8</v>
      </c>
      <c r="E611" s="32" t="n">
        <f aca="false">VLOOKUP($A611,'Order Sales'!$A$2:$G$2154,E$1,FALSE())</f>
        <v>16</v>
      </c>
      <c r="F611" s="32" t="n">
        <f aca="false">VLOOKUP($A611,'Order Sales'!$A$2:$G$2154,F$1,FALSE())</f>
        <v>639.26</v>
      </c>
      <c r="G611" s="32" t="str">
        <f aca="false">VLOOKUP($A611,'Order Sales'!$A$2:$G$2154,G$1,FALSE())</f>
        <v>Consumer</v>
      </c>
    </row>
    <row r="612" customFormat="false" ht="14.25" hidden="false" customHeight="false" outlineLevel="0" collapsed="false">
      <c r="A612" s="1" t="n">
        <v>1827</v>
      </c>
      <c r="B612" s="30" t="n">
        <v>43104</v>
      </c>
      <c r="C612" s="30" t="n">
        <v>43734</v>
      </c>
      <c r="D612" s="31" t="n">
        <f aca="false">VLOOKUP(A612,'Order Shipping'!$A$2:$C$2000,3,FALSE())</f>
        <v>59.7</v>
      </c>
      <c r="E612" s="32" t="n">
        <f aca="false">VLOOKUP($A612,'Order Sales'!$A$2:$G$2154,E$1,FALSE())</f>
        <v>5</v>
      </c>
      <c r="F612" s="32" t="n">
        <f aca="false">VLOOKUP($A612,'Order Sales'!$A$2:$G$2154,F$1,FALSE())</f>
        <v>510.81</v>
      </c>
      <c r="G612" s="32" t="str">
        <f aca="false">VLOOKUP($A612,'Order Sales'!$A$2:$G$2154,G$1,FALSE())</f>
        <v>Home Office</v>
      </c>
    </row>
    <row r="613" customFormat="false" ht="14.25" hidden="false" customHeight="false" outlineLevel="0" collapsed="false">
      <c r="A613" s="1" t="n">
        <v>2985</v>
      </c>
      <c r="B613" s="30" t="n">
        <v>43442</v>
      </c>
      <c r="C613" s="30" t="n">
        <v>43735</v>
      </c>
      <c r="D613" s="31" t="n">
        <f aca="false">VLOOKUP(A613,'Order Shipping'!$A$2:$C$2000,3,FALSE())</f>
        <v>6.2</v>
      </c>
      <c r="E613" s="32" t="n">
        <f aca="false">VLOOKUP($A613,'Order Sales'!$A$2:$G$2154,E$1,FALSE())</f>
        <v>28</v>
      </c>
      <c r="F613" s="32" t="n">
        <f aca="false">VLOOKUP($A613,'Order Sales'!$A$2:$G$2154,F$1,FALSE())</f>
        <v>374.95</v>
      </c>
      <c r="G613" s="32" t="str">
        <f aca="false">VLOOKUP($A613,'Order Sales'!$A$2:$G$2154,G$1,FALSE())</f>
        <v>Home Office</v>
      </c>
    </row>
    <row r="614" customFormat="false" ht="14.25" hidden="false" customHeight="false" outlineLevel="0" collapsed="false">
      <c r="A614" s="1" t="n">
        <v>1284</v>
      </c>
      <c r="B614" s="30" t="n">
        <v>43236</v>
      </c>
      <c r="C614" s="30" t="n">
        <v>43736</v>
      </c>
      <c r="D614" s="31" t="n">
        <f aca="false">VLOOKUP(A614,'Order Shipping'!$A$2:$C$2000,3,FALSE())</f>
        <v>1.6</v>
      </c>
      <c r="E614" s="32" t="n">
        <f aca="false">VLOOKUP($A614,'Order Sales'!$A$2:$G$2154,E$1,FALSE())</f>
        <v>5</v>
      </c>
      <c r="F614" s="32" t="n">
        <f aca="false">VLOOKUP($A614,'Order Sales'!$A$2:$G$2154,F$1,FALSE())</f>
        <v>25.85</v>
      </c>
      <c r="G614" s="32" t="str">
        <f aca="false">VLOOKUP($A614,'Order Sales'!$A$2:$G$2154,G$1,FALSE())</f>
        <v>Consumer</v>
      </c>
    </row>
    <row r="615" customFormat="false" ht="14.25" hidden="false" customHeight="false" outlineLevel="0" collapsed="false">
      <c r="A615" s="1" t="n">
        <v>1307</v>
      </c>
      <c r="B615" s="30" t="n">
        <v>43354</v>
      </c>
      <c r="C615" s="30" t="n">
        <v>43737</v>
      </c>
      <c r="D615" s="31" t="n">
        <f aca="false">VLOOKUP(A615,'Order Shipping'!$A$2:$C$2000,3,FALSE())</f>
        <v>1.6</v>
      </c>
      <c r="E615" s="32" t="n">
        <f aca="false">VLOOKUP($A615,'Order Sales'!$A$2:$G$2154,E$1,FALSE())</f>
        <v>6</v>
      </c>
      <c r="F615" s="32" t="n">
        <f aca="false">VLOOKUP($A615,'Order Sales'!$A$2:$G$2154,F$1,FALSE())</f>
        <v>13.49</v>
      </c>
      <c r="G615" s="32" t="str">
        <f aca="false">VLOOKUP($A615,'Order Sales'!$A$2:$G$2154,G$1,FALSE())</f>
        <v>Corporate</v>
      </c>
    </row>
    <row r="616" customFormat="false" ht="14.25" hidden="false" customHeight="false" outlineLevel="0" collapsed="false">
      <c r="A616" s="1" t="n">
        <v>2978</v>
      </c>
      <c r="B616" s="30" t="n">
        <v>43127</v>
      </c>
      <c r="C616" s="30" t="n">
        <v>43738</v>
      </c>
      <c r="D616" s="31" t="n">
        <f aca="false">VLOOKUP(A616,'Order Shipping'!$A$2:$C$2000,3,FALSE())</f>
        <v>2.1</v>
      </c>
      <c r="E616" s="32" t="n">
        <f aca="false">VLOOKUP($A616,'Order Sales'!$A$2:$G$2154,E$1,FALSE())</f>
        <v>10</v>
      </c>
      <c r="F616" s="32" t="n">
        <f aca="false">VLOOKUP($A616,'Order Sales'!$A$2:$G$2154,F$1,FALSE())</f>
        <v>285.63</v>
      </c>
      <c r="G616" s="32" t="str">
        <f aca="false">VLOOKUP($A616,'Order Sales'!$A$2:$G$2154,G$1,FALSE())</f>
        <v>Corporate</v>
      </c>
    </row>
    <row r="617" customFormat="false" ht="14.25" hidden="false" customHeight="false" outlineLevel="0" collapsed="false">
      <c r="A617" s="1" t="n">
        <v>2391</v>
      </c>
      <c r="B617" s="30" t="n">
        <v>43135</v>
      </c>
      <c r="C617" s="30" t="n">
        <v>43739</v>
      </c>
      <c r="D617" s="31" t="n">
        <f aca="false">VLOOKUP(A617,'Order Shipping'!$A$2:$C$2000,3,FALSE())</f>
        <v>8.8</v>
      </c>
      <c r="E617" s="32" t="n">
        <f aca="false">VLOOKUP($A617,'Order Sales'!$A$2:$G$2154,E$1,FALSE())</f>
        <v>43</v>
      </c>
      <c r="F617" s="32" t="n">
        <f aca="false">VLOOKUP($A617,'Order Sales'!$A$2:$G$2154,F$1,FALSE())</f>
        <v>1672.08</v>
      </c>
      <c r="G617" s="32" t="str">
        <f aca="false">VLOOKUP($A617,'Order Sales'!$A$2:$G$2154,G$1,FALSE())</f>
        <v>Small Business</v>
      </c>
    </row>
    <row r="618" customFormat="false" ht="14.25" hidden="false" customHeight="false" outlineLevel="0" collapsed="false">
      <c r="A618" s="1" t="n">
        <v>1957</v>
      </c>
      <c r="B618" s="30" t="n">
        <v>43189</v>
      </c>
      <c r="C618" s="30" t="n">
        <v>43740</v>
      </c>
      <c r="D618" s="31" t="n">
        <f aca="false">VLOOKUP(A618,'Order Shipping'!$A$2:$C$2000,3,FALSE())</f>
        <v>8.9</v>
      </c>
      <c r="E618" s="32" t="n">
        <f aca="false">VLOOKUP($A618,'Order Sales'!$A$2:$G$2154,E$1,FALSE())</f>
        <v>9</v>
      </c>
      <c r="F618" s="32" t="n">
        <f aca="false">VLOOKUP($A618,'Order Sales'!$A$2:$G$2154,F$1,FALSE())</f>
        <v>63.5</v>
      </c>
      <c r="G618" s="32" t="str">
        <f aca="false">VLOOKUP($A618,'Order Sales'!$A$2:$G$2154,G$1,FALSE())</f>
        <v>Consumer</v>
      </c>
    </row>
    <row r="619" customFormat="false" ht="14.25" hidden="false" customHeight="false" outlineLevel="0" collapsed="false">
      <c r="A619" s="1" t="n">
        <v>2031</v>
      </c>
      <c r="B619" s="30" t="n">
        <v>43220</v>
      </c>
      <c r="C619" s="30" t="n">
        <v>43741</v>
      </c>
      <c r="D619" s="31" t="n">
        <f aca="false">VLOOKUP(A619,'Order Shipping'!$A$2:$C$2000,3,FALSE())</f>
        <v>43</v>
      </c>
      <c r="E619" s="32" t="n">
        <f aca="false">VLOOKUP($A619,'Order Sales'!$A$2:$G$2154,E$1,FALSE())</f>
        <v>13</v>
      </c>
      <c r="F619" s="32" t="n">
        <f aca="false">VLOOKUP($A619,'Order Sales'!$A$2:$G$2154,F$1,FALSE())</f>
        <v>4626.99</v>
      </c>
      <c r="G619" s="32" t="str">
        <f aca="false">VLOOKUP($A619,'Order Sales'!$A$2:$G$2154,G$1,FALSE())</f>
        <v>Corporate</v>
      </c>
    </row>
    <row r="620" customFormat="false" ht="14.25" hidden="false" customHeight="false" outlineLevel="0" collapsed="false">
      <c r="A620" s="1" t="n">
        <v>1400</v>
      </c>
      <c r="B620" s="30" t="n">
        <v>43447</v>
      </c>
      <c r="C620" s="30" t="n">
        <v>43742</v>
      </c>
      <c r="D620" s="31" t="n">
        <f aca="false">VLOOKUP(A620,'Order Shipping'!$A$2:$C$2000,3,FALSE())</f>
        <v>5.6</v>
      </c>
      <c r="E620" s="32" t="n">
        <f aca="false">VLOOKUP($A620,'Order Sales'!$A$2:$G$2154,E$1,FALSE())</f>
        <v>2</v>
      </c>
      <c r="F620" s="32" t="n">
        <f aca="false">VLOOKUP($A620,'Order Sales'!$A$2:$G$2154,F$1,FALSE())</f>
        <v>20.33</v>
      </c>
      <c r="G620" s="32" t="str">
        <f aca="false">VLOOKUP($A620,'Order Sales'!$A$2:$G$2154,G$1,FALSE())</f>
        <v>Corporate</v>
      </c>
    </row>
    <row r="621" customFormat="false" ht="14.25" hidden="false" customHeight="false" outlineLevel="0" collapsed="false">
      <c r="A621" s="1" t="n">
        <v>2998</v>
      </c>
      <c r="B621" s="30" t="n">
        <v>43451</v>
      </c>
      <c r="C621" s="30" t="n">
        <v>43743</v>
      </c>
      <c r="D621" s="31" t="n">
        <f aca="false">VLOOKUP(A621,'Order Shipping'!$A$2:$C$2000,3,FALSE())</f>
        <v>2.3</v>
      </c>
      <c r="E621" s="32" t="n">
        <f aca="false">VLOOKUP($A621,'Order Sales'!$A$2:$G$2154,E$1,FALSE())</f>
        <v>1</v>
      </c>
      <c r="F621" s="32" t="n">
        <f aca="false">VLOOKUP($A621,'Order Sales'!$A$2:$G$2154,F$1,FALSE())</f>
        <v>11.33</v>
      </c>
      <c r="G621" s="32" t="str">
        <f aca="false">VLOOKUP($A621,'Order Sales'!$A$2:$G$2154,G$1,FALSE())</f>
        <v>Corporate</v>
      </c>
    </row>
    <row r="622" customFormat="false" ht="14.25" hidden="false" customHeight="false" outlineLevel="0" collapsed="false">
      <c r="A622" s="1" t="n">
        <v>1965</v>
      </c>
      <c r="B622" s="30" t="n">
        <v>43361</v>
      </c>
      <c r="C622" s="30" t="n">
        <v>43744</v>
      </c>
      <c r="D622" s="31" t="n">
        <f aca="false">VLOOKUP(A622,'Order Shipping'!$A$2:$C$2000,3,FALSE())</f>
        <v>21.4</v>
      </c>
      <c r="E622" s="32" t="n">
        <f aca="false">VLOOKUP($A622,'Order Sales'!$A$2:$G$2154,E$1,FALSE())</f>
        <v>41</v>
      </c>
      <c r="F622" s="32" t="n">
        <f aca="false">VLOOKUP($A622,'Order Sales'!$A$2:$G$2154,F$1,FALSE())</f>
        <v>7344.43</v>
      </c>
      <c r="G622" s="32" t="str">
        <f aca="false">VLOOKUP($A622,'Order Sales'!$A$2:$G$2154,G$1,FALSE())</f>
        <v>Consumer</v>
      </c>
    </row>
    <row r="623" customFormat="false" ht="14.25" hidden="false" customHeight="false" outlineLevel="0" collapsed="false">
      <c r="A623" s="1" t="n">
        <v>1710</v>
      </c>
      <c r="B623" s="30" t="n">
        <v>43137</v>
      </c>
      <c r="C623" s="30" t="n">
        <v>43745</v>
      </c>
      <c r="D623" s="31" t="n">
        <f aca="false">VLOOKUP(A623,'Order Shipping'!$A$2:$C$2000,3,FALSE())</f>
        <v>60.1</v>
      </c>
      <c r="E623" s="32" t="n">
        <f aca="false">VLOOKUP($A623,'Order Sales'!$A$2:$G$2154,E$1,FALSE())</f>
        <v>37</v>
      </c>
      <c r="F623" s="32" t="n">
        <f aca="false">VLOOKUP($A623,'Order Sales'!$A$2:$G$2154,F$1,FALSE())</f>
        <v>3586.16</v>
      </c>
      <c r="G623" s="32" t="str">
        <f aca="false">VLOOKUP($A623,'Order Sales'!$A$2:$G$2154,G$1,FALSE())</f>
        <v>Home Office</v>
      </c>
    </row>
    <row r="624" customFormat="false" ht="14.25" hidden="false" customHeight="false" outlineLevel="0" collapsed="false">
      <c r="A624" s="1" t="n">
        <v>2574</v>
      </c>
      <c r="B624" s="30" t="n">
        <v>43303</v>
      </c>
      <c r="C624" s="30" t="n">
        <v>43746</v>
      </c>
      <c r="D624" s="31" t="n">
        <f aca="false">VLOOKUP(A624,'Order Shipping'!$A$2:$C$2000,3,FALSE())</f>
        <v>9.3</v>
      </c>
      <c r="E624" s="32" t="n">
        <f aca="false">VLOOKUP($A624,'Order Sales'!$A$2:$G$2154,E$1,FALSE())</f>
        <v>22</v>
      </c>
      <c r="F624" s="32" t="n">
        <f aca="false">VLOOKUP($A624,'Order Sales'!$A$2:$G$2154,F$1,FALSE())</f>
        <v>695.19</v>
      </c>
      <c r="G624" s="32" t="str">
        <f aca="false">VLOOKUP($A624,'Order Sales'!$A$2:$G$2154,G$1,FALSE())</f>
        <v>Corporate</v>
      </c>
    </row>
    <row r="625" customFormat="false" ht="14.25" hidden="false" customHeight="false" outlineLevel="0" collapsed="false">
      <c r="A625" s="1" t="n">
        <v>1853</v>
      </c>
      <c r="B625" s="30" t="n">
        <v>43284</v>
      </c>
      <c r="C625" s="30" t="n">
        <v>43747</v>
      </c>
      <c r="D625" s="31" t="n">
        <f aca="false">VLOOKUP(A625,'Order Shipping'!$A$2:$C$2000,3,FALSE())</f>
        <v>13.4</v>
      </c>
      <c r="E625" s="32" t="n">
        <f aca="false">VLOOKUP($A625,'Order Sales'!$A$2:$G$2154,E$1,FALSE())</f>
        <v>49</v>
      </c>
      <c r="F625" s="32" t="n">
        <f aca="false">VLOOKUP($A625,'Order Sales'!$A$2:$G$2154,F$1,FALSE())</f>
        <v>545.86</v>
      </c>
      <c r="G625" s="32" t="str">
        <f aca="false">VLOOKUP($A625,'Order Sales'!$A$2:$G$2154,G$1,FALSE())</f>
        <v>Corporate</v>
      </c>
    </row>
    <row r="626" customFormat="false" ht="14.25" hidden="false" customHeight="false" outlineLevel="0" collapsed="false">
      <c r="A626" s="1" t="n">
        <v>1166</v>
      </c>
      <c r="B626" s="30" t="n">
        <v>43401</v>
      </c>
      <c r="C626" s="30" t="n">
        <v>43748</v>
      </c>
      <c r="D626" s="31" t="n">
        <f aca="false">VLOOKUP(A626,'Order Shipping'!$A$2:$C$2000,3,FALSE())</f>
        <v>69.2</v>
      </c>
      <c r="E626" s="32" t="n">
        <f aca="false">VLOOKUP($A626,'Order Sales'!$A$2:$G$2154,E$1,FALSE())</f>
        <v>3</v>
      </c>
      <c r="F626" s="32" t="n">
        <f aca="false">VLOOKUP($A626,'Order Sales'!$A$2:$G$2154,F$1,FALSE())</f>
        <v>758.67</v>
      </c>
      <c r="G626" s="32" t="str">
        <f aca="false">VLOOKUP($A626,'Order Sales'!$A$2:$G$2154,G$1,FALSE())</f>
        <v>Consumer</v>
      </c>
    </row>
    <row r="627" customFormat="false" ht="14.25" hidden="false" customHeight="false" outlineLevel="0" collapsed="false">
      <c r="A627" s="1" t="n">
        <v>1088</v>
      </c>
      <c r="B627" s="30" t="n">
        <v>43295</v>
      </c>
      <c r="C627" s="30" t="n">
        <v>43749</v>
      </c>
      <c r="D627" s="31" t="n">
        <f aca="false">VLOOKUP(A627,'Order Shipping'!$A$2:$C$2000,3,FALSE())</f>
        <v>19.1</v>
      </c>
      <c r="E627" s="32" t="n">
        <f aca="false">VLOOKUP($A627,'Order Sales'!$A$2:$G$2154,E$1,FALSE())</f>
        <v>30</v>
      </c>
      <c r="F627" s="32" t="n">
        <f aca="false">VLOOKUP($A627,'Order Sales'!$A$2:$G$2154,F$1,FALSE())</f>
        <v>4437.79</v>
      </c>
      <c r="G627" s="32" t="str">
        <f aca="false">VLOOKUP($A627,'Order Sales'!$A$2:$G$2154,G$1,FALSE())</f>
        <v>Corporate</v>
      </c>
    </row>
    <row r="628" customFormat="false" ht="14.25" hidden="false" customHeight="false" outlineLevel="0" collapsed="false">
      <c r="A628" s="1" t="n">
        <v>1070</v>
      </c>
      <c r="B628" s="30" t="n">
        <v>43137</v>
      </c>
      <c r="C628" s="30" t="n">
        <v>43750</v>
      </c>
      <c r="D628" s="31" t="n">
        <f aca="false">VLOOKUP(A628,'Order Shipping'!$A$2:$C$2000,3,FALSE())</f>
        <v>37.5</v>
      </c>
      <c r="E628" s="32" t="n">
        <f aca="false">VLOOKUP($A628,'Order Sales'!$A$2:$G$2154,E$1,FALSE())</f>
        <v>36</v>
      </c>
      <c r="F628" s="32" t="n">
        <f aca="false">VLOOKUP($A628,'Order Sales'!$A$2:$G$2154,F$1,FALSE())</f>
        <v>1311.31</v>
      </c>
      <c r="G628" s="32" t="str">
        <f aca="false">VLOOKUP($A628,'Order Sales'!$A$2:$G$2154,G$1,FALSE())</f>
        <v>Corporate</v>
      </c>
    </row>
    <row r="629" customFormat="false" ht="14.25" hidden="false" customHeight="false" outlineLevel="0" collapsed="false">
      <c r="A629" s="1" t="n">
        <v>2770</v>
      </c>
      <c r="B629" s="30" t="n">
        <v>43411</v>
      </c>
      <c r="C629" s="30" t="n">
        <v>43751</v>
      </c>
      <c r="D629" s="31" t="n">
        <f aca="false">VLOOKUP(A629,'Order Shipping'!$A$2:$C$2000,3,FALSE())</f>
        <v>1.5</v>
      </c>
      <c r="E629" s="32" t="n">
        <f aca="false">VLOOKUP($A629,'Order Sales'!$A$2:$G$2154,E$1,FALSE())</f>
        <v>16</v>
      </c>
      <c r="F629" s="32" t="n">
        <f aca="false">VLOOKUP($A629,'Order Sales'!$A$2:$G$2154,F$1,FALSE())</f>
        <v>146.57</v>
      </c>
      <c r="G629" s="32" t="str">
        <f aca="false">VLOOKUP($A629,'Order Sales'!$A$2:$G$2154,G$1,FALSE())</f>
        <v>Corporate</v>
      </c>
    </row>
    <row r="630" customFormat="false" ht="14.25" hidden="false" customHeight="false" outlineLevel="0" collapsed="false">
      <c r="A630" s="1" t="n">
        <v>1970</v>
      </c>
      <c r="B630" s="30" t="n">
        <v>43392</v>
      </c>
      <c r="C630" s="30" t="n">
        <v>43752</v>
      </c>
      <c r="D630" s="31" t="n">
        <f aca="false">VLOOKUP(A630,'Order Shipping'!$A$2:$C$2000,3,FALSE())</f>
        <v>25.4</v>
      </c>
      <c r="E630" s="32" t="n">
        <f aca="false">VLOOKUP($A630,'Order Sales'!$A$2:$G$2154,E$1,FALSE())</f>
        <v>12</v>
      </c>
      <c r="F630" s="32" t="n">
        <f aca="false">VLOOKUP($A630,'Order Sales'!$A$2:$G$2154,F$1,FALSE())</f>
        <v>2425.37</v>
      </c>
      <c r="G630" s="32" t="str">
        <f aca="false">VLOOKUP($A630,'Order Sales'!$A$2:$G$2154,G$1,FALSE())</f>
        <v>Home Office</v>
      </c>
    </row>
    <row r="631" customFormat="false" ht="14.25" hidden="false" customHeight="false" outlineLevel="0" collapsed="false">
      <c r="A631" s="1" t="n">
        <v>1509</v>
      </c>
      <c r="B631" s="30" t="n">
        <v>43117</v>
      </c>
      <c r="C631" s="30" t="n">
        <v>43753</v>
      </c>
      <c r="D631" s="31" t="n">
        <f aca="false">VLOOKUP(A631,'Order Shipping'!$A$2:$C$2000,3,FALSE())</f>
        <v>69.3</v>
      </c>
      <c r="E631" s="32" t="n">
        <f aca="false">VLOOKUP($A631,'Order Sales'!$A$2:$G$2154,E$1,FALSE())</f>
        <v>18</v>
      </c>
      <c r="F631" s="32" t="n">
        <f aca="false">VLOOKUP($A631,'Order Sales'!$A$2:$G$2154,F$1,FALSE())</f>
        <v>5783.82</v>
      </c>
      <c r="G631" s="32" t="str">
        <f aca="false">VLOOKUP($A631,'Order Sales'!$A$2:$G$2154,G$1,FALSE())</f>
        <v>Home Office</v>
      </c>
    </row>
    <row r="632" customFormat="false" ht="14.25" hidden="false" customHeight="false" outlineLevel="0" collapsed="false">
      <c r="A632" s="1" t="n">
        <v>1375</v>
      </c>
      <c r="B632" s="30" t="n">
        <v>43272</v>
      </c>
      <c r="C632" s="30" t="n">
        <v>43754</v>
      </c>
      <c r="D632" s="31" t="n">
        <f aca="false">VLOOKUP(A632,'Order Shipping'!$A$2:$C$2000,3,FALSE())</f>
        <v>9.6</v>
      </c>
      <c r="E632" s="32" t="n">
        <f aca="false">VLOOKUP($A632,'Order Sales'!$A$2:$G$2154,E$1,FALSE())</f>
        <v>23</v>
      </c>
      <c r="F632" s="32" t="n">
        <f aca="false">VLOOKUP($A632,'Order Sales'!$A$2:$G$2154,F$1,FALSE())</f>
        <v>3177.51</v>
      </c>
      <c r="G632" s="32" t="str">
        <f aca="false">VLOOKUP($A632,'Order Sales'!$A$2:$G$2154,G$1,FALSE())</f>
        <v>Consumer</v>
      </c>
    </row>
    <row r="633" customFormat="false" ht="14.25" hidden="false" customHeight="false" outlineLevel="0" collapsed="false">
      <c r="A633" s="1" t="n">
        <v>2129</v>
      </c>
      <c r="B633" s="30" t="n">
        <v>43389</v>
      </c>
      <c r="C633" s="30" t="n">
        <v>43755</v>
      </c>
      <c r="D633" s="31" t="n">
        <f aca="false">VLOOKUP(A633,'Order Shipping'!$A$2:$C$2000,3,FALSE())</f>
        <v>5.2</v>
      </c>
      <c r="E633" s="32" t="n">
        <f aca="false">VLOOKUP($A633,'Order Sales'!$A$2:$G$2154,E$1,FALSE())</f>
        <v>13</v>
      </c>
      <c r="F633" s="32" t="n">
        <f aca="false">VLOOKUP($A633,'Order Sales'!$A$2:$G$2154,F$1,FALSE())</f>
        <v>397.98</v>
      </c>
      <c r="G633" s="32" t="str">
        <f aca="false">VLOOKUP($A633,'Order Sales'!$A$2:$G$2154,G$1,FALSE())</f>
        <v>Corporate</v>
      </c>
    </row>
    <row r="634" customFormat="false" ht="14.25" hidden="false" customHeight="false" outlineLevel="0" collapsed="false">
      <c r="A634" s="1" t="n">
        <v>1765</v>
      </c>
      <c r="B634" s="30" t="n">
        <v>43146</v>
      </c>
      <c r="C634" s="30" t="n">
        <v>43756</v>
      </c>
      <c r="D634" s="31" t="n">
        <f aca="false">VLOOKUP(A634,'Order Shipping'!$A$2:$C$2000,3,FALSE())</f>
        <v>2.1</v>
      </c>
      <c r="E634" s="32" t="n">
        <f aca="false">VLOOKUP($A634,'Order Sales'!$A$2:$G$2154,E$1,FALSE())</f>
        <v>12</v>
      </c>
      <c r="F634" s="32" t="n">
        <f aca="false">VLOOKUP($A634,'Order Sales'!$A$2:$G$2154,F$1,FALSE())</f>
        <v>31.79</v>
      </c>
      <c r="G634" s="32" t="str">
        <f aca="false">VLOOKUP($A634,'Order Sales'!$A$2:$G$2154,G$1,FALSE())</f>
        <v>Consumer</v>
      </c>
    </row>
    <row r="635" customFormat="false" ht="14.25" hidden="false" customHeight="false" outlineLevel="0" collapsed="false">
      <c r="A635" s="1" t="n">
        <v>1477</v>
      </c>
      <c r="B635" s="30" t="n">
        <v>43419</v>
      </c>
      <c r="C635" s="30" t="n">
        <v>43757</v>
      </c>
      <c r="D635" s="31" t="n">
        <f aca="false">VLOOKUP(A635,'Order Shipping'!$A$2:$C$2000,3,FALSE())</f>
        <v>5.1</v>
      </c>
      <c r="E635" s="32" t="n">
        <f aca="false">VLOOKUP($A635,'Order Sales'!$A$2:$G$2154,E$1,FALSE())</f>
        <v>48</v>
      </c>
      <c r="F635" s="32" t="n">
        <f aca="false">VLOOKUP($A635,'Order Sales'!$A$2:$G$2154,F$1,FALSE())</f>
        <v>275.79</v>
      </c>
      <c r="G635" s="32" t="str">
        <f aca="false">VLOOKUP($A635,'Order Sales'!$A$2:$G$2154,G$1,FALSE())</f>
        <v>Corporate</v>
      </c>
    </row>
    <row r="636" customFormat="false" ht="14.25" hidden="false" customHeight="false" outlineLevel="0" collapsed="false">
      <c r="A636" s="1" t="n">
        <v>2572</v>
      </c>
      <c r="B636" s="30" t="n">
        <v>43259</v>
      </c>
      <c r="C636" s="30" t="n">
        <v>43758</v>
      </c>
      <c r="D636" s="31" t="n">
        <f aca="false">VLOOKUP(A636,'Order Shipping'!$A$2:$C$2000,3,FALSE())</f>
        <v>2.4</v>
      </c>
      <c r="E636" s="32" t="n">
        <f aca="false">VLOOKUP($A636,'Order Sales'!$A$2:$G$2154,E$1,FALSE())</f>
        <v>18</v>
      </c>
      <c r="F636" s="32" t="n">
        <f aca="false">VLOOKUP($A636,'Order Sales'!$A$2:$G$2154,F$1,FALSE())</f>
        <v>118.03</v>
      </c>
      <c r="G636" s="32" t="str">
        <f aca="false">VLOOKUP($A636,'Order Sales'!$A$2:$G$2154,G$1,FALSE())</f>
        <v>Corporate</v>
      </c>
    </row>
    <row r="637" customFormat="false" ht="14.25" hidden="false" customHeight="false" outlineLevel="0" collapsed="false">
      <c r="A637" s="1" t="n">
        <v>2986</v>
      </c>
      <c r="B637" s="30" t="n">
        <v>43442</v>
      </c>
      <c r="C637" s="30" t="n">
        <v>43759</v>
      </c>
      <c r="D637" s="31" t="n">
        <f aca="false">VLOOKUP(A637,'Order Shipping'!$A$2:$C$2000,3,FALSE())</f>
        <v>4.9</v>
      </c>
      <c r="E637" s="32" t="n">
        <f aca="false">VLOOKUP($A637,'Order Sales'!$A$2:$G$2154,E$1,FALSE())</f>
        <v>4</v>
      </c>
      <c r="F637" s="32" t="n">
        <f aca="false">VLOOKUP($A637,'Order Sales'!$A$2:$G$2154,F$1,FALSE())</f>
        <v>182.38</v>
      </c>
      <c r="G637" s="32" t="str">
        <f aca="false">VLOOKUP($A637,'Order Sales'!$A$2:$G$2154,G$1,FALSE())</f>
        <v>Home Office</v>
      </c>
    </row>
    <row r="638" customFormat="false" ht="14.25" hidden="false" customHeight="false" outlineLevel="0" collapsed="false">
      <c r="A638" s="1" t="n">
        <v>1902</v>
      </c>
      <c r="B638" s="30" t="n">
        <v>43350</v>
      </c>
      <c r="C638" s="30" t="n">
        <v>43760</v>
      </c>
      <c r="D638" s="31" t="n">
        <f aca="false">VLOOKUP(A638,'Order Shipping'!$A$2:$C$2000,3,FALSE())</f>
        <v>2.1</v>
      </c>
      <c r="E638" s="32" t="n">
        <f aca="false">VLOOKUP($A638,'Order Sales'!$A$2:$G$2154,E$1,FALSE())</f>
        <v>9</v>
      </c>
      <c r="F638" s="32" t="n">
        <f aca="false">VLOOKUP($A638,'Order Sales'!$A$2:$G$2154,F$1,FALSE())</f>
        <v>1103.23</v>
      </c>
      <c r="G638" s="32" t="str">
        <f aca="false">VLOOKUP($A638,'Order Sales'!$A$2:$G$2154,G$1,FALSE())</f>
        <v>Corporate</v>
      </c>
    </row>
    <row r="639" customFormat="false" ht="14.25" hidden="false" customHeight="false" outlineLevel="0" collapsed="false">
      <c r="A639" s="1" t="n">
        <v>2011</v>
      </c>
      <c r="B639" s="30" t="n">
        <v>43182</v>
      </c>
      <c r="C639" s="30" t="n">
        <v>43761</v>
      </c>
      <c r="D639" s="31" t="n">
        <f aca="false">VLOOKUP(A639,'Order Shipping'!$A$2:$C$2000,3,FALSE())</f>
        <v>8.1</v>
      </c>
      <c r="E639" s="32" t="n">
        <f aca="false">VLOOKUP($A639,'Order Sales'!$A$2:$G$2154,E$1,FALSE())</f>
        <v>13</v>
      </c>
      <c r="F639" s="32" t="n">
        <f aca="false">VLOOKUP($A639,'Order Sales'!$A$2:$G$2154,F$1,FALSE())</f>
        <v>82.19</v>
      </c>
      <c r="G639" s="32" t="str">
        <f aca="false">VLOOKUP($A639,'Order Sales'!$A$2:$G$2154,G$1,FALSE())</f>
        <v>Home Office</v>
      </c>
    </row>
    <row r="640" customFormat="false" ht="14.25" hidden="false" customHeight="false" outlineLevel="0" collapsed="false">
      <c r="A640" s="1" t="n">
        <v>2194</v>
      </c>
      <c r="B640" s="30" t="n">
        <v>43105</v>
      </c>
      <c r="C640" s="30" t="n">
        <v>43762</v>
      </c>
      <c r="D640" s="31" t="n">
        <f aca="false">VLOOKUP(A640,'Order Shipping'!$A$2:$C$2000,3,FALSE())</f>
        <v>91.6</v>
      </c>
      <c r="E640" s="32" t="n">
        <f aca="false">VLOOKUP($A640,'Order Sales'!$A$2:$G$2154,E$1,FALSE())</f>
        <v>15</v>
      </c>
      <c r="F640" s="32" t="n">
        <f aca="false">VLOOKUP($A640,'Order Sales'!$A$2:$G$2154,F$1,FALSE())</f>
        <v>6113.42</v>
      </c>
      <c r="G640" s="32" t="str">
        <f aca="false">VLOOKUP($A640,'Order Sales'!$A$2:$G$2154,G$1,FALSE())</f>
        <v>Corporate</v>
      </c>
    </row>
    <row r="641" customFormat="false" ht="14.25" hidden="false" customHeight="false" outlineLevel="0" collapsed="false">
      <c r="A641" s="1" t="n">
        <v>1339</v>
      </c>
      <c r="B641" s="30" t="n">
        <v>43209</v>
      </c>
      <c r="C641" s="30" t="n">
        <v>43763</v>
      </c>
      <c r="D641" s="31" t="n">
        <f aca="false">VLOOKUP(A641,'Order Shipping'!$A$2:$C$2000,3,FALSE())</f>
        <v>9.6</v>
      </c>
      <c r="E641" s="32" t="n">
        <f aca="false">VLOOKUP($A641,'Order Sales'!$A$2:$G$2154,E$1,FALSE())</f>
        <v>40</v>
      </c>
      <c r="F641" s="32" t="n">
        <f aca="false">VLOOKUP($A641,'Order Sales'!$A$2:$G$2154,F$1,FALSE())</f>
        <v>5942.82</v>
      </c>
      <c r="G641" s="32" t="str">
        <f aca="false">VLOOKUP($A641,'Order Sales'!$A$2:$G$2154,G$1,FALSE())</f>
        <v>Small Business</v>
      </c>
    </row>
    <row r="642" customFormat="false" ht="14.25" hidden="false" customHeight="false" outlineLevel="0" collapsed="false">
      <c r="A642" s="1" t="n">
        <v>1525</v>
      </c>
      <c r="B642" s="30" t="n">
        <v>43392</v>
      </c>
      <c r="C642" s="30" t="n">
        <v>43764</v>
      </c>
      <c r="D642" s="31" t="n">
        <f aca="false">VLOOKUP(A642,'Order Shipping'!$A$2:$C$2000,3,FALSE())</f>
        <v>8.6</v>
      </c>
      <c r="E642" s="32" t="n">
        <f aca="false">VLOOKUP($A642,'Order Sales'!$A$2:$G$2154,E$1,FALSE())</f>
        <v>17</v>
      </c>
      <c r="F642" s="32" t="n">
        <f aca="false">VLOOKUP($A642,'Order Sales'!$A$2:$G$2154,F$1,FALSE())</f>
        <v>1986.96</v>
      </c>
      <c r="G642" s="32" t="str">
        <f aca="false">VLOOKUP($A642,'Order Sales'!$A$2:$G$2154,G$1,FALSE())</f>
        <v>Small Business</v>
      </c>
    </row>
    <row r="643" customFormat="false" ht="14.25" hidden="false" customHeight="false" outlineLevel="0" collapsed="false">
      <c r="A643" s="1" t="n">
        <v>1561</v>
      </c>
      <c r="B643" s="30" t="n">
        <v>43284</v>
      </c>
      <c r="C643" s="30" t="n">
        <v>43765</v>
      </c>
      <c r="D643" s="31" t="n">
        <f aca="false">VLOOKUP(A643,'Order Shipping'!$A$2:$C$2000,3,FALSE())</f>
        <v>9.6</v>
      </c>
      <c r="E643" s="32" t="n">
        <f aca="false">VLOOKUP($A643,'Order Sales'!$A$2:$G$2154,E$1,FALSE())</f>
        <v>20</v>
      </c>
      <c r="F643" s="32" t="n">
        <f aca="false">VLOOKUP($A643,'Order Sales'!$A$2:$G$2154,F$1,FALSE())</f>
        <v>2314.21</v>
      </c>
      <c r="G643" s="32" t="str">
        <f aca="false">VLOOKUP($A643,'Order Sales'!$A$2:$G$2154,G$1,FALSE())</f>
        <v>Home Office</v>
      </c>
    </row>
    <row r="644" customFormat="false" ht="14.25" hidden="false" customHeight="false" outlineLevel="0" collapsed="false">
      <c r="A644" s="1" t="n">
        <v>2890</v>
      </c>
      <c r="B644" s="30" t="n">
        <v>43314</v>
      </c>
      <c r="C644" s="30" t="n">
        <v>43766</v>
      </c>
      <c r="D644" s="31" t="n">
        <f aca="false">VLOOKUP(A644,'Order Shipping'!$A$2:$C$2000,3,FALSE())</f>
        <v>13.4</v>
      </c>
      <c r="E644" s="32" t="n">
        <f aca="false">VLOOKUP($A644,'Order Sales'!$A$2:$G$2154,E$1,FALSE())</f>
        <v>41</v>
      </c>
      <c r="F644" s="32" t="n">
        <f aca="false">VLOOKUP($A644,'Order Sales'!$A$2:$G$2154,F$1,FALSE())</f>
        <v>446.76</v>
      </c>
      <c r="G644" s="32" t="str">
        <f aca="false">VLOOKUP($A644,'Order Sales'!$A$2:$G$2154,G$1,FALSE())</f>
        <v>Home Office</v>
      </c>
    </row>
    <row r="645" customFormat="false" ht="14.25" hidden="false" customHeight="false" outlineLevel="0" collapsed="false">
      <c r="A645" s="1" t="n">
        <v>1806</v>
      </c>
      <c r="B645" s="30" t="n">
        <v>43320</v>
      </c>
      <c r="C645" s="30" t="n">
        <v>43767</v>
      </c>
      <c r="D645" s="31" t="n">
        <f aca="false">VLOOKUP(A645,'Order Shipping'!$A$2:$C$2000,3,FALSE())</f>
        <v>6.5</v>
      </c>
      <c r="E645" s="32" t="n">
        <f aca="false">VLOOKUP($A645,'Order Sales'!$A$2:$G$2154,E$1,FALSE())</f>
        <v>17</v>
      </c>
      <c r="F645" s="32" t="n">
        <f aca="false">VLOOKUP($A645,'Order Sales'!$A$2:$G$2154,F$1,FALSE())</f>
        <v>45.25</v>
      </c>
      <c r="G645" s="32" t="str">
        <f aca="false">VLOOKUP($A645,'Order Sales'!$A$2:$G$2154,G$1,FALSE())</f>
        <v>Corporate</v>
      </c>
    </row>
    <row r="646" customFormat="false" ht="14.25" hidden="false" customHeight="false" outlineLevel="0" collapsed="false">
      <c r="A646" s="1" t="n">
        <v>1511</v>
      </c>
      <c r="B646" s="30" t="n">
        <v>43200</v>
      </c>
      <c r="C646" s="30" t="n">
        <v>43768</v>
      </c>
      <c r="D646" s="31" t="n">
        <f aca="false">VLOOKUP(A646,'Order Shipping'!$A$2:$C$2000,3,FALSE())</f>
        <v>15</v>
      </c>
      <c r="E646" s="32" t="n">
        <f aca="false">VLOOKUP($A646,'Order Sales'!$A$2:$G$2154,E$1,FALSE())</f>
        <v>36</v>
      </c>
      <c r="F646" s="32" t="n">
        <f aca="false">VLOOKUP($A646,'Order Sales'!$A$2:$G$2154,F$1,FALSE())</f>
        <v>3982.85</v>
      </c>
      <c r="G646" s="32" t="str">
        <f aca="false">VLOOKUP($A646,'Order Sales'!$A$2:$G$2154,G$1,FALSE())</f>
        <v>Home Office</v>
      </c>
    </row>
    <row r="647" customFormat="false" ht="14.25" hidden="false" customHeight="false" outlineLevel="0" collapsed="false">
      <c r="A647" s="1" t="n">
        <v>2399</v>
      </c>
      <c r="B647" s="30" t="n">
        <v>43109</v>
      </c>
      <c r="C647" s="30" t="n">
        <v>43769</v>
      </c>
      <c r="D647" s="31" t="n">
        <f aca="false">VLOOKUP(A647,'Order Shipping'!$A$2:$C$2000,3,FALSE())</f>
        <v>1.5</v>
      </c>
      <c r="E647" s="32" t="n">
        <f aca="false">VLOOKUP($A647,'Order Sales'!$A$2:$G$2154,E$1,FALSE())</f>
        <v>3</v>
      </c>
      <c r="F647" s="32" t="n">
        <f aca="false">VLOOKUP($A647,'Order Sales'!$A$2:$G$2154,F$1,FALSE())</f>
        <v>34.76</v>
      </c>
      <c r="G647" s="32" t="str">
        <f aca="false">VLOOKUP($A647,'Order Sales'!$A$2:$G$2154,G$1,FALSE())</f>
        <v>Small Business</v>
      </c>
    </row>
    <row r="648" customFormat="false" ht="14.25" hidden="false" customHeight="false" outlineLevel="0" collapsed="false">
      <c r="A648" s="1" t="n">
        <v>2363</v>
      </c>
      <c r="B648" s="30" t="n">
        <v>43242</v>
      </c>
      <c r="C648" s="30" t="n">
        <v>43770</v>
      </c>
      <c r="D648" s="31" t="n">
        <f aca="false">VLOOKUP(A648,'Order Shipping'!$A$2:$C$2000,3,FALSE())</f>
        <v>9</v>
      </c>
      <c r="E648" s="32" t="n">
        <f aca="false">VLOOKUP($A648,'Order Sales'!$A$2:$G$2154,E$1,FALSE())</f>
        <v>40</v>
      </c>
      <c r="F648" s="32" t="n">
        <f aca="false">VLOOKUP($A648,'Order Sales'!$A$2:$G$2154,F$1,FALSE())</f>
        <v>322.2</v>
      </c>
      <c r="G648" s="32" t="str">
        <f aca="false">VLOOKUP($A648,'Order Sales'!$A$2:$G$2154,G$1,FALSE())</f>
        <v>Corporate</v>
      </c>
    </row>
    <row r="649" customFormat="false" ht="14.25" hidden="false" customHeight="false" outlineLevel="0" collapsed="false">
      <c r="A649" s="1" t="n">
        <v>2827</v>
      </c>
      <c r="B649" s="30" t="n">
        <v>43376</v>
      </c>
      <c r="C649" s="30" t="n">
        <v>43771</v>
      </c>
      <c r="D649" s="31" t="n">
        <f aca="false">VLOOKUP(A649,'Order Shipping'!$A$2:$C$2000,3,FALSE())</f>
        <v>2.1</v>
      </c>
      <c r="E649" s="32" t="n">
        <f aca="false">VLOOKUP($A649,'Order Sales'!$A$2:$G$2154,E$1,FALSE())</f>
        <v>2</v>
      </c>
      <c r="F649" s="32" t="n">
        <f aca="false">VLOOKUP($A649,'Order Sales'!$A$2:$G$2154,F$1,FALSE())</f>
        <v>33.92</v>
      </c>
      <c r="G649" s="32" t="str">
        <f aca="false">VLOOKUP($A649,'Order Sales'!$A$2:$G$2154,G$1,FALSE())</f>
        <v>Corporate</v>
      </c>
    </row>
    <row r="650" customFormat="false" ht="14.25" hidden="false" customHeight="false" outlineLevel="0" collapsed="false">
      <c r="A650" s="1" t="n">
        <v>2511</v>
      </c>
      <c r="B650" s="30" t="n">
        <v>43241</v>
      </c>
      <c r="C650" s="30" t="n">
        <v>43772</v>
      </c>
      <c r="D650" s="31" t="n">
        <f aca="false">VLOOKUP(A650,'Order Shipping'!$A$2:$C$2000,3,FALSE())</f>
        <v>15.2</v>
      </c>
      <c r="E650" s="32" t="n">
        <f aca="false">VLOOKUP($A650,'Order Sales'!$A$2:$G$2154,E$1,FALSE())</f>
        <v>22</v>
      </c>
      <c r="F650" s="32" t="n">
        <f aca="false">VLOOKUP($A650,'Order Sales'!$A$2:$G$2154,F$1,FALSE())</f>
        <v>1250.06</v>
      </c>
      <c r="G650" s="32" t="str">
        <f aca="false">VLOOKUP($A650,'Order Sales'!$A$2:$G$2154,G$1,FALSE())</f>
        <v>Home Office</v>
      </c>
    </row>
    <row r="651" customFormat="false" ht="14.25" hidden="false" customHeight="false" outlineLevel="0" collapsed="false">
      <c r="A651" s="1" t="n">
        <v>1774</v>
      </c>
      <c r="B651" s="30" t="n">
        <v>43250</v>
      </c>
      <c r="C651" s="30" t="n">
        <v>43773</v>
      </c>
      <c r="D651" s="31" t="n">
        <f aca="false">VLOOKUP(A651,'Order Shipping'!$A$2:$C$2000,3,FALSE())</f>
        <v>26.2</v>
      </c>
      <c r="E651" s="32" t="n">
        <f aca="false">VLOOKUP($A651,'Order Sales'!$A$2:$G$2154,E$1,FALSE())</f>
        <v>7</v>
      </c>
      <c r="F651" s="32" t="n">
        <f aca="false">VLOOKUP($A651,'Order Sales'!$A$2:$G$2154,F$1,FALSE())</f>
        <v>1081.94</v>
      </c>
      <c r="G651" s="32" t="str">
        <f aca="false">VLOOKUP($A651,'Order Sales'!$A$2:$G$2154,G$1,FALSE())</f>
        <v>Home Office</v>
      </c>
    </row>
    <row r="652" customFormat="false" ht="14.25" hidden="false" customHeight="false" outlineLevel="0" collapsed="false">
      <c r="A652" s="1" t="n">
        <v>1800</v>
      </c>
      <c r="B652" s="30" t="n">
        <v>43125</v>
      </c>
      <c r="C652" s="30" t="n">
        <v>43774</v>
      </c>
      <c r="D652" s="31" t="n">
        <f aca="false">VLOOKUP(A652,'Order Shipping'!$A$2:$C$2000,3,FALSE())</f>
        <v>52.4</v>
      </c>
      <c r="E652" s="32" t="n">
        <f aca="false">VLOOKUP($A652,'Order Sales'!$A$2:$G$2154,E$1,FALSE())</f>
        <v>15</v>
      </c>
      <c r="F652" s="32" t="n">
        <f aca="false">VLOOKUP($A652,'Order Sales'!$A$2:$G$2154,F$1,FALSE())</f>
        <v>9268.7</v>
      </c>
      <c r="G652" s="32" t="str">
        <f aca="false">VLOOKUP($A652,'Order Sales'!$A$2:$G$2154,G$1,FALSE())</f>
        <v>Corporate</v>
      </c>
    </row>
    <row r="653" customFormat="false" ht="14.25" hidden="false" customHeight="false" outlineLevel="0" collapsed="false">
      <c r="A653" s="1" t="n">
        <v>2926</v>
      </c>
      <c r="B653" s="30" t="n">
        <v>43292</v>
      </c>
      <c r="C653" s="30" t="n">
        <v>43775</v>
      </c>
      <c r="D653" s="31" t="n">
        <f aca="false">VLOOKUP(A653,'Order Shipping'!$A$2:$C$2000,3,FALSE())</f>
        <v>6.2</v>
      </c>
      <c r="E653" s="32" t="n">
        <f aca="false">VLOOKUP($A653,'Order Sales'!$A$2:$G$2154,E$1,FALSE())</f>
        <v>9</v>
      </c>
      <c r="F653" s="32" t="n">
        <f aca="false">VLOOKUP($A653,'Order Sales'!$A$2:$G$2154,F$1,FALSE())</f>
        <v>80.55</v>
      </c>
      <c r="G653" s="32" t="str">
        <f aca="false">VLOOKUP($A653,'Order Sales'!$A$2:$G$2154,G$1,FALSE())</f>
        <v>Home Office</v>
      </c>
    </row>
    <row r="654" customFormat="false" ht="14.25" hidden="false" customHeight="false" outlineLevel="0" collapsed="false">
      <c r="A654" s="1" t="n">
        <v>2451</v>
      </c>
      <c r="B654" s="30" t="n">
        <v>43440</v>
      </c>
      <c r="C654" s="30" t="n">
        <v>43776</v>
      </c>
      <c r="D654" s="31" t="n">
        <f aca="false">VLOOKUP(A654,'Order Shipping'!$A$2:$C$2000,3,FALSE())</f>
        <v>9.1</v>
      </c>
      <c r="E654" s="32" t="n">
        <f aca="false">VLOOKUP($A654,'Order Sales'!$A$2:$G$2154,E$1,FALSE())</f>
        <v>40</v>
      </c>
      <c r="F654" s="32" t="n">
        <f aca="false">VLOOKUP($A654,'Order Sales'!$A$2:$G$2154,F$1,FALSE())</f>
        <v>778.57</v>
      </c>
      <c r="G654" s="32" t="str">
        <f aca="false">VLOOKUP($A654,'Order Sales'!$A$2:$G$2154,G$1,FALSE())</f>
        <v>Corporate</v>
      </c>
    </row>
    <row r="655" customFormat="false" ht="14.25" hidden="false" customHeight="false" outlineLevel="0" collapsed="false">
      <c r="A655" s="1" t="n">
        <v>2591</v>
      </c>
      <c r="B655" s="30" t="n">
        <v>43314</v>
      </c>
      <c r="C655" s="30" t="n">
        <v>43777</v>
      </c>
      <c r="D655" s="31" t="n">
        <f aca="false">VLOOKUP(A655,'Order Shipping'!$A$2:$C$2000,3,FALSE())</f>
        <v>0.9</v>
      </c>
      <c r="E655" s="32" t="n">
        <f aca="false">VLOOKUP($A655,'Order Sales'!$A$2:$G$2154,E$1,FALSE())</f>
        <v>47</v>
      </c>
      <c r="F655" s="32" t="n">
        <f aca="false">VLOOKUP($A655,'Order Sales'!$A$2:$G$2154,F$1,FALSE())</f>
        <v>158.64</v>
      </c>
      <c r="G655" s="32" t="str">
        <f aca="false">VLOOKUP($A655,'Order Sales'!$A$2:$G$2154,G$1,FALSE())</f>
        <v>Consumer</v>
      </c>
    </row>
    <row r="656" customFormat="false" ht="14.25" hidden="false" customHeight="false" outlineLevel="0" collapsed="false">
      <c r="A656" s="1" t="n">
        <v>2823</v>
      </c>
      <c r="B656" s="30" t="n">
        <v>43292</v>
      </c>
      <c r="C656" s="30" t="n">
        <v>43778</v>
      </c>
      <c r="D656" s="31" t="n">
        <f aca="false">VLOOKUP(A656,'Order Shipping'!$A$2:$C$2000,3,FALSE())</f>
        <v>0.5</v>
      </c>
      <c r="E656" s="32" t="n">
        <f aca="false">VLOOKUP($A656,'Order Sales'!$A$2:$G$2154,E$1,FALSE())</f>
        <v>5</v>
      </c>
      <c r="F656" s="32" t="n">
        <f aca="false">VLOOKUP($A656,'Order Sales'!$A$2:$G$2154,F$1,FALSE())</f>
        <v>26</v>
      </c>
      <c r="G656" s="32" t="str">
        <f aca="false">VLOOKUP($A656,'Order Sales'!$A$2:$G$2154,G$1,FALSE())</f>
        <v>Home Office</v>
      </c>
    </row>
    <row r="657" customFormat="false" ht="14.25" hidden="false" customHeight="false" outlineLevel="0" collapsed="false">
      <c r="A657" s="1" t="n">
        <v>1360</v>
      </c>
      <c r="B657" s="30" t="n">
        <v>43460</v>
      </c>
      <c r="C657" s="30" t="n">
        <v>43779</v>
      </c>
      <c r="D657" s="31" t="n">
        <f aca="false">VLOOKUP(A657,'Order Shipping'!$A$2:$C$2000,3,FALSE())</f>
        <v>9.6</v>
      </c>
      <c r="E657" s="32" t="n">
        <f aca="false">VLOOKUP($A657,'Order Sales'!$A$2:$G$2154,E$1,FALSE())</f>
        <v>49</v>
      </c>
      <c r="F657" s="32" t="n">
        <f aca="false">VLOOKUP($A657,'Order Sales'!$A$2:$G$2154,F$1,FALSE())</f>
        <v>2217.17</v>
      </c>
      <c r="G657" s="32" t="str">
        <f aca="false">VLOOKUP($A657,'Order Sales'!$A$2:$G$2154,G$1,FALSE())</f>
        <v>Small Business</v>
      </c>
    </row>
    <row r="658" customFormat="false" ht="14.25" hidden="false" customHeight="false" outlineLevel="0" collapsed="false">
      <c r="A658" s="1" t="n">
        <v>1084</v>
      </c>
      <c r="B658" s="30" t="n">
        <v>43345</v>
      </c>
      <c r="C658" s="30" t="n">
        <v>43780</v>
      </c>
      <c r="D658" s="31" t="n">
        <f aca="false">VLOOKUP(A658,'Order Shipping'!$A$2:$C$2000,3,FALSE())</f>
        <v>1.6</v>
      </c>
      <c r="E658" s="32" t="n">
        <f aca="false">VLOOKUP($A658,'Order Sales'!$A$2:$G$2154,E$1,FALSE())</f>
        <v>7</v>
      </c>
      <c r="F658" s="32" t="n">
        <f aca="false">VLOOKUP($A658,'Order Sales'!$A$2:$G$2154,F$1,FALSE())</f>
        <v>28.9</v>
      </c>
      <c r="G658" s="32" t="str">
        <f aca="false">VLOOKUP($A658,'Order Sales'!$A$2:$G$2154,G$1,FALSE())</f>
        <v>Consumer</v>
      </c>
    </row>
    <row r="659" customFormat="false" ht="14.25" hidden="false" customHeight="false" outlineLevel="0" collapsed="false">
      <c r="A659" s="1" t="n">
        <v>2872</v>
      </c>
      <c r="B659" s="30" t="n">
        <v>43304</v>
      </c>
      <c r="C659" s="30" t="n">
        <v>43781</v>
      </c>
      <c r="D659" s="31" t="n">
        <f aca="false">VLOOKUP(A659,'Order Shipping'!$A$2:$C$2000,3,FALSE())</f>
        <v>9.6</v>
      </c>
      <c r="E659" s="32" t="n">
        <f aca="false">VLOOKUP($A659,'Order Sales'!$A$2:$G$2154,E$1,FALSE())</f>
        <v>22</v>
      </c>
      <c r="F659" s="32" t="n">
        <f aca="false">VLOOKUP($A659,'Order Sales'!$A$2:$G$2154,F$1,FALSE())</f>
        <v>2571.36</v>
      </c>
      <c r="G659" s="32" t="str">
        <f aca="false">VLOOKUP($A659,'Order Sales'!$A$2:$G$2154,G$1,FALSE())</f>
        <v>Consumer</v>
      </c>
    </row>
    <row r="660" customFormat="false" ht="14.25" hidden="false" customHeight="false" outlineLevel="0" collapsed="false">
      <c r="A660" s="1" t="n">
        <v>2271</v>
      </c>
      <c r="B660" s="30" t="n">
        <v>43219</v>
      </c>
      <c r="C660" s="30" t="n">
        <v>43782</v>
      </c>
      <c r="D660" s="31" t="n">
        <f aca="false">VLOOKUP(A660,'Order Shipping'!$A$2:$C$2000,3,FALSE())</f>
        <v>8.6</v>
      </c>
      <c r="E660" s="32" t="n">
        <f aca="false">VLOOKUP($A660,'Order Sales'!$A$2:$G$2154,E$1,FALSE())</f>
        <v>21</v>
      </c>
      <c r="F660" s="32" t="n">
        <f aca="false">VLOOKUP($A660,'Order Sales'!$A$2:$G$2154,F$1,FALSE())</f>
        <v>2740.99</v>
      </c>
      <c r="G660" s="32" t="str">
        <f aca="false">VLOOKUP($A660,'Order Sales'!$A$2:$G$2154,G$1,FALSE())</f>
        <v>Consumer</v>
      </c>
    </row>
    <row r="661" customFormat="false" ht="14.25" hidden="false" customHeight="false" outlineLevel="0" collapsed="false">
      <c r="A661" s="1" t="n">
        <v>1963</v>
      </c>
      <c r="B661" s="30" t="n">
        <v>43247</v>
      </c>
      <c r="C661" s="30" t="n">
        <v>43783</v>
      </c>
      <c r="D661" s="31" t="n">
        <f aca="false">VLOOKUP(A661,'Order Shipping'!$A$2:$C$2000,3,FALSE())</f>
        <v>8.5</v>
      </c>
      <c r="E661" s="32" t="n">
        <f aca="false">VLOOKUP($A661,'Order Sales'!$A$2:$G$2154,E$1,FALSE())</f>
        <v>44</v>
      </c>
      <c r="F661" s="32" t="n">
        <f aca="false">VLOOKUP($A661,'Order Sales'!$A$2:$G$2154,F$1,FALSE())</f>
        <v>263.22</v>
      </c>
      <c r="G661" s="32" t="str">
        <f aca="false">VLOOKUP($A661,'Order Sales'!$A$2:$G$2154,G$1,FALSE())</f>
        <v>Corporate</v>
      </c>
    </row>
    <row r="662" customFormat="false" ht="14.25" hidden="false" customHeight="false" outlineLevel="0" collapsed="false">
      <c r="A662" s="1" t="n">
        <v>2361</v>
      </c>
      <c r="B662" s="30" t="n">
        <v>43150</v>
      </c>
      <c r="C662" s="30" t="n">
        <v>43784</v>
      </c>
      <c r="D662" s="31" t="n">
        <f aca="false">VLOOKUP(A662,'Order Shipping'!$A$2:$C$2000,3,FALSE())</f>
        <v>1.1</v>
      </c>
      <c r="E662" s="32" t="n">
        <f aca="false">VLOOKUP($A662,'Order Sales'!$A$2:$G$2154,E$1,FALSE())</f>
        <v>28</v>
      </c>
      <c r="F662" s="32" t="n">
        <f aca="false">VLOOKUP($A662,'Order Sales'!$A$2:$G$2154,F$1,FALSE())</f>
        <v>1662.42</v>
      </c>
      <c r="G662" s="32" t="str">
        <f aca="false">VLOOKUP($A662,'Order Sales'!$A$2:$G$2154,G$1,FALSE())</f>
        <v>Corporate</v>
      </c>
    </row>
    <row r="663" customFormat="false" ht="14.25" hidden="false" customHeight="false" outlineLevel="0" collapsed="false">
      <c r="A663" s="1" t="n">
        <v>1552</v>
      </c>
      <c r="B663" s="30" t="n">
        <v>43194</v>
      </c>
      <c r="C663" s="30" t="n">
        <v>43785</v>
      </c>
      <c r="D663" s="31" t="n">
        <f aca="false">VLOOKUP(A663,'Order Shipping'!$A$2:$C$2000,3,FALSE())</f>
        <v>4.5</v>
      </c>
      <c r="E663" s="32" t="n">
        <f aca="false">VLOOKUP($A663,'Order Sales'!$A$2:$G$2154,E$1,FALSE())</f>
        <v>26</v>
      </c>
      <c r="F663" s="32" t="n">
        <f aca="false">VLOOKUP($A663,'Order Sales'!$A$2:$G$2154,F$1,FALSE())</f>
        <v>4667.02</v>
      </c>
      <c r="G663" s="32" t="str">
        <f aca="false">VLOOKUP($A663,'Order Sales'!$A$2:$G$2154,G$1,FALSE())</f>
        <v>Home Office</v>
      </c>
    </row>
    <row r="664" customFormat="false" ht="14.25" hidden="false" customHeight="false" outlineLevel="0" collapsed="false">
      <c r="A664" s="1" t="n">
        <v>2202</v>
      </c>
      <c r="B664" s="30" t="n">
        <v>43458</v>
      </c>
      <c r="C664" s="30" t="n">
        <v>43786</v>
      </c>
      <c r="D664" s="31" t="n">
        <f aca="false">VLOOKUP(A664,'Order Shipping'!$A$2:$C$2000,3,FALSE())</f>
        <v>0.5</v>
      </c>
      <c r="E664" s="32" t="n">
        <f aca="false">VLOOKUP($A664,'Order Sales'!$A$2:$G$2154,E$1,FALSE())</f>
        <v>33</v>
      </c>
      <c r="F664" s="32" t="n">
        <f aca="false">VLOOKUP($A664,'Order Sales'!$A$2:$G$2154,F$1,FALSE())</f>
        <v>126.01</v>
      </c>
      <c r="G664" s="32" t="str">
        <f aca="false">VLOOKUP($A664,'Order Sales'!$A$2:$G$2154,G$1,FALSE())</f>
        <v>Consumer</v>
      </c>
    </row>
    <row r="665" customFormat="false" ht="14.25" hidden="false" customHeight="false" outlineLevel="0" collapsed="false">
      <c r="A665" s="1" t="n">
        <v>1879</v>
      </c>
      <c r="B665" s="30" t="n">
        <v>43161</v>
      </c>
      <c r="C665" s="30" t="n">
        <v>43787</v>
      </c>
      <c r="D665" s="31" t="n">
        <f aca="false">VLOOKUP(A665,'Order Shipping'!$A$2:$C$2000,3,FALSE())</f>
        <v>8.2</v>
      </c>
      <c r="E665" s="32" t="n">
        <f aca="false">VLOOKUP($A665,'Order Sales'!$A$2:$G$2154,E$1,FALSE())</f>
        <v>8</v>
      </c>
      <c r="F665" s="32" t="n">
        <f aca="false">VLOOKUP($A665,'Order Sales'!$A$2:$G$2154,F$1,FALSE())</f>
        <v>472.73</v>
      </c>
      <c r="G665" s="32" t="str">
        <f aca="false">VLOOKUP($A665,'Order Sales'!$A$2:$G$2154,G$1,FALSE())</f>
        <v>Consumer</v>
      </c>
    </row>
    <row r="666" customFormat="false" ht="14.25" hidden="false" customHeight="false" outlineLevel="0" collapsed="false">
      <c r="A666" s="1" t="n">
        <v>2597</v>
      </c>
      <c r="B666" s="30" t="n">
        <v>43339</v>
      </c>
      <c r="C666" s="30" t="n">
        <v>43788</v>
      </c>
      <c r="D666" s="31" t="n">
        <f aca="false">VLOOKUP(A666,'Order Shipping'!$A$2:$C$2000,3,FALSE())</f>
        <v>4.6</v>
      </c>
      <c r="E666" s="32" t="n">
        <f aca="false">VLOOKUP($A666,'Order Sales'!$A$2:$G$2154,E$1,FALSE())</f>
        <v>17</v>
      </c>
      <c r="F666" s="32" t="n">
        <f aca="false">VLOOKUP($A666,'Order Sales'!$A$2:$G$2154,F$1,FALSE())</f>
        <v>50.42</v>
      </c>
      <c r="G666" s="32" t="str">
        <f aca="false">VLOOKUP($A666,'Order Sales'!$A$2:$G$2154,G$1,FALSE())</f>
        <v>Corporate</v>
      </c>
    </row>
    <row r="667" customFormat="false" ht="14.25" hidden="false" customHeight="false" outlineLevel="0" collapsed="false">
      <c r="A667" s="1" t="n">
        <v>1005</v>
      </c>
      <c r="B667" s="30" t="n">
        <v>43295</v>
      </c>
      <c r="C667" s="30" t="n">
        <v>43789</v>
      </c>
      <c r="D667" s="31" t="n">
        <f aca="false">VLOOKUP(A667,'Order Shipping'!$A$2:$C$2000,3,FALSE())</f>
        <v>6.2</v>
      </c>
      <c r="E667" s="32" t="n">
        <f aca="false">VLOOKUP($A667,'Order Sales'!$A$2:$G$2154,E$1,FALSE())</f>
        <v>26</v>
      </c>
      <c r="F667" s="32" t="n">
        <f aca="false">VLOOKUP($A667,'Order Sales'!$A$2:$G$2154,F$1,FALSE())</f>
        <v>3004.65</v>
      </c>
      <c r="G667" s="32" t="str">
        <f aca="false">VLOOKUP($A667,'Order Sales'!$A$2:$G$2154,G$1,FALSE())</f>
        <v>Corporate</v>
      </c>
    </row>
    <row r="668" customFormat="false" ht="14.25" hidden="false" customHeight="false" outlineLevel="0" collapsed="false">
      <c r="A668" s="1" t="n">
        <v>2774</v>
      </c>
      <c r="B668" s="30" t="n">
        <v>43230</v>
      </c>
      <c r="C668" s="30" t="n">
        <v>43790</v>
      </c>
      <c r="D668" s="31" t="n">
        <f aca="false">VLOOKUP(A668,'Order Shipping'!$A$2:$C$2000,3,FALSE())</f>
        <v>21.4</v>
      </c>
      <c r="E668" s="32" t="n">
        <f aca="false">VLOOKUP($A668,'Order Sales'!$A$2:$G$2154,E$1,FALSE())</f>
        <v>49</v>
      </c>
      <c r="F668" s="32" t="n">
        <f aca="false">VLOOKUP($A668,'Order Sales'!$A$2:$G$2154,F$1,FALSE())</f>
        <v>2812.01</v>
      </c>
      <c r="G668" s="32" t="str">
        <f aca="false">VLOOKUP($A668,'Order Sales'!$A$2:$G$2154,G$1,FALSE())</f>
        <v>Consumer</v>
      </c>
    </row>
    <row r="669" customFormat="false" ht="14.25" hidden="false" customHeight="false" outlineLevel="0" collapsed="false">
      <c r="A669" s="1" t="n">
        <v>2301</v>
      </c>
      <c r="B669" s="30" t="n">
        <v>43305</v>
      </c>
      <c r="C669" s="30" t="n">
        <v>43791</v>
      </c>
      <c r="D669" s="31" t="n">
        <f aca="false">VLOOKUP(A669,'Order Shipping'!$A$2:$C$2000,3,FALSE())</f>
        <v>7.7</v>
      </c>
      <c r="E669" s="32" t="n">
        <f aca="false">VLOOKUP($A669,'Order Sales'!$A$2:$G$2154,E$1,FALSE())</f>
        <v>20</v>
      </c>
      <c r="F669" s="32" t="n">
        <f aca="false">VLOOKUP($A669,'Order Sales'!$A$2:$G$2154,F$1,FALSE())</f>
        <v>6424.65</v>
      </c>
      <c r="G669" s="32" t="str">
        <f aca="false">VLOOKUP($A669,'Order Sales'!$A$2:$G$2154,G$1,FALSE())</f>
        <v>Corporate</v>
      </c>
    </row>
    <row r="670" customFormat="false" ht="14.25" hidden="false" customHeight="false" outlineLevel="0" collapsed="false">
      <c r="A670" s="1" t="n">
        <v>2263</v>
      </c>
      <c r="B670" s="30" t="n">
        <v>43193</v>
      </c>
      <c r="C670" s="30" t="n">
        <v>43792</v>
      </c>
      <c r="D670" s="31" t="n">
        <f aca="false">VLOOKUP(A670,'Order Shipping'!$A$2:$C$2000,3,FALSE())</f>
        <v>2.7</v>
      </c>
      <c r="E670" s="32" t="n">
        <f aca="false">VLOOKUP($A670,'Order Sales'!$A$2:$G$2154,E$1,FALSE())</f>
        <v>38</v>
      </c>
      <c r="F670" s="32" t="n">
        <f aca="false">VLOOKUP($A670,'Order Sales'!$A$2:$G$2154,F$1,FALSE())</f>
        <v>4088.9</v>
      </c>
      <c r="G670" s="32" t="str">
        <f aca="false">VLOOKUP($A670,'Order Sales'!$A$2:$G$2154,G$1,FALSE())</f>
        <v>Home Office</v>
      </c>
    </row>
    <row r="671" customFormat="false" ht="14.25" hidden="false" customHeight="false" outlineLevel="0" collapsed="false">
      <c r="A671" s="1" t="n">
        <v>1163</v>
      </c>
      <c r="B671" s="30" t="n">
        <v>43155</v>
      </c>
      <c r="C671" s="30" t="n">
        <v>43793</v>
      </c>
      <c r="D671" s="31" t="n">
        <f aca="false">VLOOKUP(A671,'Order Shipping'!$A$2:$C$2000,3,FALSE())</f>
        <v>9.4</v>
      </c>
      <c r="E671" s="32" t="n">
        <f aca="false">VLOOKUP($A671,'Order Sales'!$A$2:$G$2154,E$1,FALSE())</f>
        <v>4</v>
      </c>
      <c r="F671" s="32" t="n">
        <f aca="false">VLOOKUP($A671,'Order Sales'!$A$2:$G$2154,F$1,FALSE())</f>
        <v>43.73</v>
      </c>
      <c r="G671" s="32" t="str">
        <f aca="false">VLOOKUP($A671,'Order Sales'!$A$2:$G$2154,G$1,FALSE())</f>
        <v>Corporate</v>
      </c>
    </row>
    <row r="672" customFormat="false" ht="14.25" hidden="false" customHeight="false" outlineLevel="0" collapsed="false">
      <c r="A672" s="1" t="n">
        <v>2067</v>
      </c>
      <c r="B672" s="30" t="n">
        <v>43324</v>
      </c>
      <c r="C672" s="30" t="n">
        <v>43794</v>
      </c>
      <c r="D672" s="31" t="n">
        <f aca="false">VLOOKUP(A672,'Order Shipping'!$A$2:$C$2000,3,FALSE())</f>
        <v>20.5</v>
      </c>
      <c r="E672" s="32" t="n">
        <f aca="false">VLOOKUP($A672,'Order Sales'!$A$2:$G$2154,E$1,FALSE())</f>
        <v>7</v>
      </c>
      <c r="F672" s="32" t="n">
        <f aca="false">VLOOKUP($A672,'Order Sales'!$A$2:$G$2154,F$1,FALSE())</f>
        <v>279.45</v>
      </c>
      <c r="G672" s="32" t="str">
        <f aca="false">VLOOKUP($A672,'Order Sales'!$A$2:$G$2154,G$1,FALSE())</f>
        <v>Home Office</v>
      </c>
    </row>
    <row r="673" customFormat="false" ht="14.25" hidden="false" customHeight="false" outlineLevel="0" collapsed="false">
      <c r="A673" s="1" t="n">
        <v>2403</v>
      </c>
      <c r="B673" s="30" t="n">
        <v>43444</v>
      </c>
      <c r="C673" s="30" t="n">
        <v>43795</v>
      </c>
      <c r="D673" s="31" t="n">
        <f aca="false">VLOOKUP(A673,'Order Shipping'!$A$2:$C$2000,3,FALSE())</f>
        <v>2.7</v>
      </c>
      <c r="E673" s="32" t="n">
        <f aca="false">VLOOKUP($A673,'Order Sales'!$A$2:$G$2154,E$1,FALSE())</f>
        <v>33</v>
      </c>
      <c r="F673" s="32" t="n">
        <f aca="false">VLOOKUP($A673,'Order Sales'!$A$2:$G$2154,F$1,FALSE())</f>
        <v>73.21</v>
      </c>
      <c r="G673" s="32" t="str">
        <f aca="false">VLOOKUP($A673,'Order Sales'!$A$2:$G$2154,G$1,FALSE())</f>
        <v>Consumer</v>
      </c>
    </row>
    <row r="674" customFormat="false" ht="14.25" hidden="false" customHeight="false" outlineLevel="0" collapsed="false">
      <c r="A674" s="1" t="n">
        <v>2186</v>
      </c>
      <c r="B674" s="30" t="n">
        <v>43381</v>
      </c>
      <c r="C674" s="30" t="n">
        <v>43796</v>
      </c>
      <c r="D674" s="31" t="n">
        <f aca="false">VLOOKUP(A674,'Order Shipping'!$A$2:$C$2000,3,FALSE())</f>
        <v>6.1</v>
      </c>
      <c r="E674" s="32" t="n">
        <f aca="false">VLOOKUP($A674,'Order Sales'!$A$2:$G$2154,E$1,FALSE())</f>
        <v>25</v>
      </c>
      <c r="F674" s="32" t="n">
        <f aca="false">VLOOKUP($A674,'Order Sales'!$A$2:$G$2154,F$1,FALSE())</f>
        <v>186.21</v>
      </c>
      <c r="G674" s="32" t="str">
        <f aca="false">VLOOKUP($A674,'Order Sales'!$A$2:$G$2154,G$1,FALSE())</f>
        <v>Consumer</v>
      </c>
    </row>
    <row r="675" customFormat="false" ht="14.25" hidden="false" customHeight="false" outlineLevel="0" collapsed="false">
      <c r="A675" s="1" t="n">
        <v>2891</v>
      </c>
      <c r="B675" s="30" t="n">
        <v>43136</v>
      </c>
      <c r="C675" s="30" t="n">
        <v>43797</v>
      </c>
      <c r="D675" s="31" t="n">
        <f aca="false">VLOOKUP(A675,'Order Shipping'!$A$2:$C$2000,3,FALSE())</f>
        <v>7.7</v>
      </c>
      <c r="E675" s="32" t="n">
        <f aca="false">VLOOKUP($A675,'Order Sales'!$A$2:$G$2154,E$1,FALSE())</f>
        <v>25</v>
      </c>
      <c r="F675" s="32" t="n">
        <f aca="false">VLOOKUP($A675,'Order Sales'!$A$2:$G$2154,F$1,FALSE())</f>
        <v>1369.01</v>
      </c>
      <c r="G675" s="32" t="str">
        <f aca="false">VLOOKUP($A675,'Order Sales'!$A$2:$G$2154,G$1,FALSE())</f>
        <v>Consumer</v>
      </c>
    </row>
    <row r="676" customFormat="false" ht="14.25" hidden="false" customHeight="false" outlineLevel="0" collapsed="false">
      <c r="A676" s="1" t="n">
        <v>2443</v>
      </c>
      <c r="B676" s="30" t="n">
        <v>43231</v>
      </c>
      <c r="C676" s="30" t="n">
        <v>43798</v>
      </c>
      <c r="D676" s="31" t="n">
        <f aca="false">VLOOKUP(A676,'Order Shipping'!$A$2:$C$2000,3,FALSE())</f>
        <v>34.7</v>
      </c>
      <c r="E676" s="32" t="n">
        <f aca="false">VLOOKUP($A676,'Order Sales'!$A$2:$G$2154,E$1,FALSE())</f>
        <v>35</v>
      </c>
      <c r="F676" s="32" t="n">
        <f aca="false">VLOOKUP($A676,'Order Sales'!$A$2:$G$2154,F$1,FALSE())</f>
        <v>2279.43</v>
      </c>
      <c r="G676" s="32" t="str">
        <f aca="false">VLOOKUP($A676,'Order Sales'!$A$2:$G$2154,G$1,FALSE())</f>
        <v>Corporate</v>
      </c>
    </row>
    <row r="677" customFormat="false" ht="14.25" hidden="false" customHeight="false" outlineLevel="0" collapsed="false">
      <c r="A677" s="1" t="n">
        <v>2244</v>
      </c>
      <c r="B677" s="30" t="n">
        <v>43464</v>
      </c>
      <c r="C677" s="30" t="n">
        <v>43799</v>
      </c>
      <c r="D677" s="31" t="n">
        <f aca="false">VLOOKUP(A677,'Order Shipping'!$A$2:$C$2000,3,FALSE())</f>
        <v>14.9</v>
      </c>
      <c r="E677" s="32" t="n">
        <f aca="false">VLOOKUP($A677,'Order Sales'!$A$2:$G$2154,E$1,FALSE())</f>
        <v>6</v>
      </c>
      <c r="F677" s="32" t="n">
        <f aca="false">VLOOKUP($A677,'Order Sales'!$A$2:$G$2154,F$1,FALSE())</f>
        <v>258.78</v>
      </c>
      <c r="G677" s="32" t="str">
        <f aca="false">VLOOKUP($A677,'Order Sales'!$A$2:$G$2154,G$1,FALSE())</f>
        <v>Home Office</v>
      </c>
    </row>
    <row r="678" customFormat="false" ht="14.25" hidden="false" customHeight="false" outlineLevel="0" collapsed="false">
      <c r="A678" s="1" t="n">
        <v>2838</v>
      </c>
      <c r="B678" s="30" t="n">
        <v>43404</v>
      </c>
      <c r="C678" s="30" t="n">
        <v>43800</v>
      </c>
      <c r="D678" s="31" t="n">
        <f aca="false">VLOOKUP(A678,'Order Shipping'!$A$2:$C$2000,3,FALSE())</f>
        <v>7.7</v>
      </c>
      <c r="E678" s="32" t="n">
        <f aca="false">VLOOKUP($A678,'Order Sales'!$A$2:$G$2154,E$1,FALSE())</f>
        <v>8</v>
      </c>
      <c r="F678" s="32" t="n">
        <f aca="false">VLOOKUP($A678,'Order Sales'!$A$2:$G$2154,F$1,FALSE())</f>
        <v>2463.53</v>
      </c>
      <c r="G678" s="32" t="str">
        <f aca="false">VLOOKUP($A678,'Order Sales'!$A$2:$G$2154,G$1,FALSE())</f>
        <v>Corporate</v>
      </c>
    </row>
    <row r="679" customFormat="false" ht="14.25" hidden="false" customHeight="false" outlineLevel="0" collapsed="false">
      <c r="A679" s="1" t="n">
        <v>2418</v>
      </c>
      <c r="B679" s="30" t="n">
        <v>43221</v>
      </c>
      <c r="C679" s="30" t="n">
        <v>43801</v>
      </c>
      <c r="D679" s="31" t="n">
        <f aca="false">VLOOKUP(A679,'Order Shipping'!$A$2:$C$2000,3,FALSE())</f>
        <v>6.6</v>
      </c>
      <c r="E679" s="32" t="n">
        <f aca="false">VLOOKUP($A679,'Order Sales'!$A$2:$G$2154,E$1,FALSE())</f>
        <v>18</v>
      </c>
      <c r="F679" s="32" t="n">
        <f aca="false">VLOOKUP($A679,'Order Sales'!$A$2:$G$2154,F$1,FALSE())</f>
        <v>247.23</v>
      </c>
      <c r="G679" s="32" t="str">
        <f aca="false">VLOOKUP($A679,'Order Sales'!$A$2:$G$2154,G$1,FALSE())</f>
        <v>Corporate</v>
      </c>
    </row>
    <row r="680" customFormat="false" ht="14.25" hidden="false" customHeight="false" outlineLevel="0" collapsed="false">
      <c r="A680" s="1" t="n">
        <v>1568</v>
      </c>
      <c r="B680" s="30" t="n">
        <v>43195</v>
      </c>
      <c r="C680" s="30" t="n">
        <v>43802</v>
      </c>
      <c r="D680" s="31" t="n">
        <f aca="false">VLOOKUP(A680,'Order Shipping'!$A$2:$C$2000,3,FALSE())</f>
        <v>9.9</v>
      </c>
      <c r="E680" s="32" t="n">
        <f aca="false">VLOOKUP($A680,'Order Sales'!$A$2:$G$2154,E$1,FALSE())</f>
        <v>16</v>
      </c>
      <c r="F680" s="32" t="n">
        <f aca="false">VLOOKUP($A680,'Order Sales'!$A$2:$G$2154,F$1,FALSE())</f>
        <v>148.73</v>
      </c>
      <c r="G680" s="32" t="str">
        <f aca="false">VLOOKUP($A680,'Order Sales'!$A$2:$G$2154,G$1,FALSE())</f>
        <v>Small Business</v>
      </c>
    </row>
    <row r="681" customFormat="false" ht="14.25" hidden="false" customHeight="false" outlineLevel="0" collapsed="false">
      <c r="A681" s="1" t="n">
        <v>1716</v>
      </c>
      <c r="B681" s="30" t="n">
        <v>43443</v>
      </c>
      <c r="C681" s="30" t="n">
        <v>43803</v>
      </c>
      <c r="D681" s="31" t="n">
        <f aca="false">VLOOKUP(A681,'Order Shipping'!$A$2:$C$2000,3,FALSE())</f>
        <v>32.1</v>
      </c>
      <c r="E681" s="32" t="n">
        <f aca="false">VLOOKUP($A681,'Order Sales'!$A$2:$G$2154,E$1,FALSE())</f>
        <v>23</v>
      </c>
      <c r="F681" s="32" t="n">
        <f aca="false">VLOOKUP($A681,'Order Sales'!$A$2:$G$2154,F$1,FALSE())</f>
        <v>8801.01</v>
      </c>
      <c r="G681" s="32" t="str">
        <f aca="false">VLOOKUP($A681,'Order Sales'!$A$2:$G$2154,G$1,FALSE())</f>
        <v>Home Office</v>
      </c>
    </row>
    <row r="682" customFormat="false" ht="14.25" hidden="false" customHeight="false" outlineLevel="0" collapsed="false">
      <c r="A682" s="1" t="n">
        <v>2652</v>
      </c>
      <c r="B682" s="30" t="n">
        <v>43384</v>
      </c>
      <c r="C682" s="30" t="n">
        <v>43804</v>
      </c>
      <c r="D682" s="31" t="n">
        <f aca="false">VLOOKUP(A682,'Order Shipping'!$A$2:$C$2000,3,FALSE())</f>
        <v>16.8</v>
      </c>
      <c r="E682" s="32" t="n">
        <f aca="false">VLOOKUP($A682,'Order Sales'!$A$2:$G$2154,E$1,FALSE())</f>
        <v>18</v>
      </c>
      <c r="F682" s="32" t="n">
        <f aca="false">VLOOKUP($A682,'Order Sales'!$A$2:$G$2154,F$1,FALSE())</f>
        <v>1881.5</v>
      </c>
      <c r="G682" s="32" t="str">
        <f aca="false">VLOOKUP($A682,'Order Sales'!$A$2:$G$2154,G$1,FALSE())</f>
        <v>Small Business</v>
      </c>
    </row>
    <row r="683" customFormat="false" ht="14.25" hidden="false" customHeight="false" outlineLevel="0" collapsed="false">
      <c r="A683" s="1" t="n">
        <v>1350</v>
      </c>
      <c r="B683" s="30" t="n">
        <v>43412</v>
      </c>
      <c r="C683" s="30" t="n">
        <v>43805</v>
      </c>
      <c r="D683" s="31" t="n">
        <f aca="false">VLOOKUP(A683,'Order Shipping'!$A$2:$C$2000,3,FALSE())</f>
        <v>5.3</v>
      </c>
      <c r="E683" s="32" t="n">
        <f aca="false">VLOOKUP($A683,'Order Sales'!$A$2:$G$2154,E$1,FALSE())</f>
        <v>4</v>
      </c>
      <c r="F683" s="32" t="n">
        <f aca="false">VLOOKUP($A683,'Order Sales'!$A$2:$G$2154,F$1,FALSE())</f>
        <v>29.25</v>
      </c>
      <c r="G683" s="32" t="str">
        <f aca="false">VLOOKUP($A683,'Order Sales'!$A$2:$G$2154,G$1,FALSE())</f>
        <v>Home Office</v>
      </c>
    </row>
    <row r="684" customFormat="false" ht="14.25" hidden="false" customHeight="false" outlineLevel="0" collapsed="false">
      <c r="A684" s="1" t="n">
        <v>1272</v>
      </c>
      <c r="B684" s="30" t="n">
        <v>43180</v>
      </c>
      <c r="C684" s="30" t="n">
        <v>43806</v>
      </c>
      <c r="D684" s="31" t="n">
        <f aca="false">VLOOKUP(A684,'Order Shipping'!$A$2:$C$2000,3,FALSE())</f>
        <v>7.5</v>
      </c>
      <c r="E684" s="32" t="n">
        <f aca="false">VLOOKUP($A684,'Order Sales'!$A$2:$G$2154,E$1,FALSE())</f>
        <v>12</v>
      </c>
      <c r="F684" s="32" t="n">
        <f aca="false">VLOOKUP($A684,'Order Sales'!$A$2:$G$2154,F$1,FALSE())</f>
        <v>162.09</v>
      </c>
      <c r="G684" s="32" t="str">
        <f aca="false">VLOOKUP($A684,'Order Sales'!$A$2:$G$2154,G$1,FALSE())</f>
        <v>Consumer</v>
      </c>
    </row>
    <row r="685" customFormat="false" ht="14.25" hidden="false" customHeight="false" outlineLevel="0" collapsed="false">
      <c r="A685" s="1" t="n">
        <v>2189</v>
      </c>
      <c r="B685" s="30" t="n">
        <v>43116</v>
      </c>
      <c r="C685" s="30" t="n">
        <v>43807</v>
      </c>
      <c r="D685" s="31" t="n">
        <f aca="false">VLOOKUP(A685,'Order Shipping'!$A$2:$C$2000,3,FALSE())</f>
        <v>1.7</v>
      </c>
      <c r="E685" s="32" t="n">
        <f aca="false">VLOOKUP($A685,'Order Sales'!$A$2:$G$2154,E$1,FALSE())</f>
        <v>6</v>
      </c>
      <c r="F685" s="32" t="n">
        <f aca="false">VLOOKUP($A685,'Order Sales'!$A$2:$G$2154,F$1,FALSE())</f>
        <v>30.55</v>
      </c>
      <c r="G685" s="32" t="str">
        <f aca="false">VLOOKUP($A685,'Order Sales'!$A$2:$G$2154,G$1,FALSE())</f>
        <v>Consumer</v>
      </c>
    </row>
    <row r="686" customFormat="false" ht="14.25" hidden="false" customHeight="false" outlineLevel="0" collapsed="false">
      <c r="A686" s="1" t="n">
        <v>2449</v>
      </c>
      <c r="B686" s="30" t="n">
        <v>43108</v>
      </c>
      <c r="C686" s="30" t="n">
        <v>43808</v>
      </c>
      <c r="D686" s="31" t="n">
        <f aca="false">VLOOKUP(A686,'Order Shipping'!$A$2:$C$2000,3,FALSE())</f>
        <v>3.2</v>
      </c>
      <c r="E686" s="32" t="n">
        <f aca="false">VLOOKUP($A686,'Order Sales'!$A$2:$G$2154,E$1,FALSE())</f>
        <v>40</v>
      </c>
      <c r="F686" s="32" t="n">
        <f aca="false">VLOOKUP($A686,'Order Sales'!$A$2:$G$2154,F$1,FALSE())</f>
        <v>210.9</v>
      </c>
      <c r="G686" s="32" t="str">
        <f aca="false">VLOOKUP($A686,'Order Sales'!$A$2:$G$2154,G$1,FALSE())</f>
        <v>Corporate</v>
      </c>
    </row>
    <row r="687" customFormat="false" ht="14.25" hidden="false" customHeight="false" outlineLevel="0" collapsed="false">
      <c r="A687" s="1" t="n">
        <v>2327</v>
      </c>
      <c r="B687" s="30" t="n">
        <v>43154</v>
      </c>
      <c r="C687" s="30" t="n">
        <v>43809</v>
      </c>
      <c r="D687" s="31" t="n">
        <f aca="false">VLOOKUP(A687,'Order Shipping'!$A$2:$C$2000,3,FALSE())</f>
        <v>5.3</v>
      </c>
      <c r="E687" s="32" t="n">
        <f aca="false">VLOOKUP($A687,'Order Sales'!$A$2:$G$2154,E$1,FALSE())</f>
        <v>50</v>
      </c>
      <c r="F687" s="32" t="n">
        <f aca="false">VLOOKUP($A687,'Order Sales'!$A$2:$G$2154,F$1,FALSE())</f>
        <v>8323.27</v>
      </c>
      <c r="G687" s="32" t="str">
        <f aca="false">VLOOKUP($A687,'Order Sales'!$A$2:$G$2154,G$1,FALSE())</f>
        <v>Home Office</v>
      </c>
    </row>
    <row r="688" customFormat="false" ht="14.25" hidden="false" customHeight="false" outlineLevel="0" collapsed="false">
      <c r="A688" s="1" t="n">
        <v>1188</v>
      </c>
      <c r="B688" s="30" t="n">
        <v>43415</v>
      </c>
      <c r="C688" s="30" t="n">
        <v>43810</v>
      </c>
      <c r="D688" s="31" t="n">
        <f aca="false">VLOOKUP(A688,'Order Shipping'!$A$2:$C$2000,3,FALSE())</f>
        <v>42.4</v>
      </c>
      <c r="E688" s="32" t="n">
        <f aca="false">VLOOKUP($A688,'Order Sales'!$A$2:$G$2154,E$1,FALSE())</f>
        <v>44</v>
      </c>
      <c r="F688" s="32" t="n">
        <f aca="false">VLOOKUP($A688,'Order Sales'!$A$2:$G$2154,F$1,FALSE())</f>
        <v>4196.99</v>
      </c>
      <c r="G688" s="32" t="str">
        <f aca="false">VLOOKUP($A688,'Order Sales'!$A$2:$G$2154,G$1,FALSE())</f>
        <v>Home Office</v>
      </c>
    </row>
    <row r="689" customFormat="false" ht="14.25" hidden="false" customHeight="false" outlineLevel="0" collapsed="false">
      <c r="A689" s="1" t="n">
        <v>1207</v>
      </c>
      <c r="B689" s="30" t="n">
        <v>43212</v>
      </c>
      <c r="C689" s="30" t="n">
        <v>43811</v>
      </c>
      <c r="D689" s="31" t="n">
        <f aca="false">VLOOKUP(A689,'Order Shipping'!$A$2:$C$2000,3,FALSE())</f>
        <v>5</v>
      </c>
      <c r="E689" s="32" t="n">
        <f aca="false">VLOOKUP($A689,'Order Sales'!$A$2:$G$2154,E$1,FALSE())</f>
        <v>35</v>
      </c>
      <c r="F689" s="32" t="n">
        <f aca="false">VLOOKUP($A689,'Order Sales'!$A$2:$G$2154,F$1,FALSE())</f>
        <v>399.46</v>
      </c>
      <c r="G689" s="32" t="str">
        <f aca="false">VLOOKUP($A689,'Order Sales'!$A$2:$G$2154,G$1,FALSE())</f>
        <v>Corporate</v>
      </c>
    </row>
    <row r="690" customFormat="false" ht="14.25" hidden="false" customHeight="false" outlineLevel="0" collapsed="false">
      <c r="A690" s="1" t="n">
        <v>2240</v>
      </c>
      <c r="B690" s="30" t="n">
        <v>43351</v>
      </c>
      <c r="C690" s="30" t="n">
        <v>43812</v>
      </c>
      <c r="D690" s="31" t="n">
        <f aca="false">VLOOKUP(A690,'Order Shipping'!$A$2:$C$2000,3,FALSE())</f>
        <v>69.1</v>
      </c>
      <c r="E690" s="32" t="n">
        <f aca="false">VLOOKUP($A690,'Order Sales'!$A$2:$G$2154,E$1,FALSE())</f>
        <v>39</v>
      </c>
      <c r="F690" s="32" t="n">
        <f aca="false">VLOOKUP($A690,'Order Sales'!$A$2:$G$2154,F$1,FALSE())</f>
        <v>22038.34</v>
      </c>
      <c r="G690" s="32" t="str">
        <f aca="false">VLOOKUP($A690,'Order Sales'!$A$2:$G$2154,G$1,FALSE())</f>
        <v>Home Office</v>
      </c>
    </row>
    <row r="691" customFormat="false" ht="14.25" hidden="false" customHeight="false" outlineLevel="0" collapsed="false">
      <c r="A691" s="1" t="n">
        <v>2619</v>
      </c>
      <c r="B691" s="30" t="n">
        <v>43373</v>
      </c>
      <c r="C691" s="30" t="n">
        <v>43813</v>
      </c>
      <c r="D691" s="31" t="n">
        <f aca="false">VLOOKUP(A691,'Order Shipping'!$A$2:$C$2000,3,FALSE())</f>
        <v>5.7</v>
      </c>
      <c r="E691" s="32" t="n">
        <f aca="false">VLOOKUP($A691,'Order Sales'!$A$2:$G$2154,E$1,FALSE())</f>
        <v>3</v>
      </c>
      <c r="F691" s="32" t="n">
        <f aca="false">VLOOKUP($A691,'Order Sales'!$A$2:$G$2154,F$1,FALSE())</f>
        <v>47.98</v>
      </c>
      <c r="G691" s="32" t="str">
        <f aca="false">VLOOKUP($A691,'Order Sales'!$A$2:$G$2154,G$1,FALSE())</f>
        <v>Home Office</v>
      </c>
    </row>
    <row r="692" customFormat="false" ht="14.25" hidden="false" customHeight="false" outlineLevel="0" collapsed="false">
      <c r="A692" s="1" t="n">
        <v>1536</v>
      </c>
      <c r="B692" s="30" t="n">
        <v>43218</v>
      </c>
      <c r="C692" s="30" t="n">
        <v>43814</v>
      </c>
      <c r="D692" s="31" t="n">
        <f aca="false">VLOOKUP(A692,'Order Shipping'!$A$2:$C$2000,3,FALSE())</f>
        <v>63</v>
      </c>
      <c r="E692" s="32" t="n">
        <f aca="false">VLOOKUP($A692,'Order Sales'!$A$2:$G$2154,E$1,FALSE())</f>
        <v>39</v>
      </c>
      <c r="F692" s="32" t="n">
        <f aca="false">VLOOKUP($A692,'Order Sales'!$A$2:$G$2154,F$1,FALSE())</f>
        <v>15057.72</v>
      </c>
      <c r="G692" s="32" t="str">
        <f aca="false">VLOOKUP($A692,'Order Sales'!$A$2:$G$2154,G$1,FALSE())</f>
        <v>Small Business</v>
      </c>
    </row>
    <row r="693" customFormat="false" ht="14.25" hidden="false" customHeight="false" outlineLevel="0" collapsed="false">
      <c r="A693" s="1" t="n">
        <v>1230</v>
      </c>
      <c r="B693" s="30" t="n">
        <v>43382</v>
      </c>
      <c r="C693" s="30" t="n">
        <v>43815</v>
      </c>
      <c r="D693" s="31" t="n">
        <f aca="false">VLOOKUP(A693,'Order Shipping'!$A$2:$C$2000,3,FALSE())</f>
        <v>11.4</v>
      </c>
      <c r="E693" s="32" t="n">
        <f aca="false">VLOOKUP($A693,'Order Sales'!$A$2:$G$2154,E$1,FALSE())</f>
        <v>15</v>
      </c>
      <c r="F693" s="32" t="n">
        <f aca="false">VLOOKUP($A693,'Order Sales'!$A$2:$G$2154,F$1,FALSE())</f>
        <v>258.82</v>
      </c>
      <c r="G693" s="32" t="str">
        <f aca="false">VLOOKUP($A693,'Order Sales'!$A$2:$G$2154,G$1,FALSE())</f>
        <v>Corporate</v>
      </c>
    </row>
    <row r="694" customFormat="false" ht="14.25" hidden="false" customHeight="false" outlineLevel="0" collapsed="false">
      <c r="A694" s="1" t="n">
        <v>2160</v>
      </c>
      <c r="B694" s="30" t="n">
        <v>43171</v>
      </c>
      <c r="C694" s="30" t="n">
        <v>43816</v>
      </c>
      <c r="D694" s="31" t="n">
        <f aca="false">VLOOKUP(A694,'Order Shipping'!$A$2:$C$2000,3,FALSE())</f>
        <v>9.6</v>
      </c>
      <c r="E694" s="32" t="n">
        <f aca="false">VLOOKUP($A694,'Order Sales'!$A$2:$G$2154,E$1,FALSE())</f>
        <v>20</v>
      </c>
      <c r="F694" s="32" t="n">
        <f aca="false">VLOOKUP($A694,'Order Sales'!$A$2:$G$2154,F$1,FALSE())</f>
        <v>170.89</v>
      </c>
      <c r="G694" s="32" t="str">
        <f aca="false">VLOOKUP($A694,'Order Sales'!$A$2:$G$2154,G$1,FALSE())</f>
        <v>Corporate</v>
      </c>
    </row>
    <row r="695" customFormat="false" ht="14.25" hidden="false" customHeight="false" outlineLevel="0" collapsed="false">
      <c r="A695" s="1" t="n">
        <v>1943</v>
      </c>
      <c r="B695" s="30" t="n">
        <v>43440</v>
      </c>
      <c r="C695" s="30" t="n">
        <v>43817</v>
      </c>
      <c r="D695" s="31" t="n">
        <f aca="false">VLOOKUP(A695,'Order Shipping'!$A$2:$C$2000,3,FALSE())</f>
        <v>13.9</v>
      </c>
      <c r="E695" s="32" t="n">
        <f aca="false">VLOOKUP($A695,'Order Sales'!$A$2:$G$2154,E$1,FALSE())</f>
        <v>1</v>
      </c>
      <c r="F695" s="32" t="n">
        <f aca="false">VLOOKUP($A695,'Order Sales'!$A$2:$G$2154,F$1,FALSE())</f>
        <v>38.95</v>
      </c>
      <c r="G695" s="32" t="str">
        <f aca="false">VLOOKUP($A695,'Order Sales'!$A$2:$G$2154,G$1,FALSE())</f>
        <v>Home Office</v>
      </c>
    </row>
    <row r="696" customFormat="false" ht="14.25" hidden="false" customHeight="false" outlineLevel="0" collapsed="false">
      <c r="A696" s="1" t="n">
        <v>2434</v>
      </c>
      <c r="B696" s="30" t="n">
        <v>43156</v>
      </c>
      <c r="C696" s="30" t="n">
        <v>43818</v>
      </c>
      <c r="D696" s="31" t="n">
        <f aca="false">VLOOKUP(A696,'Order Shipping'!$A$2:$C$2000,3,FALSE())</f>
        <v>7.6</v>
      </c>
      <c r="E696" s="32" t="n">
        <f aca="false">VLOOKUP($A696,'Order Sales'!$A$2:$G$2154,E$1,FALSE())</f>
        <v>40</v>
      </c>
      <c r="F696" s="32" t="n">
        <f aca="false">VLOOKUP($A696,'Order Sales'!$A$2:$G$2154,F$1,FALSE())</f>
        <v>6493.88</v>
      </c>
      <c r="G696" s="32" t="str">
        <f aca="false">VLOOKUP($A696,'Order Sales'!$A$2:$G$2154,G$1,FALSE())</f>
        <v>Consumer</v>
      </c>
    </row>
    <row r="697" customFormat="false" ht="14.25" hidden="false" customHeight="false" outlineLevel="0" collapsed="false">
      <c r="A697" s="1" t="n">
        <v>2820</v>
      </c>
      <c r="B697" s="30" t="n">
        <v>43290</v>
      </c>
      <c r="C697" s="30" t="n">
        <v>43819</v>
      </c>
      <c r="D697" s="31" t="n">
        <f aca="false">VLOOKUP(A697,'Order Shipping'!$A$2:$C$2000,3,FALSE())</f>
        <v>1.1</v>
      </c>
      <c r="E697" s="32" t="n">
        <f aca="false">VLOOKUP($A697,'Order Sales'!$A$2:$G$2154,E$1,FALSE())</f>
        <v>12</v>
      </c>
      <c r="F697" s="32" t="n">
        <f aca="false">VLOOKUP($A697,'Order Sales'!$A$2:$G$2154,F$1,FALSE())</f>
        <v>69.3</v>
      </c>
      <c r="G697" s="32" t="str">
        <f aca="false">VLOOKUP($A697,'Order Sales'!$A$2:$G$2154,G$1,FALSE())</f>
        <v>Home Office</v>
      </c>
    </row>
    <row r="698" customFormat="false" ht="14.25" hidden="false" customHeight="false" outlineLevel="0" collapsed="false">
      <c r="A698" s="1" t="n">
        <v>1158</v>
      </c>
      <c r="B698" s="30" t="n">
        <v>43202</v>
      </c>
      <c r="C698" s="30" t="n">
        <v>43820</v>
      </c>
      <c r="D698" s="31" t="n">
        <f aca="false">VLOOKUP(A698,'Order Shipping'!$A$2:$C$2000,3,FALSE())</f>
        <v>0.5</v>
      </c>
      <c r="E698" s="32" t="n">
        <f aca="false">VLOOKUP($A698,'Order Sales'!$A$2:$G$2154,E$1,FALSE())</f>
        <v>41</v>
      </c>
      <c r="F698" s="32" t="n">
        <f aca="false">VLOOKUP($A698,'Order Sales'!$A$2:$G$2154,F$1,FALSE())</f>
        <v>125.62</v>
      </c>
      <c r="G698" s="32" t="str">
        <f aca="false">VLOOKUP($A698,'Order Sales'!$A$2:$G$2154,G$1,FALSE())</f>
        <v>Home Office</v>
      </c>
    </row>
    <row r="699" customFormat="false" ht="14.25" hidden="false" customHeight="false" outlineLevel="0" collapsed="false">
      <c r="A699" s="1" t="n">
        <v>2839</v>
      </c>
      <c r="B699" s="30" t="n">
        <v>43361</v>
      </c>
      <c r="C699" s="30" t="n">
        <v>43821</v>
      </c>
      <c r="D699" s="31" t="n">
        <f aca="false">VLOOKUP(A699,'Order Shipping'!$A$2:$C$2000,3,FALSE())</f>
        <v>8.2</v>
      </c>
      <c r="E699" s="32" t="n">
        <f aca="false">VLOOKUP($A699,'Order Sales'!$A$2:$G$2154,E$1,FALSE())</f>
        <v>10</v>
      </c>
      <c r="F699" s="32" t="n">
        <f aca="false">VLOOKUP($A699,'Order Sales'!$A$2:$G$2154,F$1,FALSE())</f>
        <v>1202.94</v>
      </c>
      <c r="G699" s="32" t="str">
        <f aca="false">VLOOKUP($A699,'Order Sales'!$A$2:$G$2154,G$1,FALSE())</f>
        <v>Corporate</v>
      </c>
    </row>
    <row r="700" customFormat="false" ht="14.25" hidden="false" customHeight="false" outlineLevel="0" collapsed="false">
      <c r="A700" s="1" t="n">
        <v>1973</v>
      </c>
      <c r="B700" s="30" t="n">
        <v>43436</v>
      </c>
      <c r="C700" s="30" t="n">
        <v>43822</v>
      </c>
      <c r="D700" s="31" t="n">
        <f aca="false">VLOOKUP(A700,'Order Shipping'!$A$2:$C$2000,3,FALSE())</f>
        <v>9.6</v>
      </c>
      <c r="E700" s="32" t="n">
        <f aca="false">VLOOKUP($A700,'Order Sales'!$A$2:$G$2154,E$1,FALSE())</f>
        <v>11</v>
      </c>
      <c r="F700" s="32" t="n">
        <f aca="false">VLOOKUP($A700,'Order Sales'!$A$2:$G$2154,F$1,FALSE())</f>
        <v>660.42</v>
      </c>
      <c r="G700" s="32" t="str">
        <f aca="false">VLOOKUP($A700,'Order Sales'!$A$2:$G$2154,G$1,FALSE())</f>
        <v>Consumer</v>
      </c>
    </row>
    <row r="701" customFormat="false" ht="14.25" hidden="false" customHeight="false" outlineLevel="0" collapsed="false">
      <c r="A701" s="1" t="n">
        <v>2176</v>
      </c>
      <c r="B701" s="30" t="n">
        <v>43207</v>
      </c>
      <c r="C701" s="30" t="n">
        <v>43823</v>
      </c>
      <c r="D701" s="31" t="n">
        <f aca="false">VLOOKUP(A701,'Order Shipping'!$A$2:$C$2000,3,FALSE())</f>
        <v>6.7</v>
      </c>
      <c r="E701" s="32" t="n">
        <f aca="false">VLOOKUP($A701,'Order Sales'!$A$2:$G$2154,E$1,FALSE())</f>
        <v>4</v>
      </c>
      <c r="F701" s="32" t="n">
        <f aca="false">VLOOKUP($A701,'Order Sales'!$A$2:$G$2154,F$1,FALSE())</f>
        <v>43.93</v>
      </c>
      <c r="G701" s="32" t="str">
        <f aca="false">VLOOKUP($A701,'Order Sales'!$A$2:$G$2154,G$1,FALSE())</f>
        <v>Corporate</v>
      </c>
    </row>
    <row r="702" customFormat="false" ht="14.25" hidden="false" customHeight="false" outlineLevel="0" collapsed="false">
      <c r="A702" s="1" t="n">
        <v>1338</v>
      </c>
      <c r="B702" s="30" t="n">
        <v>43354</v>
      </c>
      <c r="C702" s="30" t="n">
        <v>43824</v>
      </c>
      <c r="D702" s="31" t="n">
        <f aca="false">VLOOKUP(A702,'Order Shipping'!$A$2:$C$2000,3,FALSE())</f>
        <v>28.6</v>
      </c>
      <c r="E702" s="32" t="n">
        <f aca="false">VLOOKUP($A702,'Order Sales'!$A$2:$G$2154,E$1,FALSE())</f>
        <v>25</v>
      </c>
      <c r="F702" s="32" t="n">
        <f aca="false">VLOOKUP($A702,'Order Sales'!$A$2:$G$2154,F$1,FALSE())</f>
        <v>2041.25</v>
      </c>
      <c r="G702" s="32" t="str">
        <f aca="false">VLOOKUP($A702,'Order Sales'!$A$2:$G$2154,G$1,FALSE())</f>
        <v>Home Office</v>
      </c>
    </row>
    <row r="703" customFormat="false" ht="14.25" hidden="false" customHeight="false" outlineLevel="0" collapsed="false">
      <c r="A703" s="1" t="n">
        <v>2563</v>
      </c>
      <c r="B703" s="30" t="n">
        <v>43438</v>
      </c>
      <c r="C703" s="30" t="n">
        <v>43825</v>
      </c>
      <c r="D703" s="31" t="n">
        <f aca="false">VLOOKUP(A703,'Order Shipping'!$A$2:$C$2000,3,FALSE())</f>
        <v>7.9</v>
      </c>
      <c r="E703" s="32" t="n">
        <f aca="false">VLOOKUP($A703,'Order Sales'!$A$2:$G$2154,E$1,FALSE())</f>
        <v>45</v>
      </c>
      <c r="F703" s="32" t="n">
        <f aca="false">VLOOKUP($A703,'Order Sales'!$A$2:$G$2154,F$1,FALSE())</f>
        <v>330.54</v>
      </c>
      <c r="G703" s="32" t="str">
        <f aca="false">VLOOKUP($A703,'Order Sales'!$A$2:$G$2154,G$1,FALSE())</f>
        <v>Corporate</v>
      </c>
    </row>
    <row r="704" customFormat="false" ht="14.25" hidden="false" customHeight="false" outlineLevel="0" collapsed="false">
      <c r="A704" s="1" t="n">
        <v>2945</v>
      </c>
      <c r="B704" s="30" t="n">
        <v>43190</v>
      </c>
      <c r="C704" s="30" t="n">
        <v>43826</v>
      </c>
      <c r="D704" s="31" t="n">
        <f aca="false">VLOOKUP(A704,'Order Shipping'!$A$2:$C$2000,3,FALSE())</f>
        <v>2.1</v>
      </c>
      <c r="E704" s="32" t="n">
        <f aca="false">VLOOKUP($A704,'Order Sales'!$A$2:$G$2154,E$1,FALSE())</f>
        <v>40</v>
      </c>
      <c r="F704" s="32" t="n">
        <f aca="false">VLOOKUP($A704,'Order Sales'!$A$2:$G$2154,F$1,FALSE())</f>
        <v>1839.19</v>
      </c>
      <c r="G704" s="32" t="str">
        <f aca="false">VLOOKUP($A704,'Order Sales'!$A$2:$G$2154,G$1,FALSE())</f>
        <v>Consumer</v>
      </c>
    </row>
    <row r="705" customFormat="false" ht="14.25" hidden="false" customHeight="false" outlineLevel="0" collapsed="false">
      <c r="A705" s="1" t="n">
        <v>2932</v>
      </c>
      <c r="B705" s="30" t="n">
        <v>43342</v>
      </c>
      <c r="C705" s="30" t="n">
        <v>43827</v>
      </c>
      <c r="D705" s="31" t="n">
        <f aca="false">VLOOKUP(A705,'Order Shipping'!$A$2:$C$2000,3,FALSE())</f>
        <v>74.2</v>
      </c>
      <c r="E705" s="32" t="n">
        <f aca="false">VLOOKUP($A705,'Order Sales'!$A$2:$G$2154,E$1,FALSE())</f>
        <v>25</v>
      </c>
      <c r="F705" s="32" t="n">
        <f aca="false">VLOOKUP($A705,'Order Sales'!$A$2:$G$2154,F$1,FALSE())</f>
        <v>13207.08</v>
      </c>
      <c r="G705" s="32" t="str">
        <f aca="false">VLOOKUP($A705,'Order Sales'!$A$2:$G$2154,G$1,FALSE())</f>
        <v>Consumer</v>
      </c>
    </row>
    <row r="706" customFormat="false" ht="14.25" hidden="false" customHeight="false" outlineLevel="0" collapsed="false">
      <c r="A706" s="1" t="n">
        <v>2965</v>
      </c>
      <c r="B706" s="30" t="n">
        <v>43463</v>
      </c>
      <c r="C706" s="30" t="n">
        <v>43828</v>
      </c>
      <c r="D706" s="31" t="n">
        <f aca="false">VLOOKUP(A706,'Order Shipping'!$A$2:$C$2000,3,FALSE())</f>
        <v>2.1</v>
      </c>
      <c r="E706" s="32" t="n">
        <f aca="false">VLOOKUP($A706,'Order Sales'!$A$2:$G$2154,E$1,FALSE())</f>
        <v>18</v>
      </c>
      <c r="F706" s="32" t="n">
        <f aca="false">VLOOKUP($A706,'Order Sales'!$A$2:$G$2154,F$1,FALSE())</f>
        <v>894.04</v>
      </c>
      <c r="G706" s="32" t="str">
        <f aca="false">VLOOKUP($A706,'Order Sales'!$A$2:$G$2154,G$1,FALSE())</f>
        <v>Small Business</v>
      </c>
    </row>
    <row r="707" customFormat="false" ht="14.25" hidden="false" customHeight="false" outlineLevel="0" collapsed="false">
      <c r="A707" s="1" t="n">
        <v>1461</v>
      </c>
      <c r="B707" s="30" t="n">
        <v>43381</v>
      </c>
      <c r="C707" s="30" t="n">
        <v>43829</v>
      </c>
      <c r="D707" s="31" t="n">
        <f aca="false">VLOOKUP(A707,'Order Shipping'!$A$2:$C$2000,3,FALSE())</f>
        <v>12.4</v>
      </c>
      <c r="E707" s="32" t="n">
        <f aca="false">VLOOKUP($A707,'Order Sales'!$A$2:$G$2154,E$1,FALSE())</f>
        <v>1</v>
      </c>
      <c r="F707" s="32" t="n">
        <f aca="false">VLOOKUP($A707,'Order Sales'!$A$2:$G$2154,F$1,FALSE())</f>
        <v>42.91</v>
      </c>
      <c r="G707" s="32" t="str">
        <f aca="false">VLOOKUP($A707,'Order Sales'!$A$2:$G$2154,G$1,FALSE())</f>
        <v>Small Business</v>
      </c>
    </row>
    <row r="708" customFormat="false" ht="14.25" hidden="false" customHeight="false" outlineLevel="0" collapsed="false">
      <c r="A708" s="1" t="n">
        <v>2888</v>
      </c>
      <c r="B708" s="30" t="n">
        <v>43336</v>
      </c>
      <c r="C708" s="30" t="n">
        <v>43830</v>
      </c>
      <c r="D708" s="31" t="n">
        <f aca="false">VLOOKUP(A708,'Order Shipping'!$A$2:$C$2000,3,FALSE())</f>
        <v>5.8</v>
      </c>
      <c r="E708" s="32" t="n">
        <f aca="false">VLOOKUP($A708,'Order Sales'!$A$2:$G$2154,E$1,FALSE())</f>
        <v>2</v>
      </c>
      <c r="F708" s="32" t="n">
        <f aca="false">VLOOKUP($A708,'Order Sales'!$A$2:$G$2154,F$1,FALSE())</f>
        <v>31.36</v>
      </c>
      <c r="G708" s="32" t="str">
        <f aca="false">VLOOKUP($A708,'Order Sales'!$A$2:$G$2154,G$1,FALSE())</f>
        <v>Corporate</v>
      </c>
    </row>
    <row r="709" customFormat="false" ht="14.25" hidden="false" customHeight="false" outlineLevel="0" collapsed="false">
      <c r="A709" s="1" t="n">
        <v>1995</v>
      </c>
      <c r="B709" s="30" t="n">
        <v>43428</v>
      </c>
      <c r="C709" s="30" t="n">
        <v>43831</v>
      </c>
      <c r="D709" s="31" t="n">
        <f aca="false">VLOOKUP(A709,'Order Shipping'!$A$2:$C$2000,3,FALSE())</f>
        <v>37.5</v>
      </c>
      <c r="E709" s="32" t="n">
        <f aca="false">VLOOKUP($A709,'Order Sales'!$A$2:$G$2154,E$1,FALSE())</f>
        <v>48</v>
      </c>
      <c r="F709" s="32" t="n">
        <f aca="false">VLOOKUP($A709,'Order Sales'!$A$2:$G$2154,F$1,FALSE())</f>
        <v>8966.84</v>
      </c>
      <c r="G709" s="32" t="str">
        <f aca="false">VLOOKUP($A709,'Order Sales'!$A$2:$G$2154,G$1,FALSE())</f>
        <v>Small Business</v>
      </c>
    </row>
    <row r="710" customFormat="false" ht="14.25" hidden="false" customHeight="false" outlineLevel="0" collapsed="false">
      <c r="A710" s="1" t="n">
        <v>1336</v>
      </c>
      <c r="B710" s="30" t="n">
        <v>43143</v>
      </c>
      <c r="C710" s="30" t="n">
        <v>43832</v>
      </c>
      <c r="D710" s="31" t="n">
        <f aca="false">VLOOKUP(A710,'Order Shipping'!$A$2:$C$2000,3,FALSE())</f>
        <v>7.5</v>
      </c>
      <c r="E710" s="32" t="n">
        <f aca="false">VLOOKUP($A710,'Order Sales'!$A$2:$G$2154,E$1,FALSE())</f>
        <v>23</v>
      </c>
      <c r="F710" s="32" t="n">
        <f aca="false">VLOOKUP($A710,'Order Sales'!$A$2:$G$2154,F$1,FALSE())</f>
        <v>136.07</v>
      </c>
      <c r="G710" s="32" t="str">
        <f aca="false">VLOOKUP($A710,'Order Sales'!$A$2:$G$2154,G$1,FALSE())</f>
        <v>Corporate</v>
      </c>
    </row>
    <row r="711" customFormat="false" ht="14.25" hidden="false" customHeight="false" outlineLevel="0" collapsed="false">
      <c r="A711" s="1" t="n">
        <v>1737</v>
      </c>
      <c r="B711" s="30" t="n">
        <v>43401</v>
      </c>
      <c r="C711" s="30" t="n">
        <v>43833</v>
      </c>
      <c r="D711" s="31" t="n">
        <f aca="false">VLOOKUP(A711,'Order Shipping'!$A$2:$C$2000,3,FALSE())</f>
        <v>2.1</v>
      </c>
      <c r="E711" s="32" t="n">
        <f aca="false">VLOOKUP($A711,'Order Sales'!$A$2:$G$2154,E$1,FALSE())</f>
        <v>8</v>
      </c>
      <c r="F711" s="32" t="n">
        <f aca="false">VLOOKUP($A711,'Order Sales'!$A$2:$G$2154,F$1,FALSE())</f>
        <v>35.22</v>
      </c>
      <c r="G711" s="32" t="str">
        <f aca="false">VLOOKUP($A711,'Order Sales'!$A$2:$G$2154,G$1,FALSE())</f>
        <v>Corporate</v>
      </c>
    </row>
    <row r="712" customFormat="false" ht="14.25" hidden="false" customHeight="false" outlineLevel="0" collapsed="false">
      <c r="A712" s="1" t="n">
        <v>2043</v>
      </c>
      <c r="B712" s="30" t="n">
        <v>43366</v>
      </c>
      <c r="C712" s="30" t="n">
        <v>43834</v>
      </c>
      <c r="D712" s="31" t="n">
        <f aca="false">VLOOKUP(A712,'Order Shipping'!$A$2:$C$2000,3,FALSE())</f>
        <v>5.4</v>
      </c>
      <c r="E712" s="32" t="n">
        <f aca="false">VLOOKUP($A712,'Order Sales'!$A$2:$G$2154,E$1,FALSE())</f>
        <v>3</v>
      </c>
      <c r="F712" s="32" t="n">
        <f aca="false">VLOOKUP($A712,'Order Sales'!$A$2:$G$2154,F$1,FALSE())</f>
        <v>20.69</v>
      </c>
      <c r="G712" s="32" t="str">
        <f aca="false">VLOOKUP($A712,'Order Sales'!$A$2:$G$2154,G$1,FALSE())</f>
        <v>Home Office</v>
      </c>
    </row>
    <row r="713" customFormat="false" ht="14.25" hidden="false" customHeight="false" outlineLevel="0" collapsed="false">
      <c r="A713" s="1" t="n">
        <v>2029</v>
      </c>
      <c r="B713" s="30" t="n">
        <v>43369</v>
      </c>
      <c r="C713" s="30" t="n">
        <v>43835</v>
      </c>
      <c r="D713" s="31" t="n">
        <f aca="false">VLOOKUP(A713,'Order Shipping'!$A$2:$C$2000,3,FALSE())</f>
        <v>9.6</v>
      </c>
      <c r="E713" s="32" t="n">
        <f aca="false">VLOOKUP($A713,'Order Sales'!$A$2:$G$2154,E$1,FALSE())</f>
        <v>43</v>
      </c>
      <c r="F713" s="32" t="n">
        <f aca="false">VLOOKUP($A713,'Order Sales'!$A$2:$G$2154,F$1,FALSE())</f>
        <v>6930.88</v>
      </c>
      <c r="G713" s="32" t="str">
        <f aca="false">VLOOKUP($A713,'Order Sales'!$A$2:$G$2154,G$1,FALSE())</f>
        <v>Home Office</v>
      </c>
    </row>
    <row r="714" customFormat="false" ht="14.25" hidden="false" customHeight="false" outlineLevel="0" collapsed="false">
      <c r="A714" s="1" t="n">
        <v>1324</v>
      </c>
      <c r="B714" s="30" t="n">
        <v>43327</v>
      </c>
      <c r="C714" s="30" t="n">
        <v>43836</v>
      </c>
      <c r="D714" s="31" t="n">
        <f aca="false">VLOOKUP(A714,'Order Shipping'!$A$2:$C$2000,3,FALSE())</f>
        <v>19.3</v>
      </c>
      <c r="E714" s="32" t="n">
        <f aca="false">VLOOKUP($A714,'Order Sales'!$A$2:$G$2154,E$1,FALSE())</f>
        <v>44</v>
      </c>
      <c r="F714" s="32" t="n">
        <f aca="false">VLOOKUP($A714,'Order Sales'!$A$2:$G$2154,F$1,FALSE())</f>
        <v>10793.73</v>
      </c>
      <c r="G714" s="32" t="str">
        <f aca="false">VLOOKUP($A714,'Order Sales'!$A$2:$G$2154,G$1,FALSE())</f>
        <v>Corporate</v>
      </c>
    </row>
    <row r="715" customFormat="false" ht="14.25" hidden="false" customHeight="false" outlineLevel="0" collapsed="false">
      <c r="A715" s="1" t="n">
        <v>2905</v>
      </c>
      <c r="B715" s="30" t="n">
        <v>43251</v>
      </c>
      <c r="C715" s="30" t="n">
        <v>43837</v>
      </c>
      <c r="D715" s="31" t="n">
        <f aca="false">VLOOKUP(A715,'Order Shipping'!$A$2:$C$2000,3,FALSE())</f>
        <v>5.6</v>
      </c>
      <c r="E715" s="32" t="n">
        <f aca="false">VLOOKUP($A715,'Order Sales'!$A$2:$G$2154,E$1,FALSE())</f>
        <v>50</v>
      </c>
      <c r="F715" s="32" t="n">
        <f aca="false">VLOOKUP($A715,'Order Sales'!$A$2:$G$2154,F$1,FALSE())</f>
        <v>226.97</v>
      </c>
      <c r="G715" s="32" t="str">
        <f aca="false">VLOOKUP($A715,'Order Sales'!$A$2:$G$2154,G$1,FALSE())</f>
        <v>Corporate</v>
      </c>
    </row>
    <row r="716" customFormat="false" ht="14.25" hidden="false" customHeight="false" outlineLevel="0" collapsed="false">
      <c r="A716" s="1" t="n">
        <v>2118</v>
      </c>
      <c r="B716" s="30" t="n">
        <v>43211</v>
      </c>
      <c r="C716" s="30" t="n">
        <v>43838</v>
      </c>
      <c r="D716" s="31" t="n">
        <f aca="false">VLOOKUP(A716,'Order Shipping'!$A$2:$C$2000,3,FALSE())</f>
        <v>30</v>
      </c>
      <c r="E716" s="32" t="n">
        <f aca="false">VLOOKUP($A716,'Order Sales'!$A$2:$G$2154,E$1,FALSE())</f>
        <v>44</v>
      </c>
      <c r="F716" s="32" t="n">
        <f aca="false">VLOOKUP($A716,'Order Sales'!$A$2:$G$2154,F$1,FALSE())</f>
        <v>12737.87</v>
      </c>
      <c r="G716" s="32" t="str">
        <f aca="false">VLOOKUP($A716,'Order Sales'!$A$2:$G$2154,G$1,FALSE())</f>
        <v>Small Business</v>
      </c>
    </row>
    <row r="717" customFormat="false" ht="14.25" hidden="false" customHeight="false" outlineLevel="0" collapsed="false">
      <c r="A717" s="1" t="n">
        <v>2934</v>
      </c>
      <c r="B717" s="30" t="n">
        <v>43463</v>
      </c>
      <c r="C717" s="30" t="n">
        <v>43839</v>
      </c>
      <c r="D717" s="31" t="n">
        <f aca="false">VLOOKUP(A717,'Order Shipping'!$A$2:$C$2000,3,FALSE())</f>
        <v>3.6</v>
      </c>
      <c r="E717" s="32" t="n">
        <f aca="false">VLOOKUP($A717,'Order Sales'!$A$2:$G$2154,E$1,FALSE())</f>
        <v>40</v>
      </c>
      <c r="F717" s="32" t="n">
        <f aca="false">VLOOKUP($A717,'Order Sales'!$A$2:$G$2154,F$1,FALSE())</f>
        <v>256.65</v>
      </c>
      <c r="G717" s="32" t="str">
        <f aca="false">VLOOKUP($A717,'Order Sales'!$A$2:$G$2154,G$1,FALSE())</f>
        <v>Consumer</v>
      </c>
    </row>
    <row r="718" customFormat="false" ht="14.25" hidden="false" customHeight="false" outlineLevel="0" collapsed="false">
      <c r="A718" s="1" t="n">
        <v>2738</v>
      </c>
      <c r="B718" s="30" t="n">
        <v>43453</v>
      </c>
      <c r="C718" s="30" t="n">
        <v>43840</v>
      </c>
      <c r="D718" s="31" t="n">
        <f aca="false">VLOOKUP(A718,'Order Shipping'!$A$2:$C$2000,3,FALSE())</f>
        <v>7</v>
      </c>
      <c r="E718" s="32" t="n">
        <f aca="false">VLOOKUP($A718,'Order Sales'!$A$2:$G$2154,E$1,FALSE())</f>
        <v>27</v>
      </c>
      <c r="F718" s="32" t="n">
        <f aca="false">VLOOKUP($A718,'Order Sales'!$A$2:$G$2154,F$1,FALSE())</f>
        <v>4123.21</v>
      </c>
      <c r="G718" s="32" t="str">
        <f aca="false">VLOOKUP($A718,'Order Sales'!$A$2:$G$2154,G$1,FALSE())</f>
        <v>Home Office</v>
      </c>
    </row>
    <row r="719" customFormat="false" ht="14.25" hidden="false" customHeight="false" outlineLevel="0" collapsed="false">
      <c r="A719" s="1" t="n">
        <v>2858</v>
      </c>
      <c r="B719" s="30" t="n">
        <v>43373</v>
      </c>
      <c r="C719" s="30" t="n">
        <v>43841</v>
      </c>
      <c r="D719" s="31" t="n">
        <f aca="false">VLOOKUP(A719,'Order Shipping'!$A$2:$C$2000,3,FALSE())</f>
        <v>10.4</v>
      </c>
      <c r="E719" s="32" t="n">
        <f aca="false">VLOOKUP($A719,'Order Sales'!$A$2:$G$2154,E$1,FALSE())</f>
        <v>16</v>
      </c>
      <c r="F719" s="32" t="n">
        <f aca="false">VLOOKUP($A719,'Order Sales'!$A$2:$G$2154,F$1,FALSE())</f>
        <v>110.2</v>
      </c>
      <c r="G719" s="32" t="str">
        <f aca="false">VLOOKUP($A719,'Order Sales'!$A$2:$G$2154,G$1,FALSE())</f>
        <v>Small Business</v>
      </c>
    </row>
    <row r="720" customFormat="false" ht="14.25" hidden="false" customHeight="false" outlineLevel="0" collapsed="false">
      <c r="A720" s="1" t="n">
        <v>1799</v>
      </c>
      <c r="B720" s="30" t="n">
        <v>43321</v>
      </c>
      <c r="C720" s="30" t="n">
        <v>43842</v>
      </c>
      <c r="D720" s="31" t="n">
        <f aca="false">VLOOKUP(A720,'Order Shipping'!$A$2:$C$2000,3,FALSE())</f>
        <v>64.2</v>
      </c>
      <c r="E720" s="32" t="n">
        <f aca="false">VLOOKUP($A720,'Order Sales'!$A$2:$G$2154,E$1,FALSE())</f>
        <v>17</v>
      </c>
      <c r="F720" s="32" t="n">
        <f aca="false">VLOOKUP($A720,'Order Sales'!$A$2:$G$2154,F$1,FALSE())</f>
        <v>6471.55</v>
      </c>
      <c r="G720" s="32" t="str">
        <f aca="false">VLOOKUP($A720,'Order Sales'!$A$2:$G$2154,G$1,FALSE())</f>
        <v>Small Business</v>
      </c>
    </row>
    <row r="721" customFormat="false" ht="14.25" hidden="false" customHeight="false" outlineLevel="0" collapsed="false">
      <c r="A721" s="1" t="n">
        <v>1273</v>
      </c>
      <c r="B721" s="30" t="n">
        <v>43280</v>
      </c>
      <c r="C721" s="30" t="n">
        <v>43843</v>
      </c>
      <c r="D721" s="31" t="n">
        <f aca="false">VLOOKUP(A721,'Order Shipping'!$A$2:$C$2000,3,FALSE())</f>
        <v>1.2</v>
      </c>
      <c r="E721" s="32" t="n">
        <f aca="false">VLOOKUP($A721,'Order Sales'!$A$2:$G$2154,E$1,FALSE())</f>
        <v>43</v>
      </c>
      <c r="F721" s="32" t="n">
        <f aca="false">VLOOKUP($A721,'Order Sales'!$A$2:$G$2154,F$1,FALSE())</f>
        <v>480.61</v>
      </c>
      <c r="G721" s="32" t="str">
        <f aca="false">VLOOKUP($A721,'Order Sales'!$A$2:$G$2154,G$1,FALSE())</f>
        <v>Home Office</v>
      </c>
    </row>
    <row r="722" customFormat="false" ht="14.25" hidden="false" customHeight="false" outlineLevel="0" collapsed="false">
      <c r="A722" s="1" t="n">
        <v>1144</v>
      </c>
      <c r="B722" s="30" t="n">
        <v>43182</v>
      </c>
      <c r="C722" s="30" t="n">
        <v>43844</v>
      </c>
      <c r="D722" s="31" t="n">
        <f aca="false">VLOOKUP(A722,'Order Shipping'!$A$2:$C$2000,3,FALSE())</f>
        <v>5.7</v>
      </c>
      <c r="E722" s="32" t="n">
        <f aca="false">VLOOKUP($A722,'Order Sales'!$A$2:$G$2154,E$1,FALSE())</f>
        <v>45</v>
      </c>
      <c r="F722" s="32" t="n">
        <f aca="false">VLOOKUP($A722,'Order Sales'!$A$2:$G$2154,F$1,FALSE())</f>
        <v>271.66</v>
      </c>
      <c r="G722" s="32" t="str">
        <f aca="false">VLOOKUP($A722,'Order Sales'!$A$2:$G$2154,G$1,FALSE())</f>
        <v>Consumer</v>
      </c>
    </row>
    <row r="723" customFormat="false" ht="14.25" hidden="false" customHeight="false" outlineLevel="0" collapsed="false">
      <c r="A723" s="1" t="n">
        <v>1109</v>
      </c>
      <c r="B723" s="30" t="n">
        <v>43221</v>
      </c>
      <c r="C723" s="30" t="n">
        <v>43845</v>
      </c>
      <c r="D723" s="31" t="n">
        <f aca="false">VLOOKUP(A723,'Order Shipping'!$A$2:$C$2000,3,FALSE())</f>
        <v>4.5</v>
      </c>
      <c r="E723" s="32" t="n">
        <f aca="false">VLOOKUP($A723,'Order Sales'!$A$2:$G$2154,E$1,FALSE())</f>
        <v>28</v>
      </c>
      <c r="F723" s="32" t="n">
        <f aca="false">VLOOKUP($A723,'Order Sales'!$A$2:$G$2154,F$1,FALSE())</f>
        <v>4998.13</v>
      </c>
      <c r="G723" s="32" t="str">
        <f aca="false">VLOOKUP($A723,'Order Sales'!$A$2:$G$2154,G$1,FALSE())</f>
        <v>Corporate</v>
      </c>
    </row>
    <row r="724" customFormat="false" ht="14.25" hidden="false" customHeight="false" outlineLevel="0" collapsed="false">
      <c r="A724" s="1" t="n">
        <v>1857</v>
      </c>
      <c r="B724" s="30" t="n">
        <v>43422</v>
      </c>
      <c r="C724" s="30" t="n">
        <v>43846</v>
      </c>
      <c r="D724" s="31" t="n">
        <f aca="false">VLOOKUP(A724,'Order Shipping'!$A$2:$C$2000,3,FALSE())</f>
        <v>8.8</v>
      </c>
      <c r="E724" s="32" t="n">
        <f aca="false">VLOOKUP($A724,'Order Sales'!$A$2:$G$2154,E$1,FALSE())</f>
        <v>14</v>
      </c>
      <c r="F724" s="32" t="n">
        <f aca="false">VLOOKUP($A724,'Order Sales'!$A$2:$G$2154,F$1,FALSE())</f>
        <v>100.92</v>
      </c>
      <c r="G724" s="32" t="str">
        <f aca="false">VLOOKUP($A724,'Order Sales'!$A$2:$G$2154,G$1,FALSE())</f>
        <v>Home Office</v>
      </c>
    </row>
    <row r="725" customFormat="false" ht="14.25" hidden="false" customHeight="false" outlineLevel="0" collapsed="false">
      <c r="A725" s="1" t="n">
        <v>2671</v>
      </c>
      <c r="B725" s="30" t="n">
        <v>43450</v>
      </c>
      <c r="C725" s="30" t="n">
        <v>43847</v>
      </c>
      <c r="D725" s="31" t="n">
        <f aca="false">VLOOKUP(A725,'Order Shipping'!$A$2:$C$2000,3,FALSE())</f>
        <v>5.3</v>
      </c>
      <c r="E725" s="32" t="n">
        <f aca="false">VLOOKUP($A725,'Order Sales'!$A$2:$G$2154,E$1,FALSE())</f>
        <v>27</v>
      </c>
      <c r="F725" s="32" t="n">
        <f aca="false">VLOOKUP($A725,'Order Sales'!$A$2:$G$2154,F$1,FALSE())</f>
        <v>147.13</v>
      </c>
      <c r="G725" s="32" t="str">
        <f aca="false">VLOOKUP($A725,'Order Sales'!$A$2:$G$2154,G$1,FALSE())</f>
        <v>Corporate</v>
      </c>
    </row>
    <row r="726" customFormat="false" ht="14.25" hidden="false" customHeight="false" outlineLevel="0" collapsed="false">
      <c r="A726" s="1" t="n">
        <v>2518</v>
      </c>
      <c r="B726" s="30" t="n">
        <v>43305</v>
      </c>
      <c r="C726" s="30" t="n">
        <v>43848</v>
      </c>
      <c r="D726" s="31" t="n">
        <f aca="false">VLOOKUP(A726,'Order Shipping'!$A$2:$C$2000,3,FALSE())</f>
        <v>3.9</v>
      </c>
      <c r="E726" s="32" t="n">
        <f aca="false">VLOOKUP($A726,'Order Sales'!$A$2:$G$2154,E$1,FALSE())</f>
        <v>42</v>
      </c>
      <c r="F726" s="32" t="n">
        <f aca="false">VLOOKUP($A726,'Order Sales'!$A$2:$G$2154,F$1,FALSE())</f>
        <v>1050.45</v>
      </c>
      <c r="G726" s="32" t="str">
        <f aca="false">VLOOKUP($A726,'Order Sales'!$A$2:$G$2154,G$1,FALSE())</f>
        <v>Consumer</v>
      </c>
    </row>
    <row r="727" customFormat="false" ht="14.25" hidden="false" customHeight="false" outlineLevel="0" collapsed="false">
      <c r="A727" s="1" t="n">
        <v>2474</v>
      </c>
      <c r="B727" s="30" t="n">
        <v>43222</v>
      </c>
      <c r="C727" s="30" t="n">
        <v>43849</v>
      </c>
      <c r="D727" s="31" t="n">
        <f aca="false">VLOOKUP(A727,'Order Shipping'!$A$2:$C$2000,3,FALSE())</f>
        <v>6.6</v>
      </c>
      <c r="E727" s="32" t="n">
        <f aca="false">VLOOKUP($A727,'Order Sales'!$A$2:$G$2154,E$1,FALSE())</f>
        <v>22</v>
      </c>
      <c r="F727" s="32" t="n">
        <f aca="false">VLOOKUP($A727,'Order Sales'!$A$2:$G$2154,F$1,FALSE())</f>
        <v>193.58</v>
      </c>
      <c r="G727" s="32" t="str">
        <f aca="false">VLOOKUP($A727,'Order Sales'!$A$2:$G$2154,G$1,FALSE())</f>
        <v>Consumer</v>
      </c>
    </row>
    <row r="728" customFormat="false" ht="14.25" hidden="false" customHeight="false" outlineLevel="0" collapsed="false">
      <c r="A728" s="1" t="n">
        <v>1884</v>
      </c>
      <c r="B728" s="30" t="n">
        <v>43234</v>
      </c>
      <c r="C728" s="30" t="n">
        <v>43850</v>
      </c>
      <c r="D728" s="31" t="n">
        <f aca="false">VLOOKUP(A728,'Order Shipping'!$A$2:$C$2000,3,FALSE())</f>
        <v>9.6</v>
      </c>
      <c r="E728" s="32" t="n">
        <f aca="false">VLOOKUP($A728,'Order Sales'!$A$2:$G$2154,E$1,FALSE())</f>
        <v>23</v>
      </c>
      <c r="F728" s="32" t="n">
        <f aca="false">VLOOKUP($A728,'Order Sales'!$A$2:$G$2154,F$1,FALSE())</f>
        <v>207.41</v>
      </c>
      <c r="G728" s="32" t="str">
        <f aca="false">VLOOKUP($A728,'Order Sales'!$A$2:$G$2154,G$1,FALSE())</f>
        <v>Small Business</v>
      </c>
    </row>
    <row r="729" customFormat="false" ht="14.25" hidden="false" customHeight="false" outlineLevel="0" collapsed="false">
      <c r="A729" s="1" t="n">
        <v>1438</v>
      </c>
      <c r="B729" s="30" t="n">
        <v>43447</v>
      </c>
      <c r="C729" s="30" t="n">
        <v>43851</v>
      </c>
      <c r="D729" s="31" t="n">
        <f aca="false">VLOOKUP(A729,'Order Shipping'!$A$2:$C$2000,3,FALSE())</f>
        <v>62.8</v>
      </c>
      <c r="E729" s="32" t="n">
        <f aca="false">VLOOKUP($A729,'Order Sales'!$A$2:$G$2154,E$1,FALSE())</f>
        <v>34</v>
      </c>
      <c r="F729" s="32" t="n">
        <f aca="false">VLOOKUP($A729,'Order Sales'!$A$2:$G$2154,F$1,FALSE())</f>
        <v>3827.51</v>
      </c>
      <c r="G729" s="32" t="str">
        <f aca="false">VLOOKUP($A729,'Order Sales'!$A$2:$G$2154,G$1,FALSE())</f>
        <v>Corporate</v>
      </c>
    </row>
    <row r="730" customFormat="false" ht="14.25" hidden="false" customHeight="false" outlineLevel="0" collapsed="false">
      <c r="A730" s="1" t="n">
        <v>1732</v>
      </c>
      <c r="B730" s="30" t="n">
        <v>43298</v>
      </c>
      <c r="C730" s="30" t="n">
        <v>43852</v>
      </c>
      <c r="D730" s="31" t="n">
        <f aca="false">VLOOKUP(A730,'Order Shipping'!$A$2:$C$2000,3,FALSE())</f>
        <v>21.4</v>
      </c>
      <c r="E730" s="32" t="n">
        <f aca="false">VLOOKUP($A730,'Order Sales'!$A$2:$G$2154,E$1,FALSE())</f>
        <v>3</v>
      </c>
      <c r="F730" s="32" t="n">
        <f aca="false">VLOOKUP($A730,'Order Sales'!$A$2:$G$2154,F$1,FALSE())</f>
        <v>298.88</v>
      </c>
      <c r="G730" s="32" t="str">
        <f aca="false">VLOOKUP($A730,'Order Sales'!$A$2:$G$2154,G$1,FALSE())</f>
        <v>Corporate</v>
      </c>
    </row>
    <row r="731" customFormat="false" ht="14.25" hidden="false" customHeight="false" outlineLevel="0" collapsed="false">
      <c r="A731" s="1" t="n">
        <v>1778</v>
      </c>
      <c r="B731" s="30" t="n">
        <v>43403</v>
      </c>
      <c r="C731" s="30" t="n">
        <v>43853</v>
      </c>
      <c r="D731" s="31" t="n">
        <f aca="false">VLOOKUP(A731,'Order Shipping'!$A$2:$C$2000,3,FALSE())</f>
        <v>6.2</v>
      </c>
      <c r="E731" s="32" t="n">
        <f aca="false">VLOOKUP($A731,'Order Sales'!$A$2:$G$2154,E$1,FALSE())</f>
        <v>30</v>
      </c>
      <c r="F731" s="32" t="n">
        <f aca="false">VLOOKUP($A731,'Order Sales'!$A$2:$G$2154,F$1,FALSE())</f>
        <v>214.26</v>
      </c>
      <c r="G731" s="32" t="str">
        <f aca="false">VLOOKUP($A731,'Order Sales'!$A$2:$G$2154,G$1,FALSE())</f>
        <v>Home Office</v>
      </c>
    </row>
    <row r="732" customFormat="false" ht="14.25" hidden="false" customHeight="false" outlineLevel="0" collapsed="false">
      <c r="A732" s="1" t="n">
        <v>2811</v>
      </c>
      <c r="B732" s="30" t="n">
        <v>43262</v>
      </c>
      <c r="C732" s="30" t="n">
        <v>43854</v>
      </c>
      <c r="D732" s="31" t="n">
        <f aca="false">VLOOKUP(A732,'Order Shipping'!$A$2:$C$2000,3,FALSE())</f>
        <v>7.4</v>
      </c>
      <c r="E732" s="32" t="n">
        <f aca="false">VLOOKUP($A732,'Order Sales'!$A$2:$G$2154,E$1,FALSE())</f>
        <v>34</v>
      </c>
      <c r="F732" s="32" t="n">
        <f aca="false">VLOOKUP($A732,'Order Sales'!$A$2:$G$2154,F$1,FALSE())</f>
        <v>165.24</v>
      </c>
      <c r="G732" s="32" t="str">
        <f aca="false">VLOOKUP($A732,'Order Sales'!$A$2:$G$2154,G$1,FALSE())</f>
        <v>Small Business</v>
      </c>
    </row>
    <row r="733" customFormat="false" ht="14.25" hidden="false" customHeight="false" outlineLevel="0" collapsed="false">
      <c r="A733" s="1" t="n">
        <v>2783</v>
      </c>
      <c r="B733" s="30" t="n">
        <v>43260</v>
      </c>
      <c r="C733" s="30" t="n">
        <v>43855</v>
      </c>
      <c r="D733" s="31" t="n">
        <f aca="false">VLOOKUP(A733,'Order Shipping'!$A$2:$C$2000,3,FALSE())</f>
        <v>9</v>
      </c>
      <c r="E733" s="32" t="n">
        <f aca="false">VLOOKUP($A733,'Order Sales'!$A$2:$G$2154,E$1,FALSE())</f>
        <v>39</v>
      </c>
      <c r="F733" s="32" t="n">
        <f aca="false">VLOOKUP($A733,'Order Sales'!$A$2:$G$2154,F$1,FALSE())</f>
        <v>659.66</v>
      </c>
      <c r="G733" s="32" t="str">
        <f aca="false">VLOOKUP($A733,'Order Sales'!$A$2:$G$2154,G$1,FALSE())</f>
        <v>Small Business</v>
      </c>
    </row>
    <row r="734" customFormat="false" ht="14.25" hidden="false" customHeight="false" outlineLevel="0" collapsed="false">
      <c r="A734" s="1" t="n">
        <v>1871</v>
      </c>
      <c r="B734" s="30" t="n">
        <v>43444</v>
      </c>
      <c r="C734" s="30" t="n">
        <v>43856</v>
      </c>
      <c r="D734" s="31" t="n">
        <f aca="false">VLOOKUP(A734,'Order Shipping'!$A$2:$C$2000,3,FALSE())</f>
        <v>4.8</v>
      </c>
      <c r="E734" s="32" t="n">
        <f aca="false">VLOOKUP($A734,'Order Sales'!$A$2:$G$2154,E$1,FALSE())</f>
        <v>25</v>
      </c>
      <c r="F734" s="32" t="n">
        <f aca="false">VLOOKUP($A734,'Order Sales'!$A$2:$G$2154,F$1,FALSE())</f>
        <v>287.38</v>
      </c>
      <c r="G734" s="32" t="str">
        <f aca="false">VLOOKUP($A734,'Order Sales'!$A$2:$G$2154,G$1,FALSE())</f>
        <v>Corporate</v>
      </c>
    </row>
    <row r="735" customFormat="false" ht="14.25" hidden="false" customHeight="false" outlineLevel="0" collapsed="false">
      <c r="A735" s="1" t="n">
        <v>2467</v>
      </c>
      <c r="B735" s="30" t="n">
        <v>43279</v>
      </c>
      <c r="C735" s="30" t="n">
        <v>43857</v>
      </c>
      <c r="D735" s="31" t="n">
        <f aca="false">VLOOKUP(A735,'Order Shipping'!$A$2:$C$2000,3,FALSE())</f>
        <v>4.2</v>
      </c>
      <c r="E735" s="32" t="n">
        <f aca="false">VLOOKUP($A735,'Order Sales'!$A$2:$G$2154,E$1,FALSE())</f>
        <v>17</v>
      </c>
      <c r="F735" s="32" t="n">
        <f aca="false">VLOOKUP($A735,'Order Sales'!$A$2:$G$2154,F$1,FALSE())</f>
        <v>62.02</v>
      </c>
      <c r="G735" s="32" t="str">
        <f aca="false">VLOOKUP($A735,'Order Sales'!$A$2:$G$2154,G$1,FALSE())</f>
        <v>Small Business</v>
      </c>
    </row>
    <row r="736" customFormat="false" ht="14.25" hidden="false" customHeight="false" outlineLevel="0" collapsed="false">
      <c r="A736" s="1" t="n">
        <v>1046</v>
      </c>
      <c r="B736" s="30" t="n">
        <v>43379</v>
      </c>
      <c r="C736" s="30" t="n">
        <v>43858</v>
      </c>
      <c r="D736" s="31" t="n">
        <f aca="false">VLOOKUP(A736,'Order Shipping'!$A$2:$C$2000,3,FALSE())</f>
        <v>5.5</v>
      </c>
      <c r="E736" s="32" t="n">
        <f aca="false">VLOOKUP($A736,'Order Sales'!$A$2:$G$2154,E$1,FALSE())</f>
        <v>18</v>
      </c>
      <c r="F736" s="32" t="n">
        <f aca="false">VLOOKUP($A736,'Order Sales'!$A$2:$G$2154,F$1,FALSE())</f>
        <v>133.92</v>
      </c>
      <c r="G736" s="32" t="str">
        <f aca="false">VLOOKUP($A736,'Order Sales'!$A$2:$G$2154,G$1,FALSE())</f>
        <v>Small Business</v>
      </c>
    </row>
    <row r="737" customFormat="false" ht="14.25" hidden="false" customHeight="false" outlineLevel="0" collapsed="false">
      <c r="A737" s="1" t="n">
        <v>2377</v>
      </c>
      <c r="B737" s="30" t="n">
        <v>43419</v>
      </c>
      <c r="C737" s="30" t="n">
        <v>43859</v>
      </c>
      <c r="D737" s="31" t="n">
        <f aca="false">VLOOKUP(A737,'Order Shipping'!$A$2:$C$2000,3,FALSE())</f>
        <v>6.4</v>
      </c>
      <c r="E737" s="32" t="n">
        <f aca="false">VLOOKUP($A737,'Order Sales'!$A$2:$G$2154,E$1,FALSE())</f>
        <v>23</v>
      </c>
      <c r="F737" s="32" t="n">
        <f aca="false">VLOOKUP($A737,'Order Sales'!$A$2:$G$2154,F$1,FALSE())</f>
        <v>167.46</v>
      </c>
      <c r="G737" s="32" t="str">
        <f aca="false">VLOOKUP($A737,'Order Sales'!$A$2:$G$2154,G$1,FALSE())</f>
        <v>Corporate</v>
      </c>
    </row>
    <row r="738" customFormat="false" ht="14.25" hidden="false" customHeight="false" outlineLevel="0" collapsed="false">
      <c r="A738" s="1" t="n">
        <v>1481</v>
      </c>
      <c r="B738" s="30" t="n">
        <v>43225</v>
      </c>
      <c r="C738" s="30" t="n">
        <v>43860</v>
      </c>
      <c r="D738" s="31" t="n">
        <f aca="false">VLOOKUP(A738,'Order Shipping'!$A$2:$C$2000,3,FALSE())</f>
        <v>2.7</v>
      </c>
      <c r="E738" s="32" t="n">
        <f aca="false">VLOOKUP($A738,'Order Sales'!$A$2:$G$2154,E$1,FALSE())</f>
        <v>47</v>
      </c>
      <c r="F738" s="32" t="n">
        <f aca="false">VLOOKUP($A738,'Order Sales'!$A$2:$G$2154,F$1,FALSE())</f>
        <v>5485.27</v>
      </c>
      <c r="G738" s="32" t="str">
        <f aca="false">VLOOKUP($A738,'Order Sales'!$A$2:$G$2154,G$1,FALSE())</f>
        <v>Corporate</v>
      </c>
    </row>
    <row r="739" customFormat="false" ht="14.25" hidden="false" customHeight="false" outlineLevel="0" collapsed="false">
      <c r="A739" s="1" t="n">
        <v>2687</v>
      </c>
      <c r="B739" s="30" t="n">
        <v>43140</v>
      </c>
      <c r="C739" s="30" t="n">
        <v>43861</v>
      </c>
      <c r="D739" s="31" t="n">
        <f aca="false">VLOOKUP(A739,'Order Shipping'!$A$2:$C$2000,3,FALSE())</f>
        <v>12</v>
      </c>
      <c r="E739" s="32" t="n">
        <f aca="false">VLOOKUP($A739,'Order Sales'!$A$2:$G$2154,E$1,FALSE())</f>
        <v>43</v>
      </c>
      <c r="F739" s="32" t="n">
        <f aca="false">VLOOKUP($A739,'Order Sales'!$A$2:$G$2154,F$1,FALSE())</f>
        <v>918.63</v>
      </c>
      <c r="G739" s="32" t="str">
        <f aca="false">VLOOKUP($A739,'Order Sales'!$A$2:$G$2154,G$1,FALSE())</f>
        <v>Corporate</v>
      </c>
    </row>
    <row r="740" customFormat="false" ht="14.25" hidden="false" customHeight="false" outlineLevel="0" collapsed="false">
      <c r="A740" s="1" t="n">
        <v>1653</v>
      </c>
      <c r="B740" s="30" t="n">
        <v>43168</v>
      </c>
      <c r="C740" s="30" t="n">
        <v>43862</v>
      </c>
      <c r="D740" s="31" t="n">
        <f aca="false">VLOOKUP(A740,'Order Shipping'!$A$2:$C$2000,3,FALSE())</f>
        <v>1.1</v>
      </c>
      <c r="E740" s="32" t="n">
        <f aca="false">VLOOKUP($A740,'Order Sales'!$A$2:$G$2154,E$1,FALSE())</f>
        <v>17</v>
      </c>
      <c r="F740" s="32" t="n">
        <f aca="false">VLOOKUP($A740,'Order Sales'!$A$2:$G$2154,F$1,FALSE())</f>
        <v>1276.64</v>
      </c>
      <c r="G740" s="32" t="str">
        <f aca="false">VLOOKUP($A740,'Order Sales'!$A$2:$G$2154,G$1,FALSE())</f>
        <v>Home Office</v>
      </c>
    </row>
    <row r="741" customFormat="false" ht="14.25" hidden="false" customHeight="false" outlineLevel="0" collapsed="false">
      <c r="A741" s="1" t="n">
        <v>1254</v>
      </c>
      <c r="B741" s="30" t="n">
        <v>43253</v>
      </c>
      <c r="C741" s="30" t="n">
        <v>43863</v>
      </c>
      <c r="D741" s="31" t="n">
        <f aca="false">VLOOKUP(A741,'Order Shipping'!$A$2:$C$2000,3,FALSE())</f>
        <v>5.6</v>
      </c>
      <c r="E741" s="32" t="n">
        <f aca="false">VLOOKUP($A741,'Order Sales'!$A$2:$G$2154,E$1,FALSE())</f>
        <v>27</v>
      </c>
      <c r="F741" s="32" t="n">
        <f aca="false">VLOOKUP($A741,'Order Sales'!$A$2:$G$2154,F$1,FALSE())</f>
        <v>210.95</v>
      </c>
      <c r="G741" s="32" t="str">
        <f aca="false">VLOOKUP($A741,'Order Sales'!$A$2:$G$2154,G$1,FALSE())</f>
        <v>Consumer</v>
      </c>
    </row>
    <row r="742" customFormat="false" ht="14.25" hidden="false" customHeight="false" outlineLevel="0" collapsed="false">
      <c r="A742" s="1" t="n">
        <v>2735</v>
      </c>
      <c r="B742" s="30" t="n">
        <v>43204</v>
      </c>
      <c r="C742" s="30" t="n">
        <v>43864</v>
      </c>
      <c r="D742" s="31" t="n">
        <f aca="false">VLOOKUP(A742,'Order Shipping'!$A$2:$C$2000,3,FALSE())</f>
        <v>6.3</v>
      </c>
      <c r="E742" s="32" t="n">
        <f aca="false">VLOOKUP($A742,'Order Sales'!$A$2:$G$2154,E$1,FALSE())</f>
        <v>4</v>
      </c>
      <c r="F742" s="32" t="n">
        <f aca="false">VLOOKUP($A742,'Order Sales'!$A$2:$G$2154,F$1,FALSE())</f>
        <v>33.32</v>
      </c>
      <c r="G742" s="32" t="str">
        <f aca="false">VLOOKUP($A742,'Order Sales'!$A$2:$G$2154,G$1,FALSE())</f>
        <v>Consumer</v>
      </c>
    </row>
    <row r="743" customFormat="false" ht="14.25" hidden="false" customHeight="false" outlineLevel="0" collapsed="false">
      <c r="A743" s="1" t="n">
        <v>2113</v>
      </c>
      <c r="B743" s="30" t="n">
        <v>43415</v>
      </c>
      <c r="C743" s="30" t="n">
        <v>43865</v>
      </c>
      <c r="D743" s="31" t="n">
        <f aca="false">VLOOKUP(A743,'Order Shipping'!$A$2:$C$2000,3,FALSE())</f>
        <v>13.5</v>
      </c>
      <c r="E743" s="32" t="n">
        <f aca="false">VLOOKUP($A743,'Order Sales'!$A$2:$G$2154,E$1,FALSE())</f>
        <v>46</v>
      </c>
      <c r="F743" s="32" t="n">
        <f aca="false">VLOOKUP($A743,'Order Sales'!$A$2:$G$2154,F$1,FALSE())</f>
        <v>6398.43</v>
      </c>
      <c r="G743" s="32" t="str">
        <f aca="false">VLOOKUP($A743,'Order Sales'!$A$2:$G$2154,G$1,FALSE())</f>
        <v>Small Business</v>
      </c>
    </row>
    <row r="744" customFormat="false" ht="14.25" hidden="false" customHeight="false" outlineLevel="0" collapsed="false">
      <c r="A744" s="1" t="n">
        <v>1478</v>
      </c>
      <c r="B744" s="30" t="n">
        <v>43108</v>
      </c>
      <c r="C744" s="30" t="n">
        <v>43866</v>
      </c>
      <c r="D744" s="31" t="n">
        <f aca="false">VLOOKUP(A744,'Order Shipping'!$A$2:$C$2000,3,FALSE())</f>
        <v>48.2</v>
      </c>
      <c r="E744" s="32" t="n">
        <f aca="false">VLOOKUP($A744,'Order Sales'!$A$2:$G$2154,E$1,FALSE())</f>
        <v>38</v>
      </c>
      <c r="F744" s="32" t="n">
        <f aca="false">VLOOKUP($A744,'Order Sales'!$A$2:$G$2154,F$1,FALSE())</f>
        <v>907.17</v>
      </c>
      <c r="G744" s="32" t="str">
        <f aca="false">VLOOKUP($A744,'Order Sales'!$A$2:$G$2154,G$1,FALSE())</f>
        <v>Corporate</v>
      </c>
    </row>
    <row r="745" customFormat="false" ht="14.25" hidden="false" customHeight="false" outlineLevel="0" collapsed="false">
      <c r="A745" s="1" t="n">
        <v>1498</v>
      </c>
      <c r="B745" s="30" t="n">
        <v>43305</v>
      </c>
      <c r="C745" s="30" t="n">
        <v>43867</v>
      </c>
      <c r="D745" s="31" t="n">
        <f aca="false">VLOOKUP(A745,'Order Shipping'!$A$2:$C$2000,3,FALSE())</f>
        <v>21.4</v>
      </c>
      <c r="E745" s="32" t="n">
        <f aca="false">VLOOKUP($A745,'Order Sales'!$A$2:$G$2154,E$1,FALSE())</f>
        <v>29</v>
      </c>
      <c r="F745" s="32" t="n">
        <f aca="false">VLOOKUP($A745,'Order Sales'!$A$2:$G$2154,F$1,FALSE())</f>
        <v>3098.87</v>
      </c>
      <c r="G745" s="32" t="str">
        <f aca="false">VLOOKUP($A745,'Order Sales'!$A$2:$G$2154,G$1,FALSE())</f>
        <v>Home Office</v>
      </c>
    </row>
    <row r="746" customFormat="false" ht="14.25" hidden="false" customHeight="false" outlineLevel="0" collapsed="false">
      <c r="A746" s="1" t="n">
        <v>2628</v>
      </c>
      <c r="B746" s="30" t="n">
        <v>43180</v>
      </c>
      <c r="C746" s="30" t="n">
        <v>43868</v>
      </c>
      <c r="D746" s="31" t="n">
        <f aca="false">VLOOKUP(A746,'Order Shipping'!$A$2:$C$2000,3,FALSE())</f>
        <v>5.7</v>
      </c>
      <c r="E746" s="32" t="n">
        <f aca="false">VLOOKUP($A746,'Order Sales'!$A$2:$G$2154,E$1,FALSE())</f>
        <v>33</v>
      </c>
      <c r="F746" s="32" t="n">
        <f aca="false">VLOOKUP($A746,'Order Sales'!$A$2:$G$2154,F$1,FALSE())</f>
        <v>2033.24</v>
      </c>
      <c r="G746" s="32" t="str">
        <f aca="false">VLOOKUP($A746,'Order Sales'!$A$2:$G$2154,G$1,FALSE())</f>
        <v>Small Business</v>
      </c>
    </row>
    <row r="747" customFormat="false" ht="14.25" hidden="false" customHeight="false" outlineLevel="0" collapsed="false">
      <c r="A747" s="1" t="n">
        <v>2590</v>
      </c>
      <c r="B747" s="30" t="n">
        <v>43231</v>
      </c>
      <c r="C747" s="30" t="n">
        <v>43869</v>
      </c>
      <c r="D747" s="31" t="n">
        <f aca="false">VLOOKUP(A747,'Order Shipping'!$A$2:$C$2000,3,FALSE())</f>
        <v>8.5</v>
      </c>
      <c r="E747" s="32" t="n">
        <f aca="false">VLOOKUP($A747,'Order Sales'!$A$2:$G$2154,E$1,FALSE())</f>
        <v>42</v>
      </c>
      <c r="F747" s="32" t="n">
        <f aca="false">VLOOKUP($A747,'Order Sales'!$A$2:$G$2154,F$1,FALSE())</f>
        <v>290.12</v>
      </c>
      <c r="G747" s="32" t="str">
        <f aca="false">VLOOKUP($A747,'Order Sales'!$A$2:$G$2154,G$1,FALSE())</f>
        <v>Corporate</v>
      </c>
    </row>
    <row r="748" customFormat="false" ht="14.25" hidden="false" customHeight="false" outlineLevel="0" collapsed="false">
      <c r="A748" s="1" t="n">
        <v>1442</v>
      </c>
      <c r="B748" s="30" t="n">
        <v>43377</v>
      </c>
      <c r="C748" s="30" t="n">
        <v>43870</v>
      </c>
      <c r="D748" s="31" t="n">
        <f aca="false">VLOOKUP(A748,'Order Shipping'!$A$2:$C$2000,3,FALSE())</f>
        <v>9.8</v>
      </c>
      <c r="E748" s="32" t="n">
        <f aca="false">VLOOKUP($A748,'Order Sales'!$A$2:$G$2154,E$1,FALSE())</f>
        <v>12</v>
      </c>
      <c r="F748" s="32" t="n">
        <f aca="false">VLOOKUP($A748,'Order Sales'!$A$2:$G$2154,F$1,FALSE())</f>
        <v>537.15</v>
      </c>
      <c r="G748" s="32" t="str">
        <f aca="false">VLOOKUP($A748,'Order Sales'!$A$2:$G$2154,G$1,FALSE())</f>
        <v>Corporate</v>
      </c>
    </row>
    <row r="749" customFormat="false" ht="14.25" hidden="false" customHeight="false" outlineLevel="0" collapsed="false">
      <c r="A749" s="1" t="n">
        <v>2863</v>
      </c>
      <c r="B749" s="30" t="n">
        <v>43432</v>
      </c>
      <c r="C749" s="30" t="n">
        <v>43871</v>
      </c>
      <c r="D749" s="31" t="n">
        <f aca="false">VLOOKUP(A749,'Order Shipping'!$A$2:$C$2000,3,FALSE())</f>
        <v>9.6</v>
      </c>
      <c r="E749" s="32" t="n">
        <f aca="false">VLOOKUP($A749,'Order Sales'!$A$2:$G$2154,E$1,FALSE())</f>
        <v>13</v>
      </c>
      <c r="F749" s="32" t="n">
        <f aca="false">VLOOKUP($A749,'Order Sales'!$A$2:$G$2154,F$1,FALSE())</f>
        <v>263.28</v>
      </c>
      <c r="G749" s="32" t="str">
        <f aca="false">VLOOKUP($A749,'Order Sales'!$A$2:$G$2154,G$1,FALSE())</f>
        <v>Corporate</v>
      </c>
    </row>
    <row r="750" customFormat="false" ht="14.25" hidden="false" customHeight="false" outlineLevel="0" collapsed="false">
      <c r="A750" s="1" t="n">
        <v>2038</v>
      </c>
      <c r="B750" s="30" t="n">
        <v>43137</v>
      </c>
      <c r="C750" s="30" t="n">
        <v>43872</v>
      </c>
      <c r="D750" s="31" t="n">
        <f aca="false">VLOOKUP(A750,'Order Shipping'!$A$2:$C$2000,3,FALSE())</f>
        <v>2.7</v>
      </c>
      <c r="E750" s="32" t="n">
        <f aca="false">VLOOKUP($A750,'Order Sales'!$A$2:$G$2154,E$1,FALSE())</f>
        <v>42</v>
      </c>
      <c r="F750" s="32" t="n">
        <f aca="false">VLOOKUP($A750,'Order Sales'!$A$2:$G$2154,F$1,FALSE())</f>
        <v>4173.57</v>
      </c>
      <c r="G750" s="32" t="str">
        <f aca="false">VLOOKUP($A750,'Order Sales'!$A$2:$G$2154,G$1,FALSE())</f>
        <v>Corporate</v>
      </c>
    </row>
    <row r="751" customFormat="false" ht="14.25" hidden="false" customHeight="false" outlineLevel="0" collapsed="false">
      <c r="A751" s="1" t="n">
        <v>1439</v>
      </c>
      <c r="B751" s="30" t="n">
        <v>43391</v>
      </c>
      <c r="C751" s="30" t="n">
        <v>43873</v>
      </c>
      <c r="D751" s="31" t="n">
        <f aca="false">VLOOKUP(A751,'Order Shipping'!$A$2:$C$2000,3,FALSE())</f>
        <v>30.6</v>
      </c>
      <c r="E751" s="32" t="n">
        <f aca="false">VLOOKUP($A751,'Order Sales'!$A$2:$G$2154,E$1,FALSE())</f>
        <v>45</v>
      </c>
      <c r="F751" s="32" t="n">
        <f aca="false">VLOOKUP($A751,'Order Sales'!$A$2:$G$2154,F$1,FALSE())</f>
        <v>6768.45</v>
      </c>
      <c r="G751" s="32" t="str">
        <f aca="false">VLOOKUP($A751,'Order Sales'!$A$2:$G$2154,G$1,FALSE())</f>
        <v>Consumer</v>
      </c>
    </row>
    <row r="752" customFormat="false" ht="14.25" hidden="false" customHeight="false" outlineLevel="0" collapsed="false">
      <c r="A752" s="1" t="n">
        <v>1861</v>
      </c>
      <c r="B752" s="30" t="n">
        <v>43277</v>
      </c>
      <c r="C752" s="30" t="n">
        <v>43874</v>
      </c>
      <c r="D752" s="31" t="n">
        <f aca="false">VLOOKUP(A752,'Order Shipping'!$A$2:$C$2000,3,FALSE())</f>
        <v>21.4</v>
      </c>
      <c r="E752" s="32" t="n">
        <f aca="false">VLOOKUP($A752,'Order Sales'!$A$2:$G$2154,E$1,FALSE())</f>
        <v>17</v>
      </c>
      <c r="F752" s="32" t="n">
        <f aca="false">VLOOKUP($A752,'Order Sales'!$A$2:$G$2154,F$1,FALSE())</f>
        <v>939.26</v>
      </c>
      <c r="G752" s="32" t="str">
        <f aca="false">VLOOKUP($A752,'Order Sales'!$A$2:$G$2154,G$1,FALSE())</f>
        <v>Corporate</v>
      </c>
    </row>
    <row r="753" customFormat="false" ht="14.25" hidden="false" customHeight="false" outlineLevel="0" collapsed="false">
      <c r="A753" s="1" t="n">
        <v>1103</v>
      </c>
      <c r="B753" s="30" t="n">
        <v>43332</v>
      </c>
      <c r="C753" s="30" t="n">
        <v>43875</v>
      </c>
      <c r="D753" s="31" t="n">
        <f aca="false">VLOOKUP(A753,'Order Shipping'!$A$2:$C$2000,3,FALSE())</f>
        <v>32.1</v>
      </c>
      <c r="E753" s="32" t="n">
        <f aca="false">VLOOKUP($A753,'Order Sales'!$A$2:$G$2154,E$1,FALSE())</f>
        <v>23</v>
      </c>
      <c r="F753" s="32" t="n">
        <f aca="false">VLOOKUP($A753,'Order Sales'!$A$2:$G$2154,F$1,FALSE())</f>
        <v>4143.97</v>
      </c>
      <c r="G753" s="32" t="str">
        <f aca="false">VLOOKUP($A753,'Order Sales'!$A$2:$G$2154,G$1,FALSE())</f>
        <v>Consumer</v>
      </c>
    </row>
    <row r="754" customFormat="false" ht="14.25" hidden="false" customHeight="false" outlineLevel="0" collapsed="false">
      <c r="A754" s="1" t="n">
        <v>2790</v>
      </c>
      <c r="B754" s="30" t="n">
        <v>43162</v>
      </c>
      <c r="C754" s="30" t="n">
        <v>43876</v>
      </c>
      <c r="D754" s="31" t="n">
        <f aca="false">VLOOKUP(A754,'Order Shipping'!$A$2:$C$2000,3,FALSE())</f>
        <v>139.1</v>
      </c>
      <c r="E754" s="32" t="n">
        <f aca="false">VLOOKUP($A754,'Order Sales'!$A$2:$G$2154,E$1,FALSE())</f>
        <v>43</v>
      </c>
      <c r="F754" s="32" t="n">
        <f aca="false">VLOOKUP($A754,'Order Sales'!$A$2:$G$2154,F$1,FALSE())</f>
        <v>5933.14</v>
      </c>
      <c r="G754" s="32" t="str">
        <f aca="false">VLOOKUP($A754,'Order Sales'!$A$2:$G$2154,G$1,FALSE())</f>
        <v>Home Office</v>
      </c>
    </row>
    <row r="755" customFormat="false" ht="14.25" hidden="false" customHeight="false" outlineLevel="0" collapsed="false">
      <c r="A755" s="1" t="n">
        <v>2942</v>
      </c>
      <c r="B755" s="30" t="n">
        <v>43365</v>
      </c>
      <c r="C755" s="30" t="n">
        <v>43877</v>
      </c>
      <c r="D755" s="31" t="n">
        <f aca="false">VLOOKUP(A755,'Order Shipping'!$A$2:$C$2000,3,FALSE())</f>
        <v>1.1</v>
      </c>
      <c r="E755" s="32" t="n">
        <f aca="false">VLOOKUP($A755,'Order Sales'!$A$2:$G$2154,E$1,FALSE())</f>
        <v>8</v>
      </c>
      <c r="F755" s="32" t="n">
        <f aca="false">VLOOKUP($A755,'Order Sales'!$A$2:$G$2154,F$1,FALSE())</f>
        <v>1132.94</v>
      </c>
      <c r="G755" s="32" t="str">
        <f aca="false">VLOOKUP($A755,'Order Sales'!$A$2:$G$2154,G$1,FALSE())</f>
        <v>Home Office</v>
      </c>
    </row>
    <row r="756" customFormat="false" ht="14.25" hidden="false" customHeight="false" outlineLevel="0" collapsed="false">
      <c r="A756" s="1" t="n">
        <v>2019</v>
      </c>
      <c r="B756" s="30" t="n">
        <v>43306</v>
      </c>
      <c r="C756" s="30" t="n">
        <v>43878</v>
      </c>
      <c r="D756" s="31" t="n">
        <f aca="false">VLOOKUP(A756,'Order Shipping'!$A$2:$C$2000,3,FALSE())</f>
        <v>4.3</v>
      </c>
      <c r="E756" s="32" t="n">
        <f aca="false">VLOOKUP($A756,'Order Sales'!$A$2:$G$2154,E$1,FALSE())</f>
        <v>32</v>
      </c>
      <c r="F756" s="32" t="n">
        <f aca="false">VLOOKUP($A756,'Order Sales'!$A$2:$G$2154,F$1,FALSE())</f>
        <v>1909.97</v>
      </c>
      <c r="G756" s="32" t="str">
        <f aca="false">VLOOKUP($A756,'Order Sales'!$A$2:$G$2154,G$1,FALSE())</f>
        <v>Corporate</v>
      </c>
    </row>
    <row r="757" customFormat="false" ht="14.25" hidden="false" customHeight="false" outlineLevel="0" collapsed="false">
      <c r="A757" s="1" t="n">
        <v>2188</v>
      </c>
      <c r="B757" s="30" t="n">
        <v>43421</v>
      </c>
      <c r="C757" s="30" t="n">
        <v>43879</v>
      </c>
      <c r="D757" s="31" t="n">
        <f aca="false">VLOOKUP(A757,'Order Shipping'!$A$2:$C$2000,3,FALSE())</f>
        <v>5.3</v>
      </c>
      <c r="E757" s="32" t="n">
        <f aca="false">VLOOKUP($A757,'Order Sales'!$A$2:$G$2154,E$1,FALSE())</f>
        <v>48</v>
      </c>
      <c r="F757" s="32" t="n">
        <f aca="false">VLOOKUP($A757,'Order Sales'!$A$2:$G$2154,F$1,FALSE())</f>
        <v>663.65</v>
      </c>
      <c r="G757" s="32" t="str">
        <f aca="false">VLOOKUP($A757,'Order Sales'!$A$2:$G$2154,G$1,FALSE())</f>
        <v>Home Office</v>
      </c>
    </row>
    <row r="758" customFormat="false" ht="14.25" hidden="false" customHeight="false" outlineLevel="0" collapsed="false">
      <c r="A758" s="1" t="n">
        <v>1123</v>
      </c>
      <c r="B758" s="30" t="n">
        <v>43374</v>
      </c>
      <c r="C758" s="30" t="n">
        <v>43880</v>
      </c>
      <c r="D758" s="31" t="n">
        <f aca="false">VLOOKUP(A758,'Order Shipping'!$A$2:$C$2000,3,FALSE())</f>
        <v>5</v>
      </c>
      <c r="E758" s="32" t="n">
        <f aca="false">VLOOKUP($A758,'Order Sales'!$A$2:$G$2154,E$1,FALSE())</f>
        <v>27</v>
      </c>
      <c r="F758" s="32" t="n">
        <f aca="false">VLOOKUP($A758,'Order Sales'!$A$2:$G$2154,F$1,FALSE())</f>
        <v>163.96</v>
      </c>
      <c r="G758" s="32" t="str">
        <f aca="false">VLOOKUP($A758,'Order Sales'!$A$2:$G$2154,G$1,FALSE())</f>
        <v>Consumer</v>
      </c>
    </row>
    <row r="759" customFormat="false" ht="14.25" hidden="false" customHeight="false" outlineLevel="0" collapsed="false">
      <c r="A759" s="1" t="n">
        <v>1042</v>
      </c>
      <c r="B759" s="30" t="n">
        <v>43175</v>
      </c>
      <c r="C759" s="30" t="n">
        <v>43881</v>
      </c>
      <c r="D759" s="31" t="n">
        <f aca="false">VLOOKUP(A759,'Order Shipping'!$A$2:$C$2000,3,FALSE())</f>
        <v>1.3</v>
      </c>
      <c r="E759" s="32" t="n">
        <f aca="false">VLOOKUP($A759,'Order Sales'!$A$2:$G$2154,E$1,FALSE())</f>
        <v>8</v>
      </c>
      <c r="F759" s="32" t="n">
        <f aca="false">VLOOKUP($A759,'Order Sales'!$A$2:$G$2154,F$1,FALSE())</f>
        <v>34.1</v>
      </c>
      <c r="G759" s="32" t="str">
        <f aca="false">VLOOKUP($A759,'Order Sales'!$A$2:$G$2154,G$1,FALSE())</f>
        <v>Small Business</v>
      </c>
    </row>
    <row r="760" customFormat="false" ht="14.25" hidden="false" customHeight="false" outlineLevel="0" collapsed="false">
      <c r="A760" s="1" t="n">
        <v>1149</v>
      </c>
      <c r="B760" s="30" t="n">
        <v>43396</v>
      </c>
      <c r="C760" s="30" t="n">
        <v>43882</v>
      </c>
      <c r="D760" s="31" t="n">
        <f aca="false">VLOOKUP(A760,'Order Shipping'!$A$2:$C$2000,3,FALSE())</f>
        <v>46.8</v>
      </c>
      <c r="E760" s="32" t="n">
        <f aca="false">VLOOKUP($A760,'Order Sales'!$A$2:$G$2154,E$1,FALSE())</f>
        <v>43</v>
      </c>
      <c r="F760" s="32" t="n">
        <f aca="false">VLOOKUP($A760,'Order Sales'!$A$2:$G$2154,F$1,FALSE())</f>
        <v>6502.51</v>
      </c>
      <c r="G760" s="32" t="str">
        <f aca="false">VLOOKUP($A760,'Order Sales'!$A$2:$G$2154,G$1,FALSE())</f>
        <v>Home Office</v>
      </c>
    </row>
    <row r="761" customFormat="false" ht="14.25" hidden="false" customHeight="false" outlineLevel="0" collapsed="false">
      <c r="A761" s="1" t="n">
        <v>1154</v>
      </c>
      <c r="B761" s="30" t="n">
        <v>43342</v>
      </c>
      <c r="C761" s="30" t="n">
        <v>43883</v>
      </c>
      <c r="D761" s="31" t="n">
        <f aca="false">VLOOKUP(A761,'Order Shipping'!$A$2:$C$2000,3,FALSE())</f>
        <v>8.2</v>
      </c>
      <c r="E761" s="32" t="n">
        <f aca="false">VLOOKUP($A761,'Order Sales'!$A$2:$G$2154,E$1,FALSE())</f>
        <v>11</v>
      </c>
      <c r="F761" s="32" t="n">
        <f aca="false">VLOOKUP($A761,'Order Sales'!$A$2:$G$2154,F$1,FALSE())</f>
        <v>1294.76</v>
      </c>
      <c r="G761" s="32" t="str">
        <f aca="false">VLOOKUP($A761,'Order Sales'!$A$2:$G$2154,G$1,FALSE())</f>
        <v>Home Office</v>
      </c>
    </row>
    <row r="762" customFormat="false" ht="14.25" hidden="false" customHeight="false" outlineLevel="0" collapsed="false">
      <c r="A762" s="1" t="n">
        <v>1586</v>
      </c>
      <c r="B762" s="30" t="n">
        <v>43267</v>
      </c>
      <c r="C762" s="30" t="n">
        <v>43884</v>
      </c>
      <c r="D762" s="31" t="n">
        <f aca="false">VLOOKUP(A762,'Order Shipping'!$A$2:$C$2000,3,FALSE())</f>
        <v>11.9</v>
      </c>
      <c r="E762" s="32" t="n">
        <f aca="false">VLOOKUP($A762,'Order Sales'!$A$2:$G$2154,E$1,FALSE())</f>
        <v>20</v>
      </c>
      <c r="F762" s="32" t="n">
        <f aca="false">VLOOKUP($A762,'Order Sales'!$A$2:$G$2154,F$1,FALSE())</f>
        <v>159.06</v>
      </c>
      <c r="G762" s="32" t="str">
        <f aca="false">VLOOKUP($A762,'Order Sales'!$A$2:$G$2154,G$1,FALSE())</f>
        <v>Consumer</v>
      </c>
    </row>
    <row r="763" customFormat="false" ht="14.25" hidden="false" customHeight="false" outlineLevel="0" collapsed="false">
      <c r="A763" s="1" t="n">
        <v>2869</v>
      </c>
      <c r="B763" s="30" t="n">
        <v>43239</v>
      </c>
      <c r="C763" s="30" t="n">
        <v>43885</v>
      </c>
      <c r="D763" s="31" t="n">
        <f aca="false">VLOOKUP(A763,'Order Shipping'!$A$2:$C$2000,3,FALSE())</f>
        <v>7.5</v>
      </c>
      <c r="E763" s="32" t="n">
        <f aca="false">VLOOKUP($A763,'Order Sales'!$A$2:$G$2154,E$1,FALSE())</f>
        <v>32</v>
      </c>
      <c r="F763" s="32" t="n">
        <f aca="false">VLOOKUP($A763,'Order Sales'!$A$2:$G$2154,F$1,FALSE())</f>
        <v>137.11</v>
      </c>
      <c r="G763" s="32" t="str">
        <f aca="false">VLOOKUP($A763,'Order Sales'!$A$2:$G$2154,G$1,FALSE())</f>
        <v>Small Business</v>
      </c>
    </row>
    <row r="764" customFormat="false" ht="14.25" hidden="false" customHeight="false" outlineLevel="0" collapsed="false">
      <c r="A764" s="1" t="n">
        <v>2432</v>
      </c>
      <c r="B764" s="30" t="n">
        <v>43136</v>
      </c>
      <c r="C764" s="30" t="n">
        <v>43886</v>
      </c>
      <c r="D764" s="31" t="n">
        <f aca="false">VLOOKUP(A764,'Order Shipping'!$A$2:$C$2000,3,FALSE())</f>
        <v>5.4</v>
      </c>
      <c r="E764" s="32" t="n">
        <f aca="false">VLOOKUP($A764,'Order Sales'!$A$2:$G$2154,E$1,FALSE())</f>
        <v>3</v>
      </c>
      <c r="F764" s="32" t="n">
        <f aca="false">VLOOKUP($A764,'Order Sales'!$A$2:$G$2154,F$1,FALSE())</f>
        <v>22.48</v>
      </c>
      <c r="G764" s="32" t="str">
        <f aca="false">VLOOKUP($A764,'Order Sales'!$A$2:$G$2154,G$1,FALSE())</f>
        <v>Corporate</v>
      </c>
    </row>
    <row r="765" customFormat="false" ht="14.25" hidden="false" customHeight="false" outlineLevel="0" collapsed="false">
      <c r="A765" s="1" t="n">
        <v>1052</v>
      </c>
      <c r="B765" s="30" t="n">
        <v>43233</v>
      </c>
      <c r="C765" s="30" t="n">
        <v>43887</v>
      </c>
      <c r="D765" s="31" t="n">
        <f aca="false">VLOOKUP(A765,'Order Shipping'!$A$2:$C$2000,3,FALSE())</f>
        <v>38.2</v>
      </c>
      <c r="E765" s="32" t="n">
        <f aca="false">VLOOKUP($A765,'Order Sales'!$A$2:$G$2154,E$1,FALSE())</f>
        <v>42</v>
      </c>
      <c r="F765" s="32" t="n">
        <f aca="false">VLOOKUP($A765,'Order Sales'!$A$2:$G$2154,F$1,FALSE())</f>
        <v>12016.37</v>
      </c>
      <c r="G765" s="32" t="str">
        <f aca="false">VLOOKUP($A765,'Order Sales'!$A$2:$G$2154,G$1,FALSE())</f>
        <v>Corporate</v>
      </c>
    </row>
    <row r="766" customFormat="false" ht="14.25" hidden="false" customHeight="false" outlineLevel="0" collapsed="false">
      <c r="A766" s="1" t="n">
        <v>2473</v>
      </c>
      <c r="B766" s="30" t="n">
        <v>43222</v>
      </c>
      <c r="C766" s="30" t="n">
        <v>43888</v>
      </c>
      <c r="D766" s="31" t="n">
        <f aca="false">VLOOKUP(A766,'Order Shipping'!$A$2:$C$2000,3,FALSE())</f>
        <v>4.5</v>
      </c>
      <c r="E766" s="32" t="n">
        <f aca="false">VLOOKUP($A766,'Order Sales'!$A$2:$G$2154,E$1,FALSE())</f>
        <v>27</v>
      </c>
      <c r="F766" s="32" t="n">
        <f aca="false">VLOOKUP($A766,'Order Sales'!$A$2:$G$2154,F$1,FALSE())</f>
        <v>101.07</v>
      </c>
      <c r="G766" s="32" t="str">
        <f aca="false">VLOOKUP($A766,'Order Sales'!$A$2:$G$2154,G$1,FALSE())</f>
        <v>Home Office</v>
      </c>
    </row>
    <row r="767" customFormat="false" ht="14.25" hidden="false" customHeight="false" outlineLevel="0" collapsed="false">
      <c r="A767" s="1" t="n">
        <v>2901</v>
      </c>
      <c r="B767" s="30" t="n">
        <v>43429</v>
      </c>
      <c r="C767" s="30" t="n">
        <v>43889</v>
      </c>
      <c r="D767" s="31" t="n">
        <f aca="false">VLOOKUP(A767,'Order Shipping'!$A$2:$C$2000,3,FALSE())</f>
        <v>0.7</v>
      </c>
      <c r="E767" s="32" t="n">
        <f aca="false">VLOOKUP($A767,'Order Sales'!$A$2:$G$2154,E$1,FALSE())</f>
        <v>16</v>
      </c>
      <c r="F767" s="32" t="n">
        <f aca="false">VLOOKUP($A767,'Order Sales'!$A$2:$G$2154,F$1,FALSE())</f>
        <v>58.12</v>
      </c>
      <c r="G767" s="32" t="str">
        <f aca="false">VLOOKUP($A767,'Order Sales'!$A$2:$G$2154,G$1,FALSE())</f>
        <v>Small Business</v>
      </c>
    </row>
    <row r="768" customFormat="false" ht="14.25" hidden="false" customHeight="false" outlineLevel="0" collapsed="false">
      <c r="A768" s="1" t="n">
        <v>2742</v>
      </c>
      <c r="B768" s="30" t="n">
        <v>43200</v>
      </c>
      <c r="C768" s="30" t="n">
        <v>43890</v>
      </c>
      <c r="D768" s="31" t="n">
        <f aca="false">VLOOKUP(A768,'Order Shipping'!$A$2:$C$2000,3,FALSE())</f>
        <v>6.7</v>
      </c>
      <c r="E768" s="32" t="n">
        <f aca="false">VLOOKUP($A768,'Order Sales'!$A$2:$G$2154,E$1,FALSE())</f>
        <v>25</v>
      </c>
      <c r="F768" s="32" t="n">
        <f aca="false">VLOOKUP($A768,'Order Sales'!$A$2:$G$2154,F$1,FALSE())</f>
        <v>1206.99</v>
      </c>
      <c r="G768" s="32" t="str">
        <f aca="false">VLOOKUP($A768,'Order Sales'!$A$2:$G$2154,G$1,FALSE())</f>
        <v>Home Office</v>
      </c>
    </row>
    <row r="769" customFormat="false" ht="14.25" hidden="false" customHeight="false" outlineLevel="0" collapsed="false">
      <c r="A769" s="1" t="n">
        <v>1053</v>
      </c>
      <c r="B769" s="30" t="n">
        <v>43249</v>
      </c>
      <c r="C769" s="30" t="n">
        <v>43891</v>
      </c>
      <c r="D769" s="31" t="n">
        <f aca="false">VLOOKUP(A769,'Order Shipping'!$A$2:$C$2000,3,FALSE())</f>
        <v>3.3</v>
      </c>
      <c r="E769" s="32" t="n">
        <f aca="false">VLOOKUP($A769,'Order Sales'!$A$2:$G$2154,E$1,FALSE())</f>
        <v>46</v>
      </c>
      <c r="F769" s="32" t="n">
        <f aca="false">VLOOKUP($A769,'Order Sales'!$A$2:$G$2154,F$1,FALSE())</f>
        <v>1942.57</v>
      </c>
      <c r="G769" s="32" t="str">
        <f aca="false">VLOOKUP($A769,'Order Sales'!$A$2:$G$2154,G$1,FALSE())</f>
        <v>Home Office</v>
      </c>
    </row>
    <row r="770" customFormat="false" ht="14.25" hidden="false" customHeight="false" outlineLevel="0" collapsed="false">
      <c r="A770" s="1" t="n">
        <v>2080</v>
      </c>
      <c r="B770" s="30" t="n">
        <v>43377</v>
      </c>
      <c r="C770" s="30" t="n">
        <v>43892</v>
      </c>
      <c r="D770" s="31" t="n">
        <f aca="false">VLOOKUP(A770,'Order Shipping'!$A$2:$C$2000,3,FALSE())</f>
        <v>11.5</v>
      </c>
      <c r="E770" s="32" t="n">
        <f aca="false">VLOOKUP($A770,'Order Sales'!$A$2:$G$2154,E$1,FALSE())</f>
        <v>6</v>
      </c>
      <c r="F770" s="32" t="n">
        <f aca="false">VLOOKUP($A770,'Order Sales'!$A$2:$G$2154,F$1,FALSE())</f>
        <v>362.61</v>
      </c>
      <c r="G770" s="32" t="str">
        <f aca="false">VLOOKUP($A770,'Order Sales'!$A$2:$G$2154,G$1,FALSE())</f>
        <v>Corporate</v>
      </c>
    </row>
    <row r="771" customFormat="false" ht="14.25" hidden="false" customHeight="false" outlineLevel="0" collapsed="false">
      <c r="A771" s="1" t="n">
        <v>1124</v>
      </c>
      <c r="B771" s="30" t="n">
        <v>43106</v>
      </c>
      <c r="C771" s="30" t="n">
        <v>43893</v>
      </c>
      <c r="D771" s="31" t="n">
        <f aca="false">VLOOKUP(A771,'Order Shipping'!$A$2:$C$2000,3,FALSE())</f>
        <v>3.1</v>
      </c>
      <c r="E771" s="32" t="n">
        <f aca="false">VLOOKUP($A771,'Order Sales'!$A$2:$G$2154,E$1,FALSE())</f>
        <v>6</v>
      </c>
      <c r="F771" s="32" t="n">
        <f aca="false">VLOOKUP($A771,'Order Sales'!$A$2:$G$2154,F$1,FALSE())</f>
        <v>142.74</v>
      </c>
      <c r="G771" s="32" t="str">
        <f aca="false">VLOOKUP($A771,'Order Sales'!$A$2:$G$2154,G$1,FALSE())</f>
        <v>Home Office</v>
      </c>
    </row>
    <row r="772" customFormat="false" ht="14.25" hidden="false" customHeight="false" outlineLevel="0" collapsed="false">
      <c r="A772" s="1" t="n">
        <v>1143</v>
      </c>
      <c r="B772" s="30" t="n">
        <v>43110</v>
      </c>
      <c r="C772" s="30" t="n">
        <v>43894</v>
      </c>
      <c r="D772" s="31" t="n">
        <f aca="false">VLOOKUP(A772,'Order Shipping'!$A$2:$C$2000,3,FALSE())</f>
        <v>4.3</v>
      </c>
      <c r="E772" s="32" t="n">
        <f aca="false">VLOOKUP($A772,'Order Sales'!$A$2:$G$2154,E$1,FALSE())</f>
        <v>23</v>
      </c>
      <c r="F772" s="32" t="n">
        <f aca="false">VLOOKUP($A772,'Order Sales'!$A$2:$G$2154,F$1,FALSE())</f>
        <v>810.96</v>
      </c>
      <c r="G772" s="32" t="str">
        <f aca="false">VLOOKUP($A772,'Order Sales'!$A$2:$G$2154,G$1,FALSE())</f>
        <v>Small Business</v>
      </c>
    </row>
    <row r="773" customFormat="false" ht="14.25" hidden="false" customHeight="false" outlineLevel="0" collapsed="false">
      <c r="A773" s="1" t="n">
        <v>1325</v>
      </c>
      <c r="B773" s="30" t="n">
        <v>43327</v>
      </c>
      <c r="C773" s="30" t="n">
        <v>43895</v>
      </c>
      <c r="D773" s="31" t="n">
        <f aca="false">VLOOKUP(A773,'Order Shipping'!$A$2:$C$2000,3,FALSE())</f>
        <v>7</v>
      </c>
      <c r="E773" s="32" t="n">
        <f aca="false">VLOOKUP($A773,'Order Sales'!$A$2:$G$2154,E$1,FALSE())</f>
        <v>34</v>
      </c>
      <c r="F773" s="32" t="n">
        <f aca="false">VLOOKUP($A773,'Order Sales'!$A$2:$G$2154,F$1,FALSE())</f>
        <v>1720.65</v>
      </c>
      <c r="G773" s="32" t="str">
        <f aca="false">VLOOKUP($A773,'Order Sales'!$A$2:$G$2154,G$1,FALSE())</f>
        <v>Corporate</v>
      </c>
    </row>
    <row r="774" customFormat="false" ht="14.25" hidden="false" customHeight="false" outlineLevel="0" collapsed="false">
      <c r="A774" s="1" t="n">
        <v>2637</v>
      </c>
      <c r="B774" s="30" t="n">
        <v>43118</v>
      </c>
      <c r="C774" s="30" t="n">
        <v>43896</v>
      </c>
      <c r="D774" s="31" t="n">
        <f aca="false">VLOOKUP(A774,'Order Shipping'!$A$2:$C$2000,3,FALSE())</f>
        <v>1.1</v>
      </c>
      <c r="E774" s="32" t="n">
        <f aca="false">VLOOKUP($A774,'Order Sales'!$A$2:$G$2154,E$1,FALSE())</f>
        <v>14</v>
      </c>
      <c r="F774" s="32" t="n">
        <f aca="false">VLOOKUP($A774,'Order Sales'!$A$2:$G$2154,F$1,FALSE())</f>
        <v>259.24</v>
      </c>
      <c r="G774" s="32" t="str">
        <f aca="false">VLOOKUP($A774,'Order Sales'!$A$2:$G$2154,G$1,FALSE())</f>
        <v>Consumer</v>
      </c>
    </row>
    <row r="775" customFormat="false" ht="14.25" hidden="false" customHeight="false" outlineLevel="0" collapsed="false">
      <c r="A775" s="1" t="n">
        <v>1416</v>
      </c>
      <c r="B775" s="30" t="n">
        <v>43411</v>
      </c>
      <c r="C775" s="30" t="n">
        <v>43897</v>
      </c>
      <c r="D775" s="31" t="n">
        <f aca="false">VLOOKUP(A775,'Order Shipping'!$A$2:$C$2000,3,FALSE())</f>
        <v>74.4</v>
      </c>
      <c r="E775" s="32" t="n">
        <f aca="false">VLOOKUP($A775,'Order Sales'!$A$2:$G$2154,E$1,FALSE())</f>
        <v>24</v>
      </c>
      <c r="F775" s="32" t="n">
        <f aca="false">VLOOKUP($A775,'Order Sales'!$A$2:$G$2154,F$1,FALSE())</f>
        <v>7278.54</v>
      </c>
      <c r="G775" s="32" t="str">
        <f aca="false">VLOOKUP($A775,'Order Sales'!$A$2:$G$2154,G$1,FALSE())</f>
        <v>Small Business</v>
      </c>
    </row>
    <row r="776" customFormat="false" ht="14.25" hidden="false" customHeight="false" outlineLevel="0" collapsed="false">
      <c r="A776" s="1" t="n">
        <v>2256</v>
      </c>
      <c r="B776" s="30" t="n">
        <v>43392</v>
      </c>
      <c r="C776" s="30" t="n">
        <v>43898</v>
      </c>
      <c r="D776" s="31" t="n">
        <f aca="false">VLOOKUP(A776,'Order Shipping'!$A$2:$C$2000,3,FALSE())</f>
        <v>0.7</v>
      </c>
      <c r="E776" s="32" t="n">
        <f aca="false">VLOOKUP($A776,'Order Sales'!$A$2:$G$2154,E$1,FALSE())</f>
        <v>21</v>
      </c>
      <c r="F776" s="32" t="n">
        <f aca="false">VLOOKUP($A776,'Order Sales'!$A$2:$G$2154,F$1,FALSE())</f>
        <v>47.17</v>
      </c>
      <c r="G776" s="32" t="str">
        <f aca="false">VLOOKUP($A776,'Order Sales'!$A$2:$G$2154,G$1,FALSE())</f>
        <v>Small Business</v>
      </c>
    </row>
    <row r="777" customFormat="false" ht="14.25" hidden="false" customHeight="false" outlineLevel="0" collapsed="false">
      <c r="A777" s="1" t="n">
        <v>1501</v>
      </c>
      <c r="B777" s="30" t="n">
        <v>43156</v>
      </c>
      <c r="C777" s="30" t="n">
        <v>43899</v>
      </c>
      <c r="D777" s="31" t="n">
        <f aca="false">VLOOKUP(A777,'Order Shipping'!$A$2:$C$2000,3,FALSE())</f>
        <v>3.2</v>
      </c>
      <c r="E777" s="32" t="n">
        <f aca="false">VLOOKUP($A777,'Order Sales'!$A$2:$G$2154,E$1,FALSE())</f>
        <v>20</v>
      </c>
      <c r="F777" s="32" t="n">
        <f aca="false">VLOOKUP($A777,'Order Sales'!$A$2:$G$2154,F$1,FALSE())</f>
        <v>923.02</v>
      </c>
      <c r="G777" s="32" t="str">
        <f aca="false">VLOOKUP($A777,'Order Sales'!$A$2:$G$2154,G$1,FALSE())</f>
        <v>Home Office</v>
      </c>
    </row>
    <row r="778" customFormat="false" ht="14.25" hidden="false" customHeight="false" outlineLevel="0" collapsed="false">
      <c r="A778" s="1" t="n">
        <v>2204</v>
      </c>
      <c r="B778" s="30" t="n">
        <v>43426</v>
      </c>
      <c r="C778" s="30" t="n">
        <v>43900</v>
      </c>
      <c r="D778" s="31" t="n">
        <f aca="false">VLOOKUP(A778,'Order Shipping'!$A$2:$C$2000,3,FALSE())</f>
        <v>6.2</v>
      </c>
      <c r="E778" s="32" t="n">
        <f aca="false">VLOOKUP($A778,'Order Sales'!$A$2:$G$2154,E$1,FALSE())</f>
        <v>2</v>
      </c>
      <c r="F778" s="32" t="n">
        <f aca="false">VLOOKUP($A778,'Order Sales'!$A$2:$G$2154,F$1,FALSE())</f>
        <v>73.47</v>
      </c>
      <c r="G778" s="32" t="str">
        <f aca="false">VLOOKUP($A778,'Order Sales'!$A$2:$G$2154,G$1,FALSE())</f>
        <v>Corporate</v>
      </c>
    </row>
    <row r="779" customFormat="false" ht="14.25" hidden="false" customHeight="false" outlineLevel="0" collapsed="false">
      <c r="A779" s="1" t="n">
        <v>1625</v>
      </c>
      <c r="B779" s="30" t="n">
        <v>43362</v>
      </c>
      <c r="C779" s="30" t="n">
        <v>43901</v>
      </c>
      <c r="D779" s="31" t="n">
        <f aca="false">VLOOKUP(A779,'Order Shipping'!$A$2:$C$2000,3,FALSE())</f>
        <v>37.5</v>
      </c>
      <c r="E779" s="32" t="n">
        <f aca="false">VLOOKUP($A779,'Order Sales'!$A$2:$G$2154,E$1,FALSE())</f>
        <v>2</v>
      </c>
      <c r="F779" s="32" t="n">
        <f aca="false">VLOOKUP($A779,'Order Sales'!$A$2:$G$2154,F$1,FALSE())</f>
        <v>221.15</v>
      </c>
      <c r="G779" s="32" t="str">
        <f aca="false">VLOOKUP($A779,'Order Sales'!$A$2:$G$2154,G$1,FALSE())</f>
        <v>Home Office</v>
      </c>
    </row>
    <row r="780" customFormat="false" ht="14.25" hidden="false" customHeight="false" outlineLevel="0" collapsed="false">
      <c r="A780" s="1" t="n">
        <v>2109</v>
      </c>
      <c r="B780" s="30" t="n">
        <v>43154</v>
      </c>
      <c r="C780" s="30" t="n">
        <v>43902</v>
      </c>
      <c r="D780" s="31" t="n">
        <f aca="false">VLOOKUP(A780,'Order Shipping'!$A$2:$C$2000,3,FALSE())</f>
        <v>21.4</v>
      </c>
      <c r="E780" s="32" t="n">
        <f aca="false">VLOOKUP($A780,'Order Sales'!$A$2:$G$2154,E$1,FALSE())</f>
        <v>25</v>
      </c>
      <c r="F780" s="32" t="n">
        <f aca="false">VLOOKUP($A780,'Order Sales'!$A$2:$G$2154,F$1,FALSE())</f>
        <v>2597.16</v>
      </c>
      <c r="G780" s="32" t="str">
        <f aca="false">VLOOKUP($A780,'Order Sales'!$A$2:$G$2154,G$1,FALSE())</f>
        <v>Small Business</v>
      </c>
    </row>
    <row r="781" customFormat="false" ht="14.25" hidden="false" customHeight="false" outlineLevel="0" collapsed="false">
      <c r="A781" s="1" t="n">
        <v>1538</v>
      </c>
      <c r="B781" s="30" t="n">
        <v>43213</v>
      </c>
      <c r="C781" s="30" t="n">
        <v>43903</v>
      </c>
      <c r="D781" s="31" t="n">
        <f aca="false">VLOOKUP(A781,'Order Shipping'!$A$2:$C$2000,3,FALSE())</f>
        <v>19.1</v>
      </c>
      <c r="E781" s="32" t="n">
        <f aca="false">VLOOKUP($A781,'Order Sales'!$A$2:$G$2154,E$1,FALSE())</f>
        <v>47</v>
      </c>
      <c r="F781" s="32" t="n">
        <f aca="false">VLOOKUP($A781,'Order Sales'!$A$2:$G$2154,F$1,FALSE())</f>
        <v>5938.28</v>
      </c>
      <c r="G781" s="32" t="str">
        <f aca="false">VLOOKUP($A781,'Order Sales'!$A$2:$G$2154,G$1,FALSE())</f>
        <v>Consumer</v>
      </c>
    </row>
    <row r="782" customFormat="false" ht="14.25" hidden="false" customHeight="false" outlineLevel="0" collapsed="false">
      <c r="A782" s="1" t="n">
        <v>1091</v>
      </c>
      <c r="B782" s="30" t="n">
        <v>43446</v>
      </c>
      <c r="C782" s="30" t="n">
        <v>43904</v>
      </c>
      <c r="D782" s="31" t="n">
        <f aca="false">VLOOKUP(A782,'Order Shipping'!$A$2:$C$2000,3,FALSE())</f>
        <v>5.6</v>
      </c>
      <c r="E782" s="32" t="n">
        <f aca="false">VLOOKUP($A782,'Order Sales'!$A$2:$G$2154,E$1,FALSE())</f>
        <v>4</v>
      </c>
      <c r="F782" s="32" t="n">
        <f aca="false">VLOOKUP($A782,'Order Sales'!$A$2:$G$2154,F$1,FALSE())</f>
        <v>26.93</v>
      </c>
      <c r="G782" s="32" t="str">
        <f aca="false">VLOOKUP($A782,'Order Sales'!$A$2:$G$2154,G$1,FALSE())</f>
        <v>Corporate</v>
      </c>
    </row>
    <row r="783" customFormat="false" ht="14.25" hidden="false" customHeight="false" outlineLevel="0" collapsed="false">
      <c r="A783" s="1" t="n">
        <v>1395</v>
      </c>
      <c r="B783" s="30" t="n">
        <v>43280</v>
      </c>
      <c r="C783" s="30" t="n">
        <v>43905</v>
      </c>
      <c r="D783" s="31" t="n">
        <f aca="false">VLOOKUP(A783,'Order Shipping'!$A$2:$C$2000,3,FALSE())</f>
        <v>4.7</v>
      </c>
      <c r="E783" s="32" t="n">
        <f aca="false">VLOOKUP($A783,'Order Sales'!$A$2:$G$2154,E$1,FALSE())</f>
        <v>14</v>
      </c>
      <c r="F783" s="32" t="n">
        <f aca="false">VLOOKUP($A783,'Order Sales'!$A$2:$G$2154,F$1,FALSE())</f>
        <v>144.67</v>
      </c>
      <c r="G783" s="32" t="str">
        <f aca="false">VLOOKUP($A783,'Order Sales'!$A$2:$G$2154,G$1,FALSE())</f>
        <v>Consumer</v>
      </c>
    </row>
    <row r="784" customFormat="false" ht="14.25" hidden="false" customHeight="false" outlineLevel="0" collapsed="false">
      <c r="A784" s="1" t="n">
        <v>2122</v>
      </c>
      <c r="B784" s="30" t="n">
        <v>43435</v>
      </c>
      <c r="C784" s="30" t="n">
        <v>43906</v>
      </c>
      <c r="D784" s="31" t="n">
        <f aca="false">VLOOKUP(A784,'Order Shipping'!$A$2:$C$2000,3,FALSE())</f>
        <v>18.7</v>
      </c>
      <c r="E784" s="32" t="n">
        <f aca="false">VLOOKUP($A784,'Order Sales'!$A$2:$G$2154,E$1,FALSE())</f>
        <v>11</v>
      </c>
      <c r="F784" s="32" t="n">
        <f aca="false">VLOOKUP($A784,'Order Sales'!$A$2:$G$2154,F$1,FALSE())</f>
        <v>481.28</v>
      </c>
      <c r="G784" s="32" t="str">
        <f aca="false">VLOOKUP($A784,'Order Sales'!$A$2:$G$2154,G$1,FALSE())</f>
        <v>Corporate</v>
      </c>
    </row>
    <row r="785" customFormat="false" ht="14.25" hidden="false" customHeight="false" outlineLevel="0" collapsed="false">
      <c r="A785" s="1" t="n">
        <v>1942</v>
      </c>
      <c r="B785" s="30" t="n">
        <v>43178</v>
      </c>
      <c r="C785" s="30" t="n">
        <v>43907</v>
      </c>
      <c r="D785" s="31" t="n">
        <f aca="false">VLOOKUP(A785,'Order Shipping'!$A$2:$C$2000,3,FALSE())</f>
        <v>74.2</v>
      </c>
      <c r="E785" s="32" t="n">
        <f aca="false">VLOOKUP($A785,'Order Sales'!$A$2:$G$2154,E$1,FALSE())</f>
        <v>44</v>
      </c>
      <c r="F785" s="32" t="n">
        <f aca="false">VLOOKUP($A785,'Order Sales'!$A$2:$G$2154,F$1,FALSE())</f>
        <v>23039.52</v>
      </c>
      <c r="G785" s="32" t="str">
        <f aca="false">VLOOKUP($A785,'Order Sales'!$A$2:$G$2154,G$1,FALSE())</f>
        <v>Corporate</v>
      </c>
    </row>
    <row r="786" customFormat="false" ht="14.25" hidden="false" customHeight="false" outlineLevel="0" collapsed="false">
      <c r="A786" s="1" t="n">
        <v>1407</v>
      </c>
      <c r="B786" s="30" t="n">
        <v>43230</v>
      </c>
      <c r="C786" s="30" t="n">
        <v>43908</v>
      </c>
      <c r="D786" s="31" t="n">
        <f aca="false">VLOOKUP(A786,'Order Shipping'!$A$2:$C$2000,3,FALSE())</f>
        <v>42.4</v>
      </c>
      <c r="E786" s="32" t="n">
        <f aca="false">VLOOKUP($A786,'Order Sales'!$A$2:$G$2154,E$1,FALSE())</f>
        <v>36</v>
      </c>
      <c r="F786" s="32" t="n">
        <f aca="false">VLOOKUP($A786,'Order Sales'!$A$2:$G$2154,F$1,FALSE())</f>
        <v>3677.48</v>
      </c>
      <c r="G786" s="32" t="str">
        <f aca="false">VLOOKUP($A786,'Order Sales'!$A$2:$G$2154,G$1,FALSE())</f>
        <v>Small Business</v>
      </c>
    </row>
    <row r="787" customFormat="false" ht="14.25" hidden="false" customHeight="false" outlineLevel="0" collapsed="false">
      <c r="A787" s="1" t="n">
        <v>1592</v>
      </c>
      <c r="B787" s="30" t="n">
        <v>43170</v>
      </c>
      <c r="C787" s="30" t="n">
        <v>43909</v>
      </c>
      <c r="D787" s="31" t="n">
        <f aca="false">VLOOKUP(A787,'Order Shipping'!$A$2:$C$2000,3,FALSE())</f>
        <v>24.8</v>
      </c>
      <c r="E787" s="32" t="n">
        <f aca="false">VLOOKUP($A787,'Order Sales'!$A$2:$G$2154,E$1,FALSE())</f>
        <v>5</v>
      </c>
      <c r="F787" s="32" t="n">
        <f aca="false">VLOOKUP($A787,'Order Sales'!$A$2:$G$2154,F$1,FALSE())</f>
        <v>1470.9</v>
      </c>
      <c r="G787" s="32" t="str">
        <f aca="false">VLOOKUP($A787,'Order Sales'!$A$2:$G$2154,G$1,FALSE())</f>
        <v>Corporate</v>
      </c>
    </row>
    <row r="788" customFormat="false" ht="14.25" hidden="false" customHeight="false" outlineLevel="0" collapsed="false">
      <c r="A788" s="1" t="n">
        <v>1266</v>
      </c>
      <c r="B788" s="30" t="n">
        <v>43128</v>
      </c>
      <c r="C788" s="30" t="n">
        <v>43910</v>
      </c>
      <c r="D788" s="31" t="n">
        <f aca="false">VLOOKUP(A788,'Order Shipping'!$A$2:$C$2000,3,FALSE())</f>
        <v>9.4</v>
      </c>
      <c r="E788" s="32" t="n">
        <f aca="false">VLOOKUP($A788,'Order Sales'!$A$2:$G$2154,E$1,FALSE())</f>
        <v>11</v>
      </c>
      <c r="F788" s="32" t="n">
        <f aca="false">VLOOKUP($A788,'Order Sales'!$A$2:$G$2154,F$1,FALSE())</f>
        <v>81.71</v>
      </c>
      <c r="G788" s="32" t="str">
        <f aca="false">VLOOKUP($A788,'Order Sales'!$A$2:$G$2154,G$1,FALSE())</f>
        <v>Corporate</v>
      </c>
    </row>
    <row r="789" customFormat="false" ht="14.25" hidden="false" customHeight="false" outlineLevel="0" collapsed="false">
      <c r="A789" s="1" t="n">
        <v>1313</v>
      </c>
      <c r="B789" s="30" t="n">
        <v>43121</v>
      </c>
      <c r="C789" s="30" t="n">
        <v>43911</v>
      </c>
      <c r="D789" s="31" t="n">
        <f aca="false">VLOOKUP(A789,'Order Shipping'!$A$2:$C$2000,3,FALSE())</f>
        <v>0.5</v>
      </c>
      <c r="E789" s="32" t="n">
        <f aca="false">VLOOKUP($A789,'Order Sales'!$A$2:$G$2154,E$1,FALSE())</f>
        <v>5</v>
      </c>
      <c r="F789" s="32" t="n">
        <f aca="false">VLOOKUP($A789,'Order Sales'!$A$2:$G$2154,F$1,FALSE())</f>
        <v>23.07</v>
      </c>
      <c r="G789" s="32" t="str">
        <f aca="false">VLOOKUP($A789,'Order Sales'!$A$2:$G$2154,G$1,FALSE())</f>
        <v>Consumer</v>
      </c>
    </row>
    <row r="790" customFormat="false" ht="14.25" hidden="false" customHeight="false" outlineLevel="0" collapsed="false">
      <c r="A790" s="1" t="n">
        <v>2374</v>
      </c>
      <c r="B790" s="30" t="n">
        <v>43450</v>
      </c>
      <c r="C790" s="30" t="n">
        <v>43912</v>
      </c>
      <c r="D790" s="31" t="n">
        <f aca="false">VLOOKUP(A790,'Order Shipping'!$A$2:$C$2000,3,FALSE())</f>
        <v>9.6</v>
      </c>
      <c r="E790" s="32" t="n">
        <f aca="false">VLOOKUP($A790,'Order Sales'!$A$2:$G$2154,E$1,FALSE())</f>
        <v>4</v>
      </c>
      <c r="F790" s="32" t="n">
        <f aca="false">VLOOKUP($A790,'Order Sales'!$A$2:$G$2154,F$1,FALSE())</f>
        <v>91.98</v>
      </c>
      <c r="G790" s="32" t="str">
        <f aca="false">VLOOKUP($A790,'Order Sales'!$A$2:$G$2154,G$1,FALSE())</f>
        <v>Home Office</v>
      </c>
    </row>
    <row r="791" customFormat="false" ht="14.25" hidden="false" customHeight="false" outlineLevel="0" collapsed="false">
      <c r="A791" s="1" t="n">
        <v>2005</v>
      </c>
      <c r="B791" s="30" t="n">
        <v>43317</v>
      </c>
      <c r="C791" s="30" t="n">
        <v>43913</v>
      </c>
      <c r="D791" s="31" t="n">
        <f aca="false">VLOOKUP(A791,'Order Shipping'!$A$2:$C$2000,3,FALSE())</f>
        <v>74.5</v>
      </c>
      <c r="E791" s="32" t="n">
        <f aca="false">VLOOKUP($A791,'Order Sales'!$A$2:$G$2154,E$1,FALSE())</f>
        <v>25</v>
      </c>
      <c r="F791" s="32" t="n">
        <f aca="false">VLOOKUP($A791,'Order Sales'!$A$2:$G$2154,F$1,FALSE())</f>
        <v>5888.63</v>
      </c>
      <c r="G791" s="32" t="str">
        <f aca="false">VLOOKUP($A791,'Order Sales'!$A$2:$G$2154,G$1,FALSE())</f>
        <v>Small Business</v>
      </c>
    </row>
    <row r="792" customFormat="false" ht="14.25" hidden="false" customHeight="false" outlineLevel="0" collapsed="false">
      <c r="A792" s="1" t="n">
        <v>1211</v>
      </c>
      <c r="B792" s="30" t="n">
        <v>43323</v>
      </c>
      <c r="C792" s="30" t="n">
        <v>43914</v>
      </c>
      <c r="D792" s="31" t="n">
        <f aca="false">VLOOKUP(A792,'Order Shipping'!$A$2:$C$2000,3,FALSE())</f>
        <v>2.1</v>
      </c>
      <c r="E792" s="32" t="n">
        <f aca="false">VLOOKUP($A792,'Order Sales'!$A$2:$G$2154,E$1,FALSE())</f>
        <v>36</v>
      </c>
      <c r="F792" s="32" t="n">
        <f aca="false">VLOOKUP($A792,'Order Sales'!$A$2:$G$2154,F$1,FALSE())</f>
        <v>256.95</v>
      </c>
      <c r="G792" s="32" t="str">
        <f aca="false">VLOOKUP($A792,'Order Sales'!$A$2:$G$2154,G$1,FALSE())</f>
        <v>Small Business</v>
      </c>
    </row>
    <row r="793" customFormat="false" ht="14.25" hidden="false" customHeight="false" outlineLevel="0" collapsed="false">
      <c r="A793" s="1" t="n">
        <v>2846</v>
      </c>
      <c r="B793" s="30" t="n">
        <v>43183</v>
      </c>
      <c r="C793" s="30" t="n">
        <v>43915</v>
      </c>
      <c r="D793" s="31" t="n">
        <f aca="false">VLOOKUP(A793,'Order Shipping'!$A$2:$C$2000,3,FALSE())</f>
        <v>5.4</v>
      </c>
      <c r="E793" s="32" t="n">
        <f aca="false">VLOOKUP($A793,'Order Sales'!$A$2:$G$2154,E$1,FALSE())</f>
        <v>22</v>
      </c>
      <c r="F793" s="32" t="n">
        <f aca="false">VLOOKUP($A793,'Order Sales'!$A$2:$G$2154,F$1,FALSE())</f>
        <v>672.38</v>
      </c>
      <c r="G793" s="32" t="str">
        <f aca="false">VLOOKUP($A793,'Order Sales'!$A$2:$G$2154,G$1,FALSE())</f>
        <v>Corporate</v>
      </c>
    </row>
    <row r="794" customFormat="false" ht="14.25" hidden="false" customHeight="false" outlineLevel="0" collapsed="false">
      <c r="A794" s="1" t="n">
        <v>1128</v>
      </c>
      <c r="B794" s="30" t="n">
        <v>43266</v>
      </c>
      <c r="C794" s="30" t="n">
        <v>43916</v>
      </c>
      <c r="D794" s="31" t="n">
        <f aca="false">VLOOKUP(A794,'Order Shipping'!$A$2:$C$2000,3,FALSE())</f>
        <v>6.9</v>
      </c>
      <c r="E794" s="32" t="n">
        <f aca="false">VLOOKUP($A794,'Order Sales'!$A$2:$G$2154,E$1,FALSE())</f>
        <v>25</v>
      </c>
      <c r="F794" s="32" t="n">
        <f aca="false">VLOOKUP($A794,'Order Sales'!$A$2:$G$2154,F$1,FALSE())</f>
        <v>309.13</v>
      </c>
      <c r="G794" s="32" t="str">
        <f aca="false">VLOOKUP($A794,'Order Sales'!$A$2:$G$2154,G$1,FALSE())</f>
        <v>Corporate</v>
      </c>
    </row>
    <row r="795" customFormat="false" ht="14.25" hidden="false" customHeight="false" outlineLevel="0" collapsed="false">
      <c r="A795" s="1" t="n">
        <v>1630</v>
      </c>
      <c r="B795" s="30" t="n">
        <v>43455</v>
      </c>
      <c r="C795" s="30" t="n">
        <v>43917</v>
      </c>
      <c r="D795" s="31" t="n">
        <f aca="false">VLOOKUP(A795,'Order Shipping'!$A$2:$C$2000,3,FALSE())</f>
        <v>6.6</v>
      </c>
      <c r="E795" s="32" t="n">
        <f aca="false">VLOOKUP($A795,'Order Sales'!$A$2:$G$2154,E$1,FALSE())</f>
        <v>3</v>
      </c>
      <c r="F795" s="32" t="n">
        <f aca="false">VLOOKUP($A795,'Order Sales'!$A$2:$G$2154,F$1,FALSE())</f>
        <v>98.77</v>
      </c>
      <c r="G795" s="32" t="str">
        <f aca="false">VLOOKUP($A795,'Order Sales'!$A$2:$G$2154,G$1,FALSE())</f>
        <v>Corporate</v>
      </c>
    </row>
    <row r="796" customFormat="false" ht="14.25" hidden="false" customHeight="false" outlineLevel="0" collapsed="false">
      <c r="A796" s="1" t="n">
        <v>1698</v>
      </c>
      <c r="B796" s="30" t="n">
        <v>43240</v>
      </c>
      <c r="C796" s="30" t="n">
        <v>43918</v>
      </c>
      <c r="D796" s="31" t="n">
        <f aca="false">VLOOKUP(A796,'Order Shipping'!$A$2:$C$2000,3,FALSE())</f>
        <v>90.8</v>
      </c>
      <c r="E796" s="32" t="n">
        <f aca="false">VLOOKUP($A796,'Order Sales'!$A$2:$G$2154,E$1,FALSE())</f>
        <v>43</v>
      </c>
      <c r="F796" s="32" t="n">
        <f aca="false">VLOOKUP($A796,'Order Sales'!$A$2:$G$2154,F$1,FALSE())</f>
        <v>12492.22</v>
      </c>
      <c r="G796" s="32" t="str">
        <f aca="false">VLOOKUP($A796,'Order Sales'!$A$2:$G$2154,G$1,FALSE())</f>
        <v>Corporate</v>
      </c>
    </row>
    <row r="797" customFormat="false" ht="14.25" hidden="false" customHeight="false" outlineLevel="0" collapsed="false">
      <c r="A797" s="1" t="n">
        <v>1133</v>
      </c>
      <c r="B797" s="30" t="n">
        <v>43429</v>
      </c>
      <c r="C797" s="30" t="n">
        <v>43919</v>
      </c>
      <c r="D797" s="31" t="n">
        <f aca="false">VLOOKUP(A797,'Order Shipping'!$A$2:$C$2000,3,FALSE())</f>
        <v>5.8</v>
      </c>
      <c r="E797" s="32" t="n">
        <f aca="false">VLOOKUP($A797,'Order Sales'!$A$2:$G$2154,E$1,FALSE())</f>
        <v>16</v>
      </c>
      <c r="F797" s="32" t="n">
        <f aca="false">VLOOKUP($A797,'Order Sales'!$A$2:$G$2154,F$1,FALSE())</f>
        <v>81.96</v>
      </c>
      <c r="G797" s="32" t="str">
        <f aca="false">VLOOKUP($A797,'Order Sales'!$A$2:$G$2154,G$1,FALSE())</f>
        <v>Consumer</v>
      </c>
    </row>
    <row r="798" customFormat="false" ht="14.25" hidden="false" customHeight="false" outlineLevel="0" collapsed="false">
      <c r="A798" s="1" t="n">
        <v>1246</v>
      </c>
      <c r="B798" s="30" t="n">
        <v>43107</v>
      </c>
      <c r="C798" s="30" t="n">
        <v>43920</v>
      </c>
      <c r="D798" s="31" t="n">
        <f aca="false">VLOOKUP(A798,'Order Shipping'!$A$2:$C$2000,3,FALSE())</f>
        <v>5.3</v>
      </c>
      <c r="E798" s="32" t="n">
        <f aca="false">VLOOKUP($A798,'Order Sales'!$A$2:$G$2154,E$1,FALSE())</f>
        <v>34</v>
      </c>
      <c r="F798" s="32" t="n">
        <f aca="false">VLOOKUP($A798,'Order Sales'!$A$2:$G$2154,F$1,FALSE())</f>
        <v>168.59</v>
      </c>
      <c r="G798" s="32" t="str">
        <f aca="false">VLOOKUP($A798,'Order Sales'!$A$2:$G$2154,G$1,FALSE())</f>
        <v>Consumer</v>
      </c>
    </row>
    <row r="799" customFormat="false" ht="14.25" hidden="false" customHeight="false" outlineLevel="0" collapsed="false">
      <c r="A799" s="1" t="n">
        <v>2233</v>
      </c>
      <c r="B799" s="30" t="n">
        <v>43422</v>
      </c>
      <c r="C799" s="30" t="n">
        <v>43921</v>
      </c>
      <c r="D799" s="31" t="n">
        <f aca="false">VLOOKUP(A799,'Order Shipping'!$A$2:$C$2000,3,FALSE())</f>
        <v>3.7</v>
      </c>
      <c r="E799" s="32" t="n">
        <f aca="false">VLOOKUP($A799,'Order Sales'!$A$2:$G$2154,E$1,FALSE())</f>
        <v>21</v>
      </c>
      <c r="F799" s="32" t="n">
        <f aca="false">VLOOKUP($A799,'Order Sales'!$A$2:$G$2154,F$1,FALSE())</f>
        <v>1608.73</v>
      </c>
      <c r="G799" s="32" t="str">
        <f aca="false">VLOOKUP($A799,'Order Sales'!$A$2:$G$2154,G$1,FALSE())</f>
        <v>Corporate</v>
      </c>
    </row>
    <row r="800" customFormat="false" ht="14.25" hidden="false" customHeight="false" outlineLevel="0" collapsed="false">
      <c r="A800" s="1" t="n">
        <v>1435</v>
      </c>
      <c r="B800" s="30" t="n">
        <v>43298</v>
      </c>
      <c r="C800" s="30" t="n">
        <v>43922</v>
      </c>
      <c r="D800" s="31" t="n">
        <f aca="false">VLOOKUP(A800,'Order Shipping'!$A$2:$C$2000,3,FALSE())</f>
        <v>8.5</v>
      </c>
      <c r="E800" s="32" t="n">
        <f aca="false">VLOOKUP($A800,'Order Sales'!$A$2:$G$2154,E$1,FALSE())</f>
        <v>31</v>
      </c>
      <c r="F800" s="32" t="n">
        <f aca="false">VLOOKUP($A800,'Order Sales'!$A$2:$G$2154,F$1,FALSE())</f>
        <v>226.36</v>
      </c>
      <c r="G800" s="32" t="str">
        <f aca="false">VLOOKUP($A800,'Order Sales'!$A$2:$G$2154,G$1,FALSE())</f>
        <v>Corporate</v>
      </c>
    </row>
    <row r="801" customFormat="false" ht="14.25" hidden="false" customHeight="false" outlineLevel="0" collapsed="false">
      <c r="A801" s="1" t="n">
        <v>1528</v>
      </c>
      <c r="B801" s="30" t="n">
        <v>43381</v>
      </c>
      <c r="C801" s="30" t="n">
        <v>43923</v>
      </c>
      <c r="D801" s="31" t="n">
        <f aca="false">VLOOKUP(A801,'Order Shipping'!$A$2:$C$2000,3,FALSE())</f>
        <v>5.5</v>
      </c>
      <c r="E801" s="32" t="n">
        <f aca="false">VLOOKUP($A801,'Order Sales'!$A$2:$G$2154,E$1,FALSE())</f>
        <v>40</v>
      </c>
      <c r="F801" s="32" t="n">
        <f aca="false">VLOOKUP($A801,'Order Sales'!$A$2:$G$2154,F$1,FALSE())</f>
        <v>291.05</v>
      </c>
      <c r="G801" s="32" t="str">
        <f aca="false">VLOOKUP($A801,'Order Sales'!$A$2:$G$2154,G$1,FALSE())</f>
        <v>Small Business</v>
      </c>
    </row>
    <row r="802" customFormat="false" ht="14.25" hidden="false" customHeight="false" outlineLevel="0" collapsed="false">
      <c r="A802" s="1" t="n">
        <v>2678</v>
      </c>
      <c r="B802" s="30" t="n">
        <v>43408</v>
      </c>
      <c r="C802" s="30" t="n">
        <v>43924</v>
      </c>
      <c r="D802" s="31" t="n">
        <f aca="false">VLOOKUP(A802,'Order Shipping'!$A$2:$C$2000,3,FALSE())</f>
        <v>7.4</v>
      </c>
      <c r="E802" s="32" t="n">
        <f aca="false">VLOOKUP($A802,'Order Sales'!$A$2:$G$2154,E$1,FALSE())</f>
        <v>10</v>
      </c>
      <c r="F802" s="32" t="n">
        <f aca="false">VLOOKUP($A802,'Order Sales'!$A$2:$G$2154,F$1,FALSE())</f>
        <v>51.36</v>
      </c>
      <c r="G802" s="32" t="str">
        <f aca="false">VLOOKUP($A802,'Order Sales'!$A$2:$G$2154,G$1,FALSE())</f>
        <v>Corporate</v>
      </c>
    </row>
    <row r="803" customFormat="false" ht="14.25" hidden="false" customHeight="false" outlineLevel="0" collapsed="false">
      <c r="A803" s="1" t="n">
        <v>2395</v>
      </c>
      <c r="B803" s="30" t="n">
        <v>43393</v>
      </c>
      <c r="C803" s="30" t="n">
        <v>43925</v>
      </c>
      <c r="D803" s="31" t="n">
        <f aca="false">VLOOKUP(A803,'Order Shipping'!$A$2:$C$2000,3,FALSE())</f>
        <v>31.2</v>
      </c>
      <c r="E803" s="32" t="n">
        <f aca="false">VLOOKUP($A803,'Order Sales'!$A$2:$G$2154,E$1,FALSE())</f>
        <v>25</v>
      </c>
      <c r="F803" s="32" t="n">
        <f aca="false">VLOOKUP($A803,'Order Sales'!$A$2:$G$2154,F$1,FALSE())</f>
        <v>6934.72</v>
      </c>
      <c r="G803" s="32" t="str">
        <f aca="false">VLOOKUP($A803,'Order Sales'!$A$2:$G$2154,G$1,FALSE())</f>
        <v>Corporate</v>
      </c>
    </row>
    <row r="804" customFormat="false" ht="14.25" hidden="false" customHeight="false" outlineLevel="0" collapsed="false">
      <c r="A804" s="1" t="n">
        <v>1571</v>
      </c>
      <c r="B804" s="30" t="n">
        <v>43322</v>
      </c>
      <c r="C804" s="30" t="n">
        <v>43926</v>
      </c>
      <c r="D804" s="31" t="n">
        <f aca="false">VLOOKUP(A804,'Order Shipping'!$A$2:$C$2000,3,FALSE())</f>
        <v>7.6</v>
      </c>
      <c r="E804" s="32" t="n">
        <f aca="false">VLOOKUP($A804,'Order Sales'!$A$2:$G$2154,E$1,FALSE())</f>
        <v>33</v>
      </c>
      <c r="F804" s="32" t="n">
        <f aca="false">VLOOKUP($A804,'Order Sales'!$A$2:$G$2154,F$1,FALSE())</f>
        <v>1127.5</v>
      </c>
      <c r="G804" s="32" t="str">
        <f aca="false">VLOOKUP($A804,'Order Sales'!$A$2:$G$2154,G$1,FALSE())</f>
        <v>Home Office</v>
      </c>
    </row>
    <row r="805" customFormat="false" ht="14.25" hidden="false" customHeight="false" outlineLevel="0" collapsed="false">
      <c r="A805" s="1" t="n">
        <v>2795</v>
      </c>
      <c r="B805" s="30" t="n">
        <v>43301</v>
      </c>
      <c r="C805" s="30" t="n">
        <v>43927</v>
      </c>
      <c r="D805" s="31" t="n">
        <f aca="false">VLOOKUP(A805,'Order Shipping'!$A$2:$C$2000,3,FALSE())</f>
        <v>24.8</v>
      </c>
      <c r="E805" s="32" t="n">
        <f aca="false">VLOOKUP($A805,'Order Sales'!$A$2:$G$2154,E$1,FALSE())</f>
        <v>10</v>
      </c>
      <c r="F805" s="32" t="n">
        <f aca="false">VLOOKUP($A805,'Order Sales'!$A$2:$G$2154,F$1,FALSE())</f>
        <v>2889.44</v>
      </c>
      <c r="G805" s="32" t="str">
        <f aca="false">VLOOKUP($A805,'Order Sales'!$A$2:$G$2154,G$1,FALSE())</f>
        <v>Home Office</v>
      </c>
    </row>
    <row r="806" customFormat="false" ht="14.25" hidden="false" customHeight="false" outlineLevel="0" collapsed="false">
      <c r="A806" s="1" t="n">
        <v>1111</v>
      </c>
      <c r="B806" s="30" t="n">
        <v>43432</v>
      </c>
      <c r="C806" s="30" t="n">
        <v>43928</v>
      </c>
      <c r="D806" s="31" t="n">
        <f aca="false">VLOOKUP(A806,'Order Shipping'!$A$2:$C$2000,3,FALSE())</f>
        <v>21.4</v>
      </c>
      <c r="E806" s="32" t="n">
        <f aca="false">VLOOKUP($A806,'Order Sales'!$A$2:$G$2154,E$1,FALSE())</f>
        <v>24</v>
      </c>
      <c r="F806" s="32" t="n">
        <f aca="false">VLOOKUP($A806,'Order Sales'!$A$2:$G$2154,F$1,FALSE())</f>
        <v>10801.04</v>
      </c>
      <c r="G806" s="32" t="str">
        <f aca="false">VLOOKUP($A806,'Order Sales'!$A$2:$G$2154,G$1,FALSE())</f>
        <v>Small Business</v>
      </c>
    </row>
    <row r="807" customFormat="false" ht="14.25" hidden="false" customHeight="false" outlineLevel="0" collapsed="false">
      <c r="A807" s="1" t="n">
        <v>1977</v>
      </c>
      <c r="B807" s="30" t="n">
        <v>43280</v>
      </c>
      <c r="C807" s="30" t="n">
        <v>43929</v>
      </c>
      <c r="D807" s="31" t="n">
        <f aca="false">VLOOKUP(A807,'Order Shipping'!$A$2:$C$2000,3,FALSE())</f>
        <v>37.5</v>
      </c>
      <c r="E807" s="32" t="n">
        <f aca="false">VLOOKUP($A807,'Order Sales'!$A$2:$G$2154,E$1,FALSE())</f>
        <v>21</v>
      </c>
      <c r="F807" s="32" t="n">
        <f aca="false">VLOOKUP($A807,'Order Sales'!$A$2:$G$2154,F$1,FALSE())</f>
        <v>3160.93</v>
      </c>
      <c r="G807" s="32" t="str">
        <f aca="false">VLOOKUP($A807,'Order Sales'!$A$2:$G$2154,G$1,FALSE())</f>
        <v>Corporate</v>
      </c>
    </row>
    <row r="808" customFormat="false" ht="14.25" hidden="false" customHeight="false" outlineLevel="0" collapsed="false">
      <c r="A808" s="1" t="n">
        <v>2726</v>
      </c>
      <c r="B808" s="30" t="n">
        <v>43430</v>
      </c>
      <c r="C808" s="30" t="n">
        <v>43930</v>
      </c>
      <c r="D808" s="31" t="n">
        <f aca="false">VLOOKUP(A808,'Order Shipping'!$A$2:$C$2000,3,FALSE())</f>
        <v>5.3</v>
      </c>
      <c r="E808" s="32" t="n">
        <f aca="false">VLOOKUP($A808,'Order Sales'!$A$2:$G$2154,E$1,FALSE())</f>
        <v>1</v>
      </c>
      <c r="F808" s="32" t="n">
        <f aca="false">VLOOKUP($A808,'Order Sales'!$A$2:$G$2154,F$1,FALSE())</f>
        <v>13.63</v>
      </c>
      <c r="G808" s="32" t="str">
        <f aca="false">VLOOKUP($A808,'Order Sales'!$A$2:$G$2154,G$1,FALSE())</f>
        <v>Consumer</v>
      </c>
    </row>
    <row r="809" customFormat="false" ht="14.25" hidden="false" customHeight="false" outlineLevel="0" collapsed="false">
      <c r="A809" s="1" t="n">
        <v>2685</v>
      </c>
      <c r="B809" s="30" t="n">
        <v>43176</v>
      </c>
      <c r="C809" s="30" t="n">
        <v>43931</v>
      </c>
      <c r="D809" s="31" t="n">
        <f aca="false">VLOOKUP(A809,'Order Shipping'!$A$2:$C$2000,3,FALSE())</f>
        <v>64.2</v>
      </c>
      <c r="E809" s="32" t="n">
        <f aca="false">VLOOKUP($A809,'Order Sales'!$A$2:$G$2154,E$1,FALSE())</f>
        <v>50</v>
      </c>
      <c r="F809" s="32" t="n">
        <f aca="false">VLOOKUP($A809,'Order Sales'!$A$2:$G$2154,F$1,FALSE())</f>
        <v>19320.65</v>
      </c>
      <c r="G809" s="32" t="str">
        <f aca="false">VLOOKUP($A809,'Order Sales'!$A$2:$G$2154,G$1,FALSE())</f>
        <v>Corporate</v>
      </c>
    </row>
    <row r="810" customFormat="false" ht="14.25" hidden="false" customHeight="false" outlineLevel="0" collapsed="false">
      <c r="A810" s="1" t="n">
        <v>2908</v>
      </c>
      <c r="B810" s="30" t="n">
        <v>43252</v>
      </c>
      <c r="C810" s="30" t="n">
        <v>43932</v>
      </c>
      <c r="D810" s="31" t="n">
        <f aca="false">VLOOKUP(A810,'Order Shipping'!$A$2:$C$2000,3,FALSE())</f>
        <v>8</v>
      </c>
      <c r="E810" s="32" t="n">
        <f aca="false">VLOOKUP($A810,'Order Sales'!$A$2:$G$2154,E$1,FALSE())</f>
        <v>26</v>
      </c>
      <c r="F810" s="32" t="n">
        <f aca="false">VLOOKUP($A810,'Order Sales'!$A$2:$G$2154,F$1,FALSE())</f>
        <v>185.94</v>
      </c>
      <c r="G810" s="32" t="str">
        <f aca="false">VLOOKUP($A810,'Order Sales'!$A$2:$G$2154,G$1,FALSE())</f>
        <v>Small Business</v>
      </c>
    </row>
    <row r="811" customFormat="false" ht="14.25" hidden="false" customHeight="false" outlineLevel="0" collapsed="false">
      <c r="A811" s="1" t="n">
        <v>1233</v>
      </c>
      <c r="B811" s="30" t="n">
        <v>43318</v>
      </c>
      <c r="C811" s="30" t="n">
        <v>43933</v>
      </c>
      <c r="D811" s="31" t="n">
        <f aca="false">VLOOKUP(A811,'Order Shipping'!$A$2:$C$2000,3,FALSE())</f>
        <v>26.2</v>
      </c>
      <c r="E811" s="32" t="n">
        <f aca="false">VLOOKUP($A811,'Order Sales'!$A$2:$G$2154,E$1,FALSE())</f>
        <v>22</v>
      </c>
      <c r="F811" s="32" t="n">
        <f aca="false">VLOOKUP($A811,'Order Sales'!$A$2:$G$2154,F$1,FALSE())</f>
        <v>6843.93</v>
      </c>
      <c r="G811" s="32" t="str">
        <f aca="false">VLOOKUP($A811,'Order Sales'!$A$2:$G$2154,G$1,FALSE())</f>
        <v>Corporate</v>
      </c>
    </row>
    <row r="812" customFormat="false" ht="14.25" hidden="false" customHeight="false" outlineLevel="0" collapsed="false">
      <c r="A812" s="1" t="n">
        <v>2127</v>
      </c>
      <c r="B812" s="30" t="n">
        <v>43244</v>
      </c>
      <c r="C812" s="30" t="n">
        <v>43934</v>
      </c>
      <c r="D812" s="31" t="n">
        <f aca="false">VLOOKUP(A812,'Order Shipping'!$A$2:$C$2000,3,FALSE())</f>
        <v>74.4</v>
      </c>
      <c r="E812" s="32" t="n">
        <f aca="false">VLOOKUP($A812,'Order Sales'!$A$2:$G$2154,E$1,FALSE())</f>
        <v>45</v>
      </c>
      <c r="F812" s="32" t="n">
        <f aca="false">VLOOKUP($A812,'Order Sales'!$A$2:$G$2154,F$1,FALSE())</f>
        <v>13329.66</v>
      </c>
      <c r="G812" s="32" t="str">
        <f aca="false">VLOOKUP($A812,'Order Sales'!$A$2:$G$2154,G$1,FALSE())</f>
        <v>Corporate</v>
      </c>
    </row>
    <row r="813" customFormat="false" ht="14.25" hidden="false" customHeight="false" outlineLevel="0" collapsed="false">
      <c r="A813" s="1" t="n">
        <v>1588</v>
      </c>
      <c r="B813" s="30" t="n">
        <v>43112</v>
      </c>
      <c r="C813" s="30" t="n">
        <v>43935</v>
      </c>
      <c r="D813" s="31" t="n">
        <f aca="false">VLOOKUP(A813,'Order Shipping'!$A$2:$C$2000,3,FALSE())</f>
        <v>5.4</v>
      </c>
      <c r="E813" s="32" t="n">
        <f aca="false">VLOOKUP($A813,'Order Sales'!$A$2:$G$2154,E$1,FALSE())</f>
        <v>41</v>
      </c>
      <c r="F813" s="32" t="n">
        <f aca="false">VLOOKUP($A813,'Order Sales'!$A$2:$G$2154,F$1,FALSE())</f>
        <v>1360.02</v>
      </c>
      <c r="G813" s="32" t="str">
        <f aca="false">VLOOKUP($A813,'Order Sales'!$A$2:$G$2154,G$1,FALSE())</f>
        <v>Consumer</v>
      </c>
    </row>
    <row r="814" customFormat="false" ht="14.25" hidden="false" customHeight="false" outlineLevel="0" collapsed="false">
      <c r="A814" s="1" t="n">
        <v>2164</v>
      </c>
      <c r="B814" s="30" t="n">
        <v>43137</v>
      </c>
      <c r="C814" s="30" t="n">
        <v>43936</v>
      </c>
      <c r="D814" s="31" t="n">
        <f aca="false">VLOOKUP(A814,'Order Shipping'!$A$2:$C$2000,3,FALSE())</f>
        <v>5.3</v>
      </c>
      <c r="E814" s="32" t="n">
        <f aca="false">VLOOKUP($A814,'Order Sales'!$A$2:$G$2154,E$1,FALSE())</f>
        <v>37</v>
      </c>
      <c r="F814" s="32" t="n">
        <f aca="false">VLOOKUP($A814,'Order Sales'!$A$2:$G$2154,F$1,FALSE())</f>
        <v>200.49</v>
      </c>
      <c r="G814" s="32" t="str">
        <f aca="false">VLOOKUP($A814,'Order Sales'!$A$2:$G$2154,G$1,FALSE())</f>
        <v>Corporate</v>
      </c>
    </row>
    <row r="815" customFormat="false" ht="14.25" hidden="false" customHeight="false" outlineLevel="0" collapsed="false">
      <c r="A815" s="1" t="n">
        <v>1961</v>
      </c>
      <c r="B815" s="30" t="n">
        <v>43413</v>
      </c>
      <c r="C815" s="30" t="n">
        <v>43937</v>
      </c>
      <c r="D815" s="31" t="n">
        <f aca="false">VLOOKUP(A815,'Order Shipping'!$A$2:$C$2000,3,FALSE())</f>
        <v>7</v>
      </c>
      <c r="E815" s="32" t="n">
        <f aca="false">VLOOKUP($A815,'Order Sales'!$A$2:$G$2154,E$1,FALSE())</f>
        <v>27</v>
      </c>
      <c r="F815" s="32" t="n">
        <f aca="false">VLOOKUP($A815,'Order Sales'!$A$2:$G$2154,F$1,FALSE())</f>
        <v>1235.73</v>
      </c>
      <c r="G815" s="32" t="str">
        <f aca="false">VLOOKUP($A815,'Order Sales'!$A$2:$G$2154,G$1,FALSE())</f>
        <v>Corporate</v>
      </c>
    </row>
    <row r="816" customFormat="false" ht="14.25" hidden="false" customHeight="false" outlineLevel="0" collapsed="false">
      <c r="A816" s="1" t="n">
        <v>1982</v>
      </c>
      <c r="B816" s="30" t="n">
        <v>43421</v>
      </c>
      <c r="C816" s="30" t="n">
        <v>43938</v>
      </c>
      <c r="D816" s="31" t="n">
        <f aca="false">VLOOKUP(A816,'Order Shipping'!$A$2:$C$2000,3,FALSE())</f>
        <v>4.3</v>
      </c>
      <c r="E816" s="32" t="n">
        <f aca="false">VLOOKUP($A816,'Order Sales'!$A$2:$G$2154,E$1,FALSE())</f>
        <v>30</v>
      </c>
      <c r="F816" s="32" t="n">
        <f aca="false">VLOOKUP($A816,'Order Sales'!$A$2:$G$2154,F$1,FALSE())</f>
        <v>232.64</v>
      </c>
      <c r="G816" s="32" t="str">
        <f aca="false">VLOOKUP($A816,'Order Sales'!$A$2:$G$2154,G$1,FALSE())</f>
        <v>Corporate</v>
      </c>
    </row>
    <row r="817" customFormat="false" ht="14.25" hidden="false" customHeight="false" outlineLevel="0" collapsed="false">
      <c r="A817" s="1" t="n">
        <v>1138</v>
      </c>
      <c r="B817" s="30" t="n">
        <v>43102</v>
      </c>
      <c r="C817" s="30" t="n">
        <v>43939</v>
      </c>
      <c r="D817" s="31" t="n">
        <f aca="false">VLOOKUP(A817,'Order Shipping'!$A$2:$C$2000,3,FALSE())</f>
        <v>5.4</v>
      </c>
      <c r="E817" s="32" t="n">
        <f aca="false">VLOOKUP($A817,'Order Sales'!$A$2:$G$2154,E$1,FALSE())</f>
        <v>38</v>
      </c>
      <c r="F817" s="32" t="n">
        <f aca="false">VLOOKUP($A817,'Order Sales'!$A$2:$G$2154,F$1,FALSE())</f>
        <v>1542.52</v>
      </c>
      <c r="G817" s="32" t="str">
        <f aca="false">VLOOKUP($A817,'Order Sales'!$A$2:$G$2154,G$1,FALSE())</f>
        <v>Corporate</v>
      </c>
    </row>
    <row r="818" customFormat="false" ht="14.25" hidden="false" customHeight="false" outlineLevel="0" collapsed="false">
      <c r="A818" s="1" t="n">
        <v>1087</v>
      </c>
      <c r="B818" s="30" t="n">
        <v>43273</v>
      </c>
      <c r="C818" s="30" t="n">
        <v>43940</v>
      </c>
      <c r="D818" s="31" t="n">
        <f aca="false">VLOOKUP(A818,'Order Shipping'!$A$2:$C$2000,3,FALSE())</f>
        <v>2.1</v>
      </c>
      <c r="E818" s="32" t="n">
        <f aca="false">VLOOKUP($A818,'Order Sales'!$A$2:$G$2154,E$1,FALSE())</f>
        <v>28</v>
      </c>
      <c r="F818" s="32" t="n">
        <f aca="false">VLOOKUP($A818,'Order Sales'!$A$2:$G$2154,F$1,FALSE())</f>
        <v>1158.22</v>
      </c>
      <c r="G818" s="32" t="str">
        <f aca="false">VLOOKUP($A818,'Order Sales'!$A$2:$G$2154,G$1,FALSE())</f>
        <v>Consumer</v>
      </c>
    </row>
    <row r="819" customFormat="false" ht="14.25" hidden="false" customHeight="false" outlineLevel="0" collapsed="false">
      <c r="A819" s="1" t="n">
        <v>1249</v>
      </c>
      <c r="B819" s="30" t="n">
        <v>43275</v>
      </c>
      <c r="C819" s="30" t="n">
        <v>43941</v>
      </c>
      <c r="D819" s="31" t="n">
        <f aca="false">VLOOKUP(A819,'Order Shipping'!$A$2:$C$2000,3,FALSE())</f>
        <v>5.2</v>
      </c>
      <c r="E819" s="32" t="n">
        <f aca="false">VLOOKUP($A819,'Order Sales'!$A$2:$G$2154,E$1,FALSE())</f>
        <v>12</v>
      </c>
      <c r="F819" s="32" t="n">
        <f aca="false">VLOOKUP($A819,'Order Sales'!$A$2:$G$2154,F$1,FALSE())</f>
        <v>28.17</v>
      </c>
      <c r="G819" s="32" t="str">
        <f aca="false">VLOOKUP($A819,'Order Sales'!$A$2:$G$2154,G$1,FALSE())</f>
        <v>Corporate</v>
      </c>
    </row>
    <row r="820" customFormat="false" ht="14.25" hidden="false" customHeight="false" outlineLevel="0" collapsed="false">
      <c r="A820" s="1" t="n">
        <v>2468</v>
      </c>
      <c r="B820" s="30" t="n">
        <v>43253</v>
      </c>
      <c r="C820" s="30" t="n">
        <v>43942</v>
      </c>
      <c r="D820" s="31" t="n">
        <f aca="false">VLOOKUP(A820,'Order Shipping'!$A$2:$C$2000,3,FALSE())</f>
        <v>19.3</v>
      </c>
      <c r="E820" s="32" t="n">
        <f aca="false">VLOOKUP($A820,'Order Sales'!$A$2:$G$2154,E$1,FALSE())</f>
        <v>19</v>
      </c>
      <c r="F820" s="32" t="n">
        <f aca="false">VLOOKUP($A820,'Order Sales'!$A$2:$G$2154,F$1,FALSE())</f>
        <v>4169.14</v>
      </c>
      <c r="G820" s="32" t="str">
        <f aca="false">VLOOKUP($A820,'Order Sales'!$A$2:$G$2154,G$1,FALSE())</f>
        <v>Small Business</v>
      </c>
    </row>
    <row r="821" customFormat="false" ht="14.25" hidden="false" customHeight="false" outlineLevel="0" collapsed="false">
      <c r="A821" s="1" t="n">
        <v>2593</v>
      </c>
      <c r="B821" s="30" t="n">
        <v>43453</v>
      </c>
      <c r="C821" s="30" t="n">
        <v>43943</v>
      </c>
      <c r="D821" s="31" t="n">
        <f aca="false">VLOOKUP(A821,'Order Shipping'!$A$2:$C$2000,3,FALSE())</f>
        <v>2.1</v>
      </c>
      <c r="E821" s="32" t="n">
        <f aca="false">VLOOKUP($A821,'Order Sales'!$A$2:$G$2154,E$1,FALSE())</f>
        <v>47</v>
      </c>
      <c r="F821" s="32" t="n">
        <f aca="false">VLOOKUP($A821,'Order Sales'!$A$2:$G$2154,F$1,FALSE())</f>
        <v>776.61</v>
      </c>
      <c r="G821" s="32" t="str">
        <f aca="false">VLOOKUP($A821,'Order Sales'!$A$2:$G$2154,G$1,FALSE())</f>
        <v>Consumer</v>
      </c>
    </row>
    <row r="822" customFormat="false" ht="14.25" hidden="false" customHeight="false" outlineLevel="0" collapsed="false">
      <c r="A822" s="1" t="n">
        <v>1666</v>
      </c>
      <c r="B822" s="30" t="n">
        <v>43109</v>
      </c>
      <c r="C822" s="30" t="n">
        <v>43944</v>
      </c>
      <c r="D822" s="31" t="n">
        <f aca="false">VLOOKUP(A822,'Order Shipping'!$A$2:$C$2000,3,FALSE())</f>
        <v>7.5</v>
      </c>
      <c r="E822" s="32" t="n">
        <f aca="false">VLOOKUP($A822,'Order Sales'!$A$2:$G$2154,E$1,FALSE())</f>
        <v>12</v>
      </c>
      <c r="F822" s="32" t="n">
        <f aca="false">VLOOKUP($A822,'Order Sales'!$A$2:$G$2154,F$1,FALSE())</f>
        <v>74.88</v>
      </c>
      <c r="G822" s="32" t="str">
        <f aca="false">VLOOKUP($A822,'Order Sales'!$A$2:$G$2154,G$1,FALSE())</f>
        <v>Home Office</v>
      </c>
    </row>
    <row r="823" customFormat="false" ht="14.25" hidden="false" customHeight="false" outlineLevel="0" collapsed="false">
      <c r="A823" s="1" t="n">
        <v>1379</v>
      </c>
      <c r="B823" s="30" t="n">
        <v>43198</v>
      </c>
      <c r="C823" s="30" t="n">
        <v>43945</v>
      </c>
      <c r="D823" s="31" t="n">
        <f aca="false">VLOOKUP(A823,'Order Shipping'!$A$2:$C$2000,3,FALSE())</f>
        <v>7.5</v>
      </c>
      <c r="E823" s="32" t="n">
        <f aca="false">VLOOKUP($A823,'Order Sales'!$A$2:$G$2154,E$1,FALSE())</f>
        <v>33</v>
      </c>
      <c r="F823" s="32" t="n">
        <f aca="false">VLOOKUP($A823,'Order Sales'!$A$2:$G$2154,F$1,FALSE())</f>
        <v>610.45</v>
      </c>
      <c r="G823" s="32" t="str">
        <f aca="false">VLOOKUP($A823,'Order Sales'!$A$2:$G$2154,G$1,FALSE())</f>
        <v>Corporate</v>
      </c>
    </row>
    <row r="824" customFormat="false" ht="14.25" hidden="false" customHeight="false" outlineLevel="0" collapsed="false">
      <c r="A824" s="1" t="n">
        <v>1885</v>
      </c>
      <c r="B824" s="30" t="n">
        <v>43425</v>
      </c>
      <c r="C824" s="30" t="n">
        <v>43946</v>
      </c>
      <c r="D824" s="31" t="n">
        <f aca="false">VLOOKUP(A824,'Order Shipping'!$A$2:$C$2000,3,FALSE())</f>
        <v>2.4</v>
      </c>
      <c r="E824" s="32" t="n">
        <f aca="false">VLOOKUP($A824,'Order Sales'!$A$2:$G$2154,E$1,FALSE())</f>
        <v>21</v>
      </c>
      <c r="F824" s="32" t="n">
        <f aca="false">VLOOKUP($A824,'Order Sales'!$A$2:$G$2154,F$1,FALSE())</f>
        <v>217.8</v>
      </c>
      <c r="G824" s="32" t="str">
        <f aca="false">VLOOKUP($A824,'Order Sales'!$A$2:$G$2154,G$1,FALSE())</f>
        <v>Home Office</v>
      </c>
    </row>
    <row r="825" customFormat="false" ht="14.25" hidden="false" customHeight="false" outlineLevel="0" collapsed="false">
      <c r="A825" s="1" t="n">
        <v>1112</v>
      </c>
      <c r="B825" s="30" t="n">
        <v>43412</v>
      </c>
      <c r="C825" s="30" t="n">
        <v>43947</v>
      </c>
      <c r="D825" s="31" t="n">
        <f aca="false">VLOOKUP(A825,'Order Shipping'!$A$2:$C$2000,3,FALSE())</f>
        <v>3.4</v>
      </c>
      <c r="E825" s="32" t="n">
        <f aca="false">VLOOKUP($A825,'Order Sales'!$A$2:$G$2154,E$1,FALSE())</f>
        <v>30</v>
      </c>
      <c r="F825" s="32" t="n">
        <f aca="false">VLOOKUP($A825,'Order Sales'!$A$2:$G$2154,F$1,FALSE())</f>
        <v>572.41</v>
      </c>
      <c r="G825" s="32" t="str">
        <f aca="false">VLOOKUP($A825,'Order Sales'!$A$2:$G$2154,G$1,FALSE())</f>
        <v>Home Office</v>
      </c>
    </row>
    <row r="826" customFormat="false" ht="14.25" hidden="false" customHeight="false" outlineLevel="0" collapsed="false">
      <c r="A826" s="1" t="n">
        <v>1671</v>
      </c>
      <c r="B826" s="30" t="n">
        <v>43173</v>
      </c>
      <c r="C826" s="30" t="n">
        <v>43948</v>
      </c>
      <c r="D826" s="31" t="n">
        <f aca="false">VLOOKUP(A826,'Order Shipping'!$A$2:$C$2000,3,FALSE())</f>
        <v>8.6</v>
      </c>
      <c r="E826" s="32" t="n">
        <f aca="false">VLOOKUP($A826,'Order Sales'!$A$2:$G$2154,E$1,FALSE())</f>
        <v>6</v>
      </c>
      <c r="F826" s="32" t="n">
        <f aca="false">VLOOKUP($A826,'Order Sales'!$A$2:$G$2154,F$1,FALSE())</f>
        <v>680.24</v>
      </c>
      <c r="G826" s="32" t="str">
        <f aca="false">VLOOKUP($A826,'Order Sales'!$A$2:$G$2154,G$1,FALSE())</f>
        <v>Small Business</v>
      </c>
    </row>
    <row r="827" customFormat="false" ht="14.25" hidden="false" customHeight="false" outlineLevel="0" collapsed="false">
      <c r="A827" s="1" t="n">
        <v>2258</v>
      </c>
      <c r="B827" s="30" t="n">
        <v>43427</v>
      </c>
      <c r="C827" s="30" t="n">
        <v>43949</v>
      </c>
      <c r="D827" s="31" t="n">
        <f aca="false">VLOOKUP(A827,'Order Shipping'!$A$2:$C$2000,3,FALSE())</f>
        <v>5.9</v>
      </c>
      <c r="E827" s="32" t="n">
        <f aca="false">VLOOKUP($A827,'Order Sales'!$A$2:$G$2154,E$1,FALSE())</f>
        <v>14</v>
      </c>
      <c r="F827" s="32" t="n">
        <f aca="false">VLOOKUP($A827,'Order Sales'!$A$2:$G$2154,F$1,FALSE())</f>
        <v>467.35</v>
      </c>
      <c r="G827" s="32" t="str">
        <f aca="false">VLOOKUP($A827,'Order Sales'!$A$2:$G$2154,G$1,FALSE())</f>
        <v>Corporate</v>
      </c>
    </row>
    <row r="828" customFormat="false" ht="14.25" hidden="false" customHeight="false" outlineLevel="0" collapsed="false">
      <c r="A828" s="1" t="n">
        <v>1967</v>
      </c>
      <c r="B828" s="30" t="n">
        <v>43166</v>
      </c>
      <c r="C828" s="30" t="n">
        <v>43950</v>
      </c>
      <c r="D828" s="31" t="n">
        <f aca="false">VLOOKUP(A828,'Order Shipping'!$A$2:$C$2000,3,FALSE())</f>
        <v>3.2</v>
      </c>
      <c r="E828" s="32" t="n">
        <f aca="false">VLOOKUP($A828,'Order Sales'!$A$2:$G$2154,E$1,FALSE())</f>
        <v>40</v>
      </c>
      <c r="F828" s="32" t="n">
        <f aca="false">VLOOKUP($A828,'Order Sales'!$A$2:$G$2154,F$1,FALSE())</f>
        <v>312.09</v>
      </c>
      <c r="G828" s="32" t="str">
        <f aca="false">VLOOKUP($A828,'Order Sales'!$A$2:$G$2154,G$1,FALSE())</f>
        <v>Small Business</v>
      </c>
    </row>
    <row r="829" customFormat="false" ht="14.25" hidden="false" customHeight="false" outlineLevel="0" collapsed="false">
      <c r="A829" s="1" t="n">
        <v>1328</v>
      </c>
      <c r="B829" s="30" t="n">
        <v>43217</v>
      </c>
      <c r="C829" s="30" t="n">
        <v>43951</v>
      </c>
      <c r="D829" s="31" t="n">
        <f aca="false">VLOOKUP(A829,'Order Shipping'!$A$2:$C$2000,3,FALSE())</f>
        <v>51.6</v>
      </c>
      <c r="E829" s="32" t="n">
        <f aca="false">VLOOKUP($A829,'Order Sales'!$A$2:$G$2154,E$1,FALSE())</f>
        <v>2</v>
      </c>
      <c r="F829" s="32" t="n">
        <f aca="false">VLOOKUP($A829,'Order Sales'!$A$2:$G$2154,F$1,FALSE())</f>
        <v>217.53</v>
      </c>
      <c r="G829" s="32" t="str">
        <f aca="false">VLOOKUP($A829,'Order Sales'!$A$2:$G$2154,G$1,FALSE())</f>
        <v>Home Office</v>
      </c>
    </row>
    <row r="830" customFormat="false" ht="14.25" hidden="false" customHeight="false" outlineLevel="0" collapsed="false">
      <c r="A830" s="1" t="n">
        <v>1118</v>
      </c>
      <c r="B830" s="30" t="n">
        <v>43308</v>
      </c>
      <c r="C830" s="30" t="n">
        <v>43952</v>
      </c>
      <c r="D830" s="31" t="n">
        <f aca="false">VLOOKUP(A830,'Order Shipping'!$A$2:$C$2000,3,FALSE())</f>
        <v>4.8</v>
      </c>
      <c r="E830" s="32" t="n">
        <f aca="false">VLOOKUP($A830,'Order Sales'!$A$2:$G$2154,E$1,FALSE())</f>
        <v>50</v>
      </c>
      <c r="F830" s="32" t="n">
        <f aca="false">VLOOKUP($A830,'Order Sales'!$A$2:$G$2154,F$1,FALSE())</f>
        <v>814.11</v>
      </c>
      <c r="G830" s="32" t="str">
        <f aca="false">VLOOKUP($A830,'Order Sales'!$A$2:$G$2154,G$1,FALSE())</f>
        <v>Small Business</v>
      </c>
    </row>
    <row r="831" customFormat="false" ht="14.25" hidden="false" customHeight="false" outlineLevel="0" collapsed="false">
      <c r="A831" s="1" t="n">
        <v>2639</v>
      </c>
      <c r="B831" s="30" t="n">
        <v>43197</v>
      </c>
      <c r="C831" s="30" t="n">
        <v>43953</v>
      </c>
      <c r="D831" s="31" t="n">
        <f aca="false">VLOOKUP(A831,'Order Shipping'!$A$2:$C$2000,3,FALSE())</f>
        <v>51.6</v>
      </c>
      <c r="E831" s="32" t="n">
        <f aca="false">VLOOKUP($A831,'Order Sales'!$A$2:$G$2154,E$1,FALSE())</f>
        <v>33</v>
      </c>
      <c r="F831" s="32" t="n">
        <f aca="false">VLOOKUP($A831,'Order Sales'!$A$2:$G$2154,F$1,FALSE())</f>
        <v>14628.98</v>
      </c>
      <c r="G831" s="32" t="str">
        <f aca="false">VLOOKUP($A831,'Order Sales'!$A$2:$G$2154,G$1,FALSE())</f>
        <v>Small Business</v>
      </c>
    </row>
    <row r="832" customFormat="false" ht="14.25" hidden="false" customHeight="false" outlineLevel="0" collapsed="false">
      <c r="A832" s="1" t="n">
        <v>1189</v>
      </c>
      <c r="B832" s="30" t="n">
        <v>43415</v>
      </c>
      <c r="C832" s="30" t="n">
        <v>43954</v>
      </c>
      <c r="D832" s="31" t="n">
        <f aca="false">VLOOKUP(A832,'Order Shipping'!$A$2:$C$2000,3,FALSE())</f>
        <v>1.1</v>
      </c>
      <c r="E832" s="32" t="n">
        <f aca="false">VLOOKUP($A832,'Order Sales'!$A$2:$G$2154,E$1,FALSE())</f>
        <v>25</v>
      </c>
      <c r="F832" s="32" t="n">
        <f aca="false">VLOOKUP($A832,'Order Sales'!$A$2:$G$2154,F$1,FALSE())</f>
        <v>1854.7</v>
      </c>
      <c r="G832" s="32" t="str">
        <f aca="false">VLOOKUP($A832,'Order Sales'!$A$2:$G$2154,G$1,FALSE())</f>
        <v>Home Office</v>
      </c>
    </row>
    <row r="833" customFormat="false" ht="14.25" hidden="false" customHeight="false" outlineLevel="0" collapsed="false">
      <c r="A833" s="1" t="n">
        <v>1791</v>
      </c>
      <c r="B833" s="30" t="n">
        <v>43239</v>
      </c>
      <c r="C833" s="30" t="n">
        <v>43955</v>
      </c>
      <c r="D833" s="31" t="n">
        <f aca="false">VLOOKUP(A833,'Order Shipping'!$A$2:$C$2000,3,FALSE())</f>
        <v>7</v>
      </c>
      <c r="E833" s="32" t="n">
        <f aca="false">VLOOKUP($A833,'Order Sales'!$A$2:$G$2154,E$1,FALSE())</f>
        <v>6</v>
      </c>
      <c r="F833" s="32" t="n">
        <f aca="false">VLOOKUP($A833,'Order Sales'!$A$2:$G$2154,F$1,FALSE())</f>
        <v>219.61</v>
      </c>
      <c r="G833" s="32" t="str">
        <f aca="false">VLOOKUP($A833,'Order Sales'!$A$2:$G$2154,G$1,FALSE())</f>
        <v>Corporate</v>
      </c>
    </row>
    <row r="834" customFormat="false" ht="14.25" hidden="false" customHeight="false" outlineLevel="0" collapsed="false">
      <c r="A834" s="1" t="n">
        <v>2721</v>
      </c>
      <c r="B834" s="30" t="n">
        <v>43375</v>
      </c>
      <c r="C834" s="30" t="n">
        <v>43956</v>
      </c>
      <c r="D834" s="31" t="n">
        <f aca="false">VLOOKUP(A834,'Order Shipping'!$A$2:$C$2000,3,FALSE())</f>
        <v>73.8</v>
      </c>
      <c r="E834" s="32" t="n">
        <f aca="false">VLOOKUP($A834,'Order Sales'!$A$2:$G$2154,E$1,FALSE())</f>
        <v>22</v>
      </c>
      <c r="F834" s="32" t="n">
        <f aca="false">VLOOKUP($A834,'Order Sales'!$A$2:$G$2154,F$1,FALSE())</f>
        <v>4153.62</v>
      </c>
      <c r="G834" s="32" t="str">
        <f aca="false">VLOOKUP($A834,'Order Sales'!$A$2:$G$2154,G$1,FALSE())</f>
        <v>Home Office</v>
      </c>
    </row>
    <row r="835" customFormat="false" ht="14.25" hidden="false" customHeight="false" outlineLevel="0" collapsed="false">
      <c r="A835" s="1" t="n">
        <v>2847</v>
      </c>
      <c r="B835" s="30" t="n">
        <v>43183</v>
      </c>
      <c r="C835" s="30" t="n">
        <v>43957</v>
      </c>
      <c r="D835" s="31" t="n">
        <f aca="false">VLOOKUP(A835,'Order Shipping'!$A$2:$C$2000,3,FALSE())</f>
        <v>1.1</v>
      </c>
      <c r="E835" s="32" t="n">
        <f aca="false">VLOOKUP($A835,'Order Sales'!$A$2:$G$2154,E$1,FALSE())</f>
        <v>2</v>
      </c>
      <c r="F835" s="32" t="n">
        <f aca="false">VLOOKUP($A835,'Order Sales'!$A$2:$G$2154,F$1,FALSE())</f>
        <v>173.86</v>
      </c>
      <c r="G835" s="32" t="str">
        <f aca="false">VLOOKUP($A835,'Order Sales'!$A$2:$G$2154,G$1,FALSE())</f>
        <v>Corporate</v>
      </c>
    </row>
    <row r="836" customFormat="false" ht="14.25" hidden="false" customHeight="false" outlineLevel="0" collapsed="false">
      <c r="A836" s="1" t="n">
        <v>1214</v>
      </c>
      <c r="B836" s="30" t="n">
        <v>43103</v>
      </c>
      <c r="C836" s="30" t="n">
        <v>43958</v>
      </c>
      <c r="D836" s="31" t="n">
        <f aca="false">VLOOKUP(A836,'Order Shipping'!$A$2:$C$2000,3,FALSE())</f>
        <v>3.7</v>
      </c>
      <c r="E836" s="32" t="n">
        <f aca="false">VLOOKUP($A836,'Order Sales'!$A$2:$G$2154,E$1,FALSE())</f>
        <v>20</v>
      </c>
      <c r="F836" s="32" t="n">
        <f aca="false">VLOOKUP($A836,'Order Sales'!$A$2:$G$2154,F$1,FALSE())</f>
        <v>181.02</v>
      </c>
      <c r="G836" s="32" t="str">
        <f aca="false">VLOOKUP($A836,'Order Sales'!$A$2:$G$2154,G$1,FALSE())</f>
        <v>Corporate</v>
      </c>
    </row>
    <row r="837" customFormat="false" ht="14.25" hidden="false" customHeight="false" outlineLevel="0" collapsed="false">
      <c r="A837" s="1" t="n">
        <v>1969</v>
      </c>
      <c r="B837" s="30" t="n">
        <v>43303</v>
      </c>
      <c r="C837" s="30" t="n">
        <v>43959</v>
      </c>
      <c r="D837" s="31" t="n">
        <f aca="false">VLOOKUP(A837,'Order Shipping'!$A$2:$C$2000,3,FALSE())</f>
        <v>10.4</v>
      </c>
      <c r="E837" s="32" t="n">
        <f aca="false">VLOOKUP($A837,'Order Sales'!$A$2:$G$2154,E$1,FALSE())</f>
        <v>13</v>
      </c>
      <c r="F837" s="32" t="n">
        <f aca="false">VLOOKUP($A837,'Order Sales'!$A$2:$G$2154,F$1,FALSE())</f>
        <v>101.64</v>
      </c>
      <c r="G837" s="32" t="str">
        <f aca="false">VLOOKUP($A837,'Order Sales'!$A$2:$G$2154,G$1,FALSE())</f>
        <v>Small Business</v>
      </c>
    </row>
    <row r="838" customFormat="false" ht="14.25" hidden="false" customHeight="false" outlineLevel="0" collapsed="false">
      <c r="A838" s="1" t="n">
        <v>2111</v>
      </c>
      <c r="B838" s="30" t="n">
        <v>43124</v>
      </c>
      <c r="C838" s="30" t="n">
        <v>43960</v>
      </c>
      <c r="D838" s="31" t="n">
        <f aca="false">VLOOKUP(A838,'Order Shipping'!$A$2:$C$2000,3,FALSE())</f>
        <v>12.4</v>
      </c>
      <c r="E838" s="32" t="n">
        <f aca="false">VLOOKUP($A838,'Order Sales'!$A$2:$G$2154,E$1,FALSE())</f>
        <v>24</v>
      </c>
      <c r="F838" s="32" t="n">
        <f aca="false">VLOOKUP($A838,'Order Sales'!$A$2:$G$2154,F$1,FALSE())</f>
        <v>283.92</v>
      </c>
      <c r="G838" s="32" t="str">
        <f aca="false">VLOOKUP($A838,'Order Sales'!$A$2:$G$2154,G$1,FALSE())</f>
        <v>Home Office</v>
      </c>
    </row>
    <row r="839" customFormat="false" ht="14.25" hidden="false" customHeight="false" outlineLevel="0" collapsed="false">
      <c r="A839" s="1" t="n">
        <v>1045</v>
      </c>
      <c r="B839" s="30" t="n">
        <v>43284</v>
      </c>
      <c r="C839" s="30" t="n">
        <v>43961</v>
      </c>
      <c r="D839" s="31" t="n">
        <f aca="false">VLOOKUP(A839,'Order Shipping'!$A$2:$C$2000,3,FALSE())</f>
        <v>6.1</v>
      </c>
      <c r="E839" s="32" t="n">
        <f aca="false">VLOOKUP($A839,'Order Sales'!$A$2:$G$2154,E$1,FALSE())</f>
        <v>39</v>
      </c>
      <c r="F839" s="32" t="n">
        <f aca="false">VLOOKUP($A839,'Order Sales'!$A$2:$G$2154,F$1,FALSE())</f>
        <v>211.39</v>
      </c>
      <c r="G839" s="32" t="str">
        <f aca="false">VLOOKUP($A839,'Order Sales'!$A$2:$G$2154,G$1,FALSE())</f>
        <v>Small Business</v>
      </c>
    </row>
    <row r="840" customFormat="false" ht="14.25" hidden="false" customHeight="false" outlineLevel="0" collapsed="false">
      <c r="A840" s="1" t="n">
        <v>1547</v>
      </c>
      <c r="B840" s="30" t="n">
        <v>43419</v>
      </c>
      <c r="C840" s="30" t="n">
        <v>43962</v>
      </c>
      <c r="D840" s="31" t="n">
        <f aca="false">VLOOKUP(A840,'Order Shipping'!$A$2:$C$2000,3,FALSE())</f>
        <v>2.7</v>
      </c>
      <c r="E840" s="32" t="n">
        <f aca="false">VLOOKUP($A840,'Order Sales'!$A$2:$G$2154,E$1,FALSE())</f>
        <v>8</v>
      </c>
      <c r="F840" s="32" t="n">
        <f aca="false">VLOOKUP($A840,'Order Sales'!$A$2:$G$2154,F$1,FALSE())</f>
        <v>1480.79</v>
      </c>
      <c r="G840" s="32" t="str">
        <f aca="false">VLOOKUP($A840,'Order Sales'!$A$2:$G$2154,G$1,FALSE())</f>
        <v>Small Business</v>
      </c>
    </row>
    <row r="841" customFormat="false" ht="14.25" hidden="false" customHeight="false" outlineLevel="0" collapsed="false">
      <c r="A841" s="1" t="n">
        <v>1921</v>
      </c>
      <c r="B841" s="30" t="n">
        <v>43347</v>
      </c>
      <c r="C841" s="30" t="n">
        <v>43963</v>
      </c>
      <c r="D841" s="31" t="n">
        <f aca="false">VLOOKUP(A841,'Order Shipping'!$A$2:$C$2000,3,FALSE())</f>
        <v>3.1</v>
      </c>
      <c r="E841" s="32" t="n">
        <f aca="false">VLOOKUP($A841,'Order Sales'!$A$2:$G$2154,E$1,FALSE())</f>
        <v>1</v>
      </c>
      <c r="F841" s="32" t="n">
        <f aca="false">VLOOKUP($A841,'Order Sales'!$A$2:$G$2154,F$1,FALSE())</f>
        <v>13.95</v>
      </c>
      <c r="G841" s="32" t="str">
        <f aca="false">VLOOKUP($A841,'Order Sales'!$A$2:$G$2154,G$1,FALSE())</f>
        <v>Corporate</v>
      </c>
    </row>
    <row r="842" customFormat="false" ht="14.25" hidden="false" customHeight="false" outlineLevel="0" collapsed="false">
      <c r="A842" s="1" t="n">
        <v>1835</v>
      </c>
      <c r="B842" s="30" t="n">
        <v>43240</v>
      </c>
      <c r="C842" s="30" t="n">
        <v>43964</v>
      </c>
      <c r="D842" s="31" t="n">
        <f aca="false">VLOOKUP(A842,'Order Shipping'!$A$2:$C$2000,3,FALSE())</f>
        <v>1.3</v>
      </c>
      <c r="E842" s="32" t="n">
        <f aca="false">VLOOKUP($A842,'Order Sales'!$A$2:$G$2154,E$1,FALSE())</f>
        <v>47</v>
      </c>
      <c r="F842" s="32" t="n">
        <f aca="false">VLOOKUP($A842,'Order Sales'!$A$2:$G$2154,F$1,FALSE())</f>
        <v>216.82</v>
      </c>
      <c r="G842" s="32" t="str">
        <f aca="false">VLOOKUP($A842,'Order Sales'!$A$2:$G$2154,G$1,FALSE())</f>
        <v>Corporate</v>
      </c>
    </row>
    <row r="843" customFormat="false" ht="14.25" hidden="false" customHeight="false" outlineLevel="0" collapsed="false">
      <c r="A843" s="1" t="n">
        <v>1990</v>
      </c>
      <c r="B843" s="30" t="n">
        <v>43283</v>
      </c>
      <c r="C843" s="30" t="n">
        <v>43965</v>
      </c>
      <c r="D843" s="31" t="n">
        <f aca="false">VLOOKUP(A843,'Order Shipping'!$A$2:$C$2000,3,FALSE())</f>
        <v>5.6</v>
      </c>
      <c r="E843" s="32" t="n">
        <f aca="false">VLOOKUP($A843,'Order Sales'!$A$2:$G$2154,E$1,FALSE())</f>
        <v>29</v>
      </c>
      <c r="F843" s="32" t="n">
        <f aca="false">VLOOKUP($A843,'Order Sales'!$A$2:$G$2154,F$1,FALSE())</f>
        <v>556.54</v>
      </c>
      <c r="G843" s="32" t="str">
        <f aca="false">VLOOKUP($A843,'Order Sales'!$A$2:$G$2154,G$1,FALSE())</f>
        <v>Consumer</v>
      </c>
    </row>
    <row r="844" customFormat="false" ht="14.25" hidden="false" customHeight="false" outlineLevel="0" collapsed="false">
      <c r="A844" s="1" t="n">
        <v>1988</v>
      </c>
      <c r="B844" s="30" t="n">
        <v>43212</v>
      </c>
      <c r="C844" s="30" t="n">
        <v>43966</v>
      </c>
      <c r="D844" s="31" t="n">
        <f aca="false">VLOOKUP(A844,'Order Shipping'!$A$2:$C$2000,3,FALSE())</f>
        <v>1.5</v>
      </c>
      <c r="E844" s="32" t="n">
        <f aca="false">VLOOKUP($A844,'Order Sales'!$A$2:$G$2154,E$1,FALSE())</f>
        <v>24</v>
      </c>
      <c r="F844" s="32" t="n">
        <f aca="false">VLOOKUP($A844,'Order Sales'!$A$2:$G$2154,F$1,FALSE())</f>
        <v>238.82</v>
      </c>
      <c r="G844" s="32" t="str">
        <f aca="false">VLOOKUP($A844,'Order Sales'!$A$2:$G$2154,G$1,FALSE())</f>
        <v>Corporate</v>
      </c>
    </row>
    <row r="845" customFormat="false" ht="14.25" hidden="false" customHeight="false" outlineLevel="0" collapsed="false">
      <c r="A845" s="1" t="n">
        <v>1291</v>
      </c>
      <c r="B845" s="30" t="n">
        <v>43178</v>
      </c>
      <c r="C845" s="30" t="n">
        <v>43967</v>
      </c>
      <c r="D845" s="31" t="n">
        <f aca="false">VLOOKUP(A845,'Order Shipping'!$A$2:$C$2000,3,FALSE())</f>
        <v>1.1</v>
      </c>
      <c r="E845" s="32" t="n">
        <f aca="false">VLOOKUP($A845,'Order Sales'!$A$2:$G$2154,E$1,FALSE())</f>
        <v>32</v>
      </c>
      <c r="F845" s="32" t="n">
        <f aca="false">VLOOKUP($A845,'Order Sales'!$A$2:$G$2154,F$1,FALSE())</f>
        <v>127.54</v>
      </c>
      <c r="G845" s="32" t="str">
        <f aca="false">VLOOKUP($A845,'Order Sales'!$A$2:$G$2154,G$1,FALSE())</f>
        <v>Consumer</v>
      </c>
    </row>
    <row r="846" customFormat="false" ht="14.25" hidden="false" customHeight="false" outlineLevel="0" collapsed="false">
      <c r="A846" s="1" t="n">
        <v>1102</v>
      </c>
      <c r="B846" s="30" t="n">
        <v>43350</v>
      </c>
      <c r="C846" s="30" t="n">
        <v>43968</v>
      </c>
      <c r="D846" s="31" t="n">
        <f aca="false">VLOOKUP(A846,'Order Shipping'!$A$2:$C$2000,3,FALSE())</f>
        <v>30.7</v>
      </c>
      <c r="E846" s="32" t="n">
        <f aca="false">VLOOKUP($A846,'Order Sales'!$A$2:$G$2154,E$1,FALSE())</f>
        <v>21</v>
      </c>
      <c r="F846" s="32" t="n">
        <f aca="false">VLOOKUP($A846,'Order Sales'!$A$2:$G$2154,F$1,FALSE())</f>
        <v>5086.87</v>
      </c>
      <c r="G846" s="32" t="str">
        <f aca="false">VLOOKUP($A846,'Order Sales'!$A$2:$G$2154,G$1,FALSE())</f>
        <v>Home Office</v>
      </c>
    </row>
    <row r="847" customFormat="false" ht="14.25" hidden="false" customHeight="false" outlineLevel="0" collapsed="false">
      <c r="A847" s="1" t="n">
        <v>2684</v>
      </c>
      <c r="B847" s="30" t="n">
        <v>43270</v>
      </c>
      <c r="C847" s="30" t="n">
        <v>43969</v>
      </c>
      <c r="D847" s="31" t="n">
        <f aca="false">VLOOKUP(A847,'Order Shipping'!$A$2:$C$2000,3,FALSE())</f>
        <v>0.5</v>
      </c>
      <c r="E847" s="32" t="n">
        <f aca="false">VLOOKUP($A847,'Order Sales'!$A$2:$G$2154,E$1,FALSE())</f>
        <v>12</v>
      </c>
      <c r="F847" s="32" t="n">
        <f aca="false">VLOOKUP($A847,'Order Sales'!$A$2:$G$2154,F$1,FALSE())</f>
        <v>49.81</v>
      </c>
      <c r="G847" s="32" t="str">
        <f aca="false">VLOOKUP($A847,'Order Sales'!$A$2:$G$2154,G$1,FALSE())</f>
        <v>Consumer</v>
      </c>
    </row>
    <row r="848" customFormat="false" ht="14.25" hidden="false" customHeight="false" outlineLevel="0" collapsed="false">
      <c r="A848" s="1" t="n">
        <v>1473</v>
      </c>
      <c r="B848" s="30" t="n">
        <v>43135</v>
      </c>
      <c r="C848" s="30" t="n">
        <v>43970</v>
      </c>
      <c r="D848" s="31" t="n">
        <f aca="false">VLOOKUP(A848,'Order Shipping'!$A$2:$C$2000,3,FALSE())</f>
        <v>3.2</v>
      </c>
      <c r="E848" s="32" t="n">
        <f aca="false">VLOOKUP($A848,'Order Sales'!$A$2:$G$2154,E$1,FALSE())</f>
        <v>14</v>
      </c>
      <c r="F848" s="32" t="n">
        <f aca="false">VLOOKUP($A848,'Order Sales'!$A$2:$G$2154,F$1,FALSE())</f>
        <v>469.16</v>
      </c>
      <c r="G848" s="32" t="str">
        <f aca="false">VLOOKUP($A848,'Order Sales'!$A$2:$G$2154,G$1,FALSE())</f>
        <v>Corporate</v>
      </c>
    </row>
    <row r="849" customFormat="false" ht="14.25" hidden="false" customHeight="false" outlineLevel="0" collapsed="false">
      <c r="A849" s="1" t="n">
        <v>1380</v>
      </c>
      <c r="B849" s="30" t="n">
        <v>43198</v>
      </c>
      <c r="C849" s="30" t="n">
        <v>43971</v>
      </c>
      <c r="D849" s="31" t="n">
        <f aca="false">VLOOKUP(A849,'Order Shipping'!$A$2:$C$2000,3,FALSE())</f>
        <v>2.1</v>
      </c>
      <c r="E849" s="32" t="n">
        <f aca="false">VLOOKUP($A849,'Order Sales'!$A$2:$G$2154,E$1,FALSE())</f>
        <v>1</v>
      </c>
      <c r="F849" s="32" t="n">
        <f aca="false">VLOOKUP($A849,'Order Sales'!$A$2:$G$2154,F$1,FALSE())</f>
        <v>34.79</v>
      </c>
      <c r="G849" s="32" t="str">
        <f aca="false">VLOOKUP($A849,'Order Sales'!$A$2:$G$2154,G$1,FALSE())</f>
        <v>Corporate</v>
      </c>
    </row>
    <row r="850" customFormat="false" ht="14.25" hidden="false" customHeight="false" outlineLevel="0" collapsed="false">
      <c r="A850" s="1" t="n">
        <v>2756</v>
      </c>
      <c r="B850" s="30" t="n">
        <v>43382</v>
      </c>
      <c r="C850" s="30" t="n">
        <v>43972</v>
      </c>
      <c r="D850" s="31" t="n">
        <f aca="false">VLOOKUP(A850,'Order Shipping'!$A$2:$C$2000,3,FALSE())</f>
        <v>1.2</v>
      </c>
      <c r="E850" s="32" t="n">
        <f aca="false">VLOOKUP($A850,'Order Sales'!$A$2:$G$2154,E$1,FALSE())</f>
        <v>22</v>
      </c>
      <c r="F850" s="32" t="n">
        <f aca="false">VLOOKUP($A850,'Order Sales'!$A$2:$G$2154,F$1,FALSE())</f>
        <v>56.3</v>
      </c>
      <c r="G850" s="32" t="str">
        <f aca="false">VLOOKUP($A850,'Order Sales'!$A$2:$G$2154,G$1,FALSE())</f>
        <v>Small Business</v>
      </c>
    </row>
    <row r="851" customFormat="false" ht="14.25" hidden="false" customHeight="false" outlineLevel="0" collapsed="false">
      <c r="A851" s="1" t="n">
        <v>2962</v>
      </c>
      <c r="B851" s="30" t="n">
        <v>43333</v>
      </c>
      <c r="C851" s="30" t="n">
        <v>43973</v>
      </c>
      <c r="D851" s="31" t="n">
        <f aca="false">VLOOKUP(A851,'Order Shipping'!$A$2:$C$2000,3,FALSE())</f>
        <v>69.3</v>
      </c>
      <c r="E851" s="32" t="n">
        <f aca="false">VLOOKUP($A851,'Order Sales'!$A$2:$G$2154,E$1,FALSE())</f>
        <v>50</v>
      </c>
      <c r="F851" s="32" t="n">
        <f aca="false">VLOOKUP($A851,'Order Sales'!$A$2:$G$2154,F$1,FALSE())</f>
        <v>14561.45</v>
      </c>
      <c r="G851" s="32" t="str">
        <f aca="false">VLOOKUP($A851,'Order Sales'!$A$2:$G$2154,G$1,FALSE())</f>
        <v>Home Office</v>
      </c>
    </row>
    <row r="852" customFormat="false" ht="14.25" hidden="false" customHeight="false" outlineLevel="0" collapsed="false">
      <c r="A852" s="1" t="n">
        <v>2784</v>
      </c>
      <c r="B852" s="30" t="n">
        <v>43260</v>
      </c>
      <c r="C852" s="30" t="n">
        <v>43974</v>
      </c>
      <c r="D852" s="31" t="n">
        <f aca="false">VLOOKUP(A852,'Order Shipping'!$A$2:$C$2000,3,FALSE())</f>
        <v>21.4</v>
      </c>
      <c r="E852" s="32" t="n">
        <f aca="false">VLOOKUP($A852,'Order Sales'!$A$2:$G$2154,E$1,FALSE())</f>
        <v>43</v>
      </c>
      <c r="F852" s="32" t="n">
        <f aca="false">VLOOKUP($A852,'Order Sales'!$A$2:$G$2154,F$1,FALSE())</f>
        <v>6693.72</v>
      </c>
      <c r="G852" s="32" t="str">
        <f aca="false">VLOOKUP($A852,'Order Sales'!$A$2:$G$2154,G$1,FALSE())</f>
        <v>Small Business</v>
      </c>
    </row>
    <row r="853" customFormat="false" ht="14.25" hidden="false" customHeight="false" outlineLevel="0" collapsed="false">
      <c r="A853" s="1" t="n">
        <v>2380</v>
      </c>
      <c r="B853" s="30" t="n">
        <v>43222</v>
      </c>
      <c r="C853" s="30" t="n">
        <v>43975</v>
      </c>
      <c r="D853" s="31" t="n">
        <f aca="false">VLOOKUP(A853,'Order Shipping'!$A$2:$C$2000,3,FALSE())</f>
        <v>9.6</v>
      </c>
      <c r="E853" s="32" t="n">
        <f aca="false">VLOOKUP($A853,'Order Sales'!$A$2:$G$2154,E$1,FALSE())</f>
        <v>41</v>
      </c>
      <c r="F853" s="32" t="n">
        <f aca="false">VLOOKUP($A853,'Order Sales'!$A$2:$G$2154,F$1,FALSE())</f>
        <v>2464.97</v>
      </c>
      <c r="G853" s="32" t="str">
        <f aca="false">VLOOKUP($A853,'Order Sales'!$A$2:$G$2154,G$1,FALSE())</f>
        <v>Consumer</v>
      </c>
    </row>
    <row r="854" customFormat="false" ht="14.25" hidden="false" customHeight="false" outlineLevel="0" collapsed="false">
      <c r="A854" s="1" t="n">
        <v>1474</v>
      </c>
      <c r="B854" s="30" t="n">
        <v>43435</v>
      </c>
      <c r="C854" s="30" t="n">
        <v>43976</v>
      </c>
      <c r="D854" s="31" t="n">
        <f aca="false">VLOOKUP(A854,'Order Shipping'!$A$2:$C$2000,3,FALSE())</f>
        <v>6.4</v>
      </c>
      <c r="E854" s="32" t="n">
        <f aca="false">VLOOKUP($A854,'Order Sales'!$A$2:$G$2154,E$1,FALSE())</f>
        <v>31</v>
      </c>
      <c r="F854" s="32" t="n">
        <f aca="false">VLOOKUP($A854,'Order Sales'!$A$2:$G$2154,F$1,FALSE())</f>
        <v>1019.76</v>
      </c>
      <c r="G854" s="32" t="str">
        <f aca="false">VLOOKUP($A854,'Order Sales'!$A$2:$G$2154,G$1,FALSE())</f>
        <v>Corporate</v>
      </c>
    </row>
    <row r="855" customFormat="false" ht="14.25" hidden="false" customHeight="false" outlineLevel="0" collapsed="false">
      <c r="A855" s="1" t="n">
        <v>1160</v>
      </c>
      <c r="B855" s="30" t="n">
        <v>43455</v>
      </c>
      <c r="C855" s="30" t="n">
        <v>43977</v>
      </c>
      <c r="D855" s="31" t="n">
        <f aca="false">VLOOKUP(A855,'Order Shipping'!$A$2:$C$2000,3,FALSE())</f>
        <v>6.1</v>
      </c>
      <c r="E855" s="32" t="n">
        <f aca="false">VLOOKUP($A855,'Order Sales'!$A$2:$G$2154,E$1,FALSE())</f>
        <v>26</v>
      </c>
      <c r="F855" s="32" t="n">
        <f aca="false">VLOOKUP($A855,'Order Sales'!$A$2:$G$2154,F$1,FALSE())</f>
        <v>333.18</v>
      </c>
      <c r="G855" s="32" t="str">
        <f aca="false">VLOOKUP($A855,'Order Sales'!$A$2:$G$2154,G$1,FALSE())</f>
        <v>Home Office</v>
      </c>
    </row>
    <row r="856" customFormat="false" ht="14.25" hidden="false" customHeight="false" outlineLevel="0" collapsed="false">
      <c r="A856" s="1" t="n">
        <v>1443</v>
      </c>
      <c r="B856" s="30" t="n">
        <v>43328</v>
      </c>
      <c r="C856" s="30" t="n">
        <v>43978</v>
      </c>
      <c r="D856" s="31" t="n">
        <f aca="false">VLOOKUP(A856,'Order Shipping'!$A$2:$C$2000,3,FALSE())</f>
        <v>71.3</v>
      </c>
      <c r="E856" s="32" t="n">
        <f aca="false">VLOOKUP($A856,'Order Sales'!$A$2:$G$2154,E$1,FALSE())</f>
        <v>41</v>
      </c>
      <c r="F856" s="32" t="n">
        <f aca="false">VLOOKUP($A856,'Order Sales'!$A$2:$G$2154,F$1,FALSE())</f>
        <v>11464.81</v>
      </c>
      <c r="G856" s="32" t="str">
        <f aca="false">VLOOKUP($A856,'Order Sales'!$A$2:$G$2154,G$1,FALSE())</f>
        <v>Consumer</v>
      </c>
    </row>
    <row r="857" customFormat="false" ht="14.25" hidden="false" customHeight="false" outlineLevel="0" collapsed="false">
      <c r="A857" s="1" t="n">
        <v>1181</v>
      </c>
      <c r="B857" s="30" t="n">
        <v>43303</v>
      </c>
      <c r="C857" s="30" t="n">
        <v>43979</v>
      </c>
      <c r="D857" s="31" t="n">
        <f aca="false">VLOOKUP(A857,'Order Shipping'!$A$2:$C$2000,3,FALSE())</f>
        <v>11.1</v>
      </c>
      <c r="E857" s="32" t="n">
        <f aca="false">VLOOKUP($A857,'Order Sales'!$A$2:$G$2154,E$1,FALSE())</f>
        <v>41</v>
      </c>
      <c r="F857" s="32" t="n">
        <f aca="false">VLOOKUP($A857,'Order Sales'!$A$2:$G$2154,F$1,FALSE())</f>
        <v>272.52</v>
      </c>
      <c r="G857" s="32" t="str">
        <f aca="false">VLOOKUP($A857,'Order Sales'!$A$2:$G$2154,G$1,FALSE())</f>
        <v>Corporate</v>
      </c>
    </row>
    <row r="858" customFormat="false" ht="14.25" hidden="false" customHeight="false" outlineLevel="0" collapsed="false">
      <c r="A858" s="1" t="n">
        <v>2722</v>
      </c>
      <c r="B858" s="30" t="n">
        <v>43375</v>
      </c>
      <c r="C858" s="30" t="n">
        <v>43980</v>
      </c>
      <c r="D858" s="31" t="n">
        <f aca="false">VLOOKUP(A858,'Order Shipping'!$A$2:$C$2000,3,FALSE())</f>
        <v>37.5</v>
      </c>
      <c r="E858" s="32" t="n">
        <f aca="false">VLOOKUP($A858,'Order Sales'!$A$2:$G$2154,E$1,FALSE())</f>
        <v>39</v>
      </c>
      <c r="F858" s="32" t="n">
        <f aca="false">VLOOKUP($A858,'Order Sales'!$A$2:$G$2154,F$1,FALSE())</f>
        <v>1418.86</v>
      </c>
      <c r="G858" s="32" t="str">
        <f aca="false">VLOOKUP($A858,'Order Sales'!$A$2:$G$2154,G$1,FALSE())</f>
        <v>Home Office</v>
      </c>
    </row>
    <row r="859" customFormat="false" ht="14.25" hidden="false" customHeight="false" outlineLevel="0" collapsed="false">
      <c r="A859" s="1" t="n">
        <v>2110</v>
      </c>
      <c r="B859" s="30" t="n">
        <v>43295</v>
      </c>
      <c r="C859" s="30" t="n">
        <v>43981</v>
      </c>
      <c r="D859" s="31" t="n">
        <f aca="false">VLOOKUP(A859,'Order Shipping'!$A$2:$C$2000,3,FALSE())</f>
        <v>9.2</v>
      </c>
      <c r="E859" s="32" t="n">
        <f aca="false">VLOOKUP($A859,'Order Sales'!$A$2:$G$2154,E$1,FALSE())</f>
        <v>48</v>
      </c>
      <c r="F859" s="32" t="n">
        <f aca="false">VLOOKUP($A859,'Order Sales'!$A$2:$G$2154,F$1,FALSE())</f>
        <v>5691.21</v>
      </c>
      <c r="G859" s="32" t="str">
        <f aca="false">VLOOKUP($A859,'Order Sales'!$A$2:$G$2154,G$1,FALSE())</f>
        <v>Home Office</v>
      </c>
    </row>
    <row r="860" customFormat="false" ht="14.25" hidden="false" customHeight="false" outlineLevel="0" collapsed="false">
      <c r="A860" s="1" t="n">
        <v>1021</v>
      </c>
      <c r="B860" s="30" t="n">
        <v>43123</v>
      </c>
      <c r="C860" s="30" t="n">
        <v>43982</v>
      </c>
      <c r="D860" s="31" t="n">
        <f aca="false">VLOOKUP(A860,'Order Shipping'!$A$2:$C$2000,3,FALSE())</f>
        <v>0.7</v>
      </c>
      <c r="E860" s="32" t="n">
        <f aca="false">VLOOKUP($A860,'Order Sales'!$A$2:$G$2154,E$1,FALSE())</f>
        <v>4</v>
      </c>
      <c r="F860" s="32" t="n">
        <f aca="false">VLOOKUP($A860,'Order Sales'!$A$2:$G$2154,F$1,FALSE())</f>
        <v>16.79</v>
      </c>
      <c r="G860" s="32" t="str">
        <f aca="false">VLOOKUP($A860,'Order Sales'!$A$2:$G$2154,G$1,FALSE())</f>
        <v>Corporate</v>
      </c>
    </row>
    <row r="861" customFormat="false" ht="14.25" hidden="false" customHeight="false" outlineLevel="0" collapsed="false">
      <c r="A861" s="1" t="n">
        <v>2799</v>
      </c>
      <c r="B861" s="30" t="n">
        <v>43277</v>
      </c>
      <c r="C861" s="30" t="n">
        <v>43983</v>
      </c>
      <c r="D861" s="31" t="n">
        <f aca="false">VLOOKUP(A861,'Order Shipping'!$A$2:$C$2000,3,FALSE())</f>
        <v>15.5</v>
      </c>
      <c r="E861" s="32" t="n">
        <f aca="false">VLOOKUP($A861,'Order Sales'!$A$2:$G$2154,E$1,FALSE())</f>
        <v>33</v>
      </c>
      <c r="F861" s="32" t="n">
        <f aca="false">VLOOKUP($A861,'Order Sales'!$A$2:$G$2154,F$1,FALSE())</f>
        <v>2667.48</v>
      </c>
      <c r="G861" s="32" t="str">
        <f aca="false">VLOOKUP($A861,'Order Sales'!$A$2:$G$2154,G$1,FALSE())</f>
        <v>Consumer</v>
      </c>
    </row>
    <row r="862" customFormat="false" ht="14.25" hidden="false" customHeight="false" outlineLevel="0" collapsed="false">
      <c r="A862" s="1" t="n">
        <v>2796</v>
      </c>
      <c r="B862" s="30" t="n">
        <v>43352</v>
      </c>
      <c r="C862" s="30" t="n">
        <v>43984</v>
      </c>
      <c r="D862" s="31" t="n">
        <f aca="false">VLOOKUP(A862,'Order Shipping'!$A$2:$C$2000,3,FALSE())</f>
        <v>15.2</v>
      </c>
      <c r="E862" s="32" t="n">
        <f aca="false">VLOOKUP($A862,'Order Sales'!$A$2:$G$2154,E$1,FALSE())</f>
        <v>3</v>
      </c>
      <c r="F862" s="32" t="n">
        <f aca="false">VLOOKUP($A862,'Order Sales'!$A$2:$G$2154,F$1,FALSE())</f>
        <v>171.76</v>
      </c>
      <c r="G862" s="32" t="str">
        <f aca="false">VLOOKUP($A862,'Order Sales'!$A$2:$G$2154,G$1,FALSE())</f>
        <v>Corporate</v>
      </c>
    </row>
    <row r="863" customFormat="false" ht="14.25" hidden="false" customHeight="false" outlineLevel="0" collapsed="false">
      <c r="A863" s="1" t="n">
        <v>2283</v>
      </c>
      <c r="B863" s="30" t="n">
        <v>43206</v>
      </c>
      <c r="C863" s="30" t="n">
        <v>43985</v>
      </c>
      <c r="D863" s="31" t="n">
        <f aca="false">VLOOKUP(A863,'Order Shipping'!$A$2:$C$2000,3,FALSE())</f>
        <v>3.2</v>
      </c>
      <c r="E863" s="32" t="n">
        <f aca="false">VLOOKUP($A863,'Order Sales'!$A$2:$G$2154,E$1,FALSE())</f>
        <v>47</v>
      </c>
      <c r="F863" s="32" t="n">
        <f aca="false">VLOOKUP($A863,'Order Sales'!$A$2:$G$2154,F$1,FALSE())</f>
        <v>2119</v>
      </c>
      <c r="G863" s="32" t="str">
        <f aca="false">VLOOKUP($A863,'Order Sales'!$A$2:$G$2154,G$1,FALSE())</f>
        <v>Home Office</v>
      </c>
    </row>
    <row r="864" customFormat="false" ht="14.25" hidden="false" customHeight="false" outlineLevel="0" collapsed="false">
      <c r="A864" s="1" t="n">
        <v>2210</v>
      </c>
      <c r="B864" s="30" t="n">
        <v>43305</v>
      </c>
      <c r="C864" s="30" t="n">
        <v>43986</v>
      </c>
      <c r="D864" s="31" t="n">
        <f aca="false">VLOOKUP(A864,'Order Shipping'!$A$2:$C$2000,3,FALSE())</f>
        <v>7.7</v>
      </c>
      <c r="E864" s="32" t="n">
        <f aca="false">VLOOKUP($A864,'Order Sales'!$A$2:$G$2154,E$1,FALSE())</f>
        <v>9</v>
      </c>
      <c r="F864" s="32" t="n">
        <f aca="false">VLOOKUP($A864,'Order Sales'!$A$2:$G$2154,F$1,FALSE())</f>
        <v>945.21</v>
      </c>
      <c r="G864" s="32" t="str">
        <f aca="false">VLOOKUP($A864,'Order Sales'!$A$2:$G$2154,G$1,FALSE())</f>
        <v>Home Office</v>
      </c>
    </row>
    <row r="865" customFormat="false" ht="14.25" hidden="false" customHeight="false" outlineLevel="0" collapsed="false">
      <c r="A865" s="1" t="n">
        <v>2307</v>
      </c>
      <c r="B865" s="30" t="n">
        <v>43211</v>
      </c>
      <c r="C865" s="30" t="n">
        <v>43987</v>
      </c>
      <c r="D865" s="31" t="n">
        <f aca="false">VLOOKUP(A865,'Order Shipping'!$A$2:$C$2000,3,FALSE())</f>
        <v>1</v>
      </c>
      <c r="E865" s="32" t="n">
        <f aca="false">VLOOKUP($A865,'Order Sales'!$A$2:$G$2154,E$1,FALSE())</f>
        <v>45</v>
      </c>
      <c r="F865" s="32" t="n">
        <f aca="false">VLOOKUP($A865,'Order Sales'!$A$2:$G$2154,F$1,FALSE())</f>
        <v>167.94</v>
      </c>
      <c r="G865" s="32" t="str">
        <f aca="false">VLOOKUP($A865,'Order Sales'!$A$2:$G$2154,G$1,FALSE())</f>
        <v>Corporate</v>
      </c>
    </row>
    <row r="866" customFormat="false" ht="14.25" hidden="false" customHeight="false" outlineLevel="0" collapsed="false">
      <c r="A866" s="1" t="n">
        <v>1370</v>
      </c>
      <c r="B866" s="30" t="n">
        <v>43116</v>
      </c>
      <c r="C866" s="30" t="n">
        <v>43988</v>
      </c>
      <c r="D866" s="31" t="n">
        <f aca="false">VLOOKUP(A866,'Order Shipping'!$A$2:$C$2000,3,FALSE())</f>
        <v>36.6</v>
      </c>
      <c r="E866" s="32" t="n">
        <f aca="false">VLOOKUP($A866,'Order Sales'!$A$2:$G$2154,E$1,FALSE())</f>
        <v>7</v>
      </c>
      <c r="F866" s="32" t="n">
        <f aca="false">VLOOKUP($A866,'Order Sales'!$A$2:$G$2154,F$1,FALSE())</f>
        <v>330.12</v>
      </c>
      <c r="G866" s="32" t="str">
        <f aca="false">VLOOKUP($A866,'Order Sales'!$A$2:$G$2154,G$1,FALSE())</f>
        <v>Corporate</v>
      </c>
    </row>
    <row r="867" customFormat="false" ht="14.25" hidden="false" customHeight="false" outlineLevel="0" collapsed="false">
      <c r="A867" s="1" t="n">
        <v>1462</v>
      </c>
      <c r="B867" s="30" t="n">
        <v>43381</v>
      </c>
      <c r="C867" s="30" t="n">
        <v>43989</v>
      </c>
      <c r="D867" s="31" t="n">
        <f aca="false">VLOOKUP(A867,'Order Shipping'!$A$2:$C$2000,3,FALSE())</f>
        <v>15.8</v>
      </c>
      <c r="E867" s="32" t="n">
        <f aca="false">VLOOKUP($A867,'Order Sales'!$A$2:$G$2154,E$1,FALSE())</f>
        <v>42</v>
      </c>
      <c r="F867" s="32" t="n">
        <f aca="false">VLOOKUP($A867,'Order Sales'!$A$2:$G$2154,F$1,FALSE())</f>
        <v>1513.03</v>
      </c>
      <c r="G867" s="32" t="str">
        <f aca="false">VLOOKUP($A867,'Order Sales'!$A$2:$G$2154,G$1,FALSE())</f>
        <v>Small Business</v>
      </c>
    </row>
    <row r="868" customFormat="false" ht="14.25" hidden="false" customHeight="false" outlineLevel="0" collapsed="false">
      <c r="A868" s="1" t="n">
        <v>1371</v>
      </c>
      <c r="B868" s="30" t="n">
        <v>43116</v>
      </c>
      <c r="C868" s="30" t="n">
        <v>43990</v>
      </c>
      <c r="D868" s="31" t="n">
        <f aca="false">VLOOKUP(A868,'Order Shipping'!$A$2:$C$2000,3,FALSE())</f>
        <v>7.9</v>
      </c>
      <c r="E868" s="32" t="n">
        <f aca="false">VLOOKUP($A868,'Order Sales'!$A$2:$G$2154,E$1,FALSE())</f>
        <v>29</v>
      </c>
      <c r="F868" s="32" t="n">
        <f aca="false">VLOOKUP($A868,'Order Sales'!$A$2:$G$2154,F$1,FALSE())</f>
        <v>188.86</v>
      </c>
      <c r="G868" s="32" t="str">
        <f aca="false">VLOOKUP($A868,'Order Sales'!$A$2:$G$2154,G$1,FALSE())</f>
        <v>Corporate</v>
      </c>
    </row>
    <row r="869" customFormat="false" ht="14.25" hidden="false" customHeight="false" outlineLevel="0" collapsed="false">
      <c r="A869" s="1" t="n">
        <v>2328</v>
      </c>
      <c r="B869" s="30" t="n">
        <v>43242</v>
      </c>
      <c r="C869" s="30" t="n">
        <v>43991</v>
      </c>
      <c r="D869" s="31" t="n">
        <f aca="false">VLOOKUP(A869,'Order Shipping'!$A$2:$C$2000,3,FALSE())</f>
        <v>1.6</v>
      </c>
      <c r="E869" s="32" t="n">
        <f aca="false">VLOOKUP($A869,'Order Sales'!$A$2:$G$2154,E$1,FALSE())</f>
        <v>42</v>
      </c>
      <c r="F869" s="32" t="n">
        <f aca="false">VLOOKUP($A869,'Order Sales'!$A$2:$G$2154,F$1,FALSE())</f>
        <v>121.26</v>
      </c>
      <c r="G869" s="32" t="str">
        <f aca="false">VLOOKUP($A869,'Order Sales'!$A$2:$G$2154,G$1,FALSE())</f>
        <v>Consumer</v>
      </c>
    </row>
    <row r="870" customFormat="false" ht="14.25" hidden="false" customHeight="false" outlineLevel="0" collapsed="false">
      <c r="A870" s="1" t="n">
        <v>2595</v>
      </c>
      <c r="B870" s="30" t="n">
        <v>43184</v>
      </c>
      <c r="C870" s="30" t="n">
        <v>43992</v>
      </c>
      <c r="D870" s="31" t="n">
        <f aca="false">VLOOKUP(A870,'Order Shipping'!$A$2:$C$2000,3,FALSE())</f>
        <v>4.2</v>
      </c>
      <c r="E870" s="32" t="n">
        <f aca="false">VLOOKUP($A870,'Order Sales'!$A$2:$G$2154,E$1,FALSE())</f>
        <v>3</v>
      </c>
      <c r="F870" s="32" t="n">
        <f aca="false">VLOOKUP($A870,'Order Sales'!$A$2:$G$2154,F$1,FALSE())</f>
        <v>14.67</v>
      </c>
      <c r="G870" s="32" t="str">
        <f aca="false">VLOOKUP($A870,'Order Sales'!$A$2:$G$2154,G$1,FALSE())</f>
        <v>Corporate</v>
      </c>
    </row>
    <row r="871" customFormat="false" ht="14.25" hidden="false" customHeight="false" outlineLevel="0" collapsed="false">
      <c r="A871" s="1" t="n">
        <v>2475</v>
      </c>
      <c r="B871" s="30" t="n">
        <v>43222</v>
      </c>
      <c r="C871" s="30" t="n">
        <v>43993</v>
      </c>
      <c r="D871" s="31" t="n">
        <f aca="false">VLOOKUP(A871,'Order Shipping'!$A$2:$C$2000,3,FALSE())</f>
        <v>2.1</v>
      </c>
      <c r="E871" s="32" t="n">
        <f aca="false">VLOOKUP($A871,'Order Sales'!$A$2:$G$2154,E$1,FALSE())</f>
        <v>17</v>
      </c>
      <c r="F871" s="32" t="n">
        <f aca="false">VLOOKUP($A871,'Order Sales'!$A$2:$G$2154,F$1,FALSE())</f>
        <v>33.9</v>
      </c>
      <c r="G871" s="32" t="str">
        <f aca="false">VLOOKUP($A871,'Order Sales'!$A$2:$G$2154,G$1,FALSE())</f>
        <v>Consumer</v>
      </c>
    </row>
    <row r="872" customFormat="false" ht="14.25" hidden="false" customHeight="false" outlineLevel="0" collapsed="false">
      <c r="A872" s="1" t="n">
        <v>1578</v>
      </c>
      <c r="B872" s="30" t="n">
        <v>43257</v>
      </c>
      <c r="C872" s="30" t="n">
        <v>43994</v>
      </c>
      <c r="D872" s="31" t="n">
        <f aca="false">VLOOKUP(A872,'Order Shipping'!$A$2:$C$2000,3,FALSE())</f>
        <v>15</v>
      </c>
      <c r="E872" s="32" t="n">
        <f aca="false">VLOOKUP($A872,'Order Sales'!$A$2:$G$2154,E$1,FALSE())</f>
        <v>8</v>
      </c>
      <c r="F872" s="32" t="n">
        <f aca="false">VLOOKUP($A872,'Order Sales'!$A$2:$G$2154,F$1,FALSE())</f>
        <v>250.68</v>
      </c>
      <c r="G872" s="32" t="str">
        <f aca="false">VLOOKUP($A872,'Order Sales'!$A$2:$G$2154,G$1,FALSE())</f>
        <v>Corporate</v>
      </c>
    </row>
    <row r="873" customFormat="false" ht="14.25" hidden="false" customHeight="false" outlineLevel="0" collapsed="false">
      <c r="A873" s="1" t="n">
        <v>1480</v>
      </c>
      <c r="B873" s="30" t="n">
        <v>43457</v>
      </c>
      <c r="C873" s="30" t="n">
        <v>43995</v>
      </c>
      <c r="D873" s="31" t="n">
        <f aca="false">VLOOKUP(A873,'Order Shipping'!$A$2:$C$2000,3,FALSE())</f>
        <v>21.4</v>
      </c>
      <c r="E873" s="32" t="n">
        <f aca="false">VLOOKUP($A873,'Order Sales'!$A$2:$G$2154,E$1,FALSE())</f>
        <v>9</v>
      </c>
      <c r="F873" s="32" t="n">
        <f aca="false">VLOOKUP($A873,'Order Sales'!$A$2:$G$2154,F$1,FALSE())</f>
        <v>4066.43</v>
      </c>
      <c r="G873" s="32" t="str">
        <f aca="false">VLOOKUP($A873,'Order Sales'!$A$2:$G$2154,G$1,FALSE())</f>
        <v>Consumer</v>
      </c>
    </row>
    <row r="874" customFormat="false" ht="14.25" hidden="false" customHeight="false" outlineLevel="0" collapsed="false">
      <c r="A874" s="1" t="n">
        <v>1083</v>
      </c>
      <c r="B874" s="30" t="n">
        <v>43305</v>
      </c>
      <c r="C874" s="30" t="n">
        <v>43996</v>
      </c>
      <c r="D874" s="31" t="n">
        <f aca="false">VLOOKUP(A874,'Order Shipping'!$A$2:$C$2000,3,FALSE())</f>
        <v>6.7</v>
      </c>
      <c r="E874" s="32" t="n">
        <f aca="false">VLOOKUP($A874,'Order Sales'!$A$2:$G$2154,E$1,FALSE())</f>
        <v>15</v>
      </c>
      <c r="F874" s="32" t="n">
        <f aca="false">VLOOKUP($A874,'Order Sales'!$A$2:$G$2154,F$1,FALSE())</f>
        <v>121.45</v>
      </c>
      <c r="G874" s="32" t="str">
        <f aca="false">VLOOKUP($A874,'Order Sales'!$A$2:$G$2154,G$1,FALSE())</f>
        <v>Corporate</v>
      </c>
    </row>
    <row r="875" customFormat="false" ht="14.25" hidden="false" customHeight="false" outlineLevel="0" collapsed="false">
      <c r="A875" s="1" t="n">
        <v>1342</v>
      </c>
      <c r="B875" s="30" t="n">
        <v>43383</v>
      </c>
      <c r="C875" s="30" t="n">
        <v>43997</v>
      </c>
      <c r="D875" s="31" t="n">
        <f aca="false">VLOOKUP(A875,'Order Shipping'!$A$2:$C$2000,3,FALSE())</f>
        <v>22.7</v>
      </c>
      <c r="E875" s="32" t="n">
        <f aca="false">VLOOKUP($A875,'Order Sales'!$A$2:$G$2154,E$1,FALSE())</f>
        <v>49</v>
      </c>
      <c r="F875" s="32" t="n">
        <f aca="false">VLOOKUP($A875,'Order Sales'!$A$2:$G$2154,F$1,FALSE())</f>
        <v>10434.91</v>
      </c>
      <c r="G875" s="32" t="str">
        <f aca="false">VLOOKUP($A875,'Order Sales'!$A$2:$G$2154,G$1,FALSE())</f>
        <v>Small Business</v>
      </c>
    </row>
    <row r="876" customFormat="false" ht="14.25" hidden="false" customHeight="false" outlineLevel="0" collapsed="false">
      <c r="A876" s="1" t="n">
        <v>1917</v>
      </c>
      <c r="B876" s="30" t="n">
        <v>43357</v>
      </c>
      <c r="C876" s="30" t="n">
        <v>43998</v>
      </c>
      <c r="D876" s="31" t="n">
        <f aca="false">VLOOKUP(A876,'Order Shipping'!$A$2:$C$2000,3,FALSE())</f>
        <v>2.1</v>
      </c>
      <c r="E876" s="32" t="n">
        <f aca="false">VLOOKUP($A876,'Order Sales'!$A$2:$G$2154,E$1,FALSE())</f>
        <v>20</v>
      </c>
      <c r="F876" s="32" t="n">
        <f aca="false">VLOOKUP($A876,'Order Sales'!$A$2:$G$2154,F$1,FALSE())</f>
        <v>904.9</v>
      </c>
      <c r="G876" s="32" t="str">
        <f aca="false">VLOOKUP($A876,'Order Sales'!$A$2:$G$2154,G$1,FALSE())</f>
        <v>Corporate</v>
      </c>
    </row>
    <row r="877" customFormat="false" ht="14.25" hidden="false" customHeight="false" outlineLevel="0" collapsed="false">
      <c r="A877" s="1" t="n">
        <v>2803</v>
      </c>
      <c r="B877" s="30" t="n">
        <v>43404</v>
      </c>
      <c r="C877" s="30" t="n">
        <v>43999</v>
      </c>
      <c r="D877" s="31" t="n">
        <f aca="false">VLOOKUP(A877,'Order Shipping'!$A$2:$C$2000,3,FALSE())</f>
        <v>5.9</v>
      </c>
      <c r="E877" s="32" t="n">
        <f aca="false">VLOOKUP($A877,'Order Sales'!$A$2:$G$2154,E$1,FALSE())</f>
        <v>16</v>
      </c>
      <c r="F877" s="32" t="n">
        <f aca="false">VLOOKUP($A877,'Order Sales'!$A$2:$G$2154,F$1,FALSE())</f>
        <v>85.1</v>
      </c>
      <c r="G877" s="32" t="str">
        <f aca="false">VLOOKUP($A877,'Order Sales'!$A$2:$G$2154,G$1,FALSE())</f>
        <v>Small Business</v>
      </c>
    </row>
    <row r="878" customFormat="false" ht="14.25" hidden="false" customHeight="false" outlineLevel="0" collapsed="false">
      <c r="A878" s="1" t="n">
        <v>2723</v>
      </c>
      <c r="B878" s="30" t="n">
        <v>43125</v>
      </c>
      <c r="C878" s="30" t="n">
        <v>44000</v>
      </c>
      <c r="D878" s="31" t="n">
        <f aca="false">VLOOKUP(A878,'Order Shipping'!$A$2:$C$2000,3,FALSE())</f>
        <v>6.6</v>
      </c>
      <c r="E878" s="32" t="n">
        <f aca="false">VLOOKUP($A878,'Order Sales'!$A$2:$G$2154,E$1,FALSE())</f>
        <v>2</v>
      </c>
      <c r="F878" s="32" t="n">
        <f aca="false">VLOOKUP($A878,'Order Sales'!$A$2:$G$2154,F$1,FALSE())</f>
        <v>24.8</v>
      </c>
      <c r="G878" s="32" t="str">
        <f aca="false">VLOOKUP($A878,'Order Sales'!$A$2:$G$2154,G$1,FALSE())</f>
        <v>Small Business</v>
      </c>
    </row>
    <row r="879" customFormat="false" ht="14.25" hidden="false" customHeight="false" outlineLevel="0" collapsed="false">
      <c r="A879" s="1" t="n">
        <v>1471</v>
      </c>
      <c r="B879" s="30" t="n">
        <v>43274</v>
      </c>
      <c r="C879" s="30" t="n">
        <v>44001</v>
      </c>
      <c r="D879" s="31" t="n">
        <f aca="false">VLOOKUP(A879,'Order Shipping'!$A$2:$C$2000,3,FALSE())</f>
        <v>9.6</v>
      </c>
      <c r="E879" s="32" t="n">
        <f aca="false">VLOOKUP($A879,'Order Sales'!$A$2:$G$2154,E$1,FALSE())</f>
        <v>46</v>
      </c>
      <c r="F879" s="32" t="n">
        <f aca="false">VLOOKUP($A879,'Order Sales'!$A$2:$G$2154,F$1,FALSE())</f>
        <v>1778.88</v>
      </c>
      <c r="G879" s="32" t="str">
        <f aca="false">VLOOKUP($A879,'Order Sales'!$A$2:$G$2154,G$1,FALSE())</f>
        <v>Consumer</v>
      </c>
    </row>
    <row r="880" customFormat="false" ht="14.25" hidden="false" customHeight="false" outlineLevel="0" collapsed="false">
      <c r="A880" s="1" t="n">
        <v>2444</v>
      </c>
      <c r="B880" s="30" t="n">
        <v>43213</v>
      </c>
      <c r="C880" s="30" t="n">
        <v>44002</v>
      </c>
      <c r="D880" s="31" t="n">
        <f aca="false">VLOOKUP(A880,'Order Shipping'!$A$2:$C$2000,3,FALSE())</f>
        <v>64.2</v>
      </c>
      <c r="E880" s="32" t="n">
        <f aca="false">VLOOKUP($A880,'Order Sales'!$A$2:$G$2154,E$1,FALSE())</f>
        <v>10</v>
      </c>
      <c r="F880" s="32" t="n">
        <f aca="false">VLOOKUP($A880,'Order Sales'!$A$2:$G$2154,F$1,FALSE())</f>
        <v>1712.91</v>
      </c>
      <c r="G880" s="32" t="str">
        <f aca="false">VLOOKUP($A880,'Order Sales'!$A$2:$G$2154,G$1,FALSE())</f>
        <v>Corporate</v>
      </c>
    </row>
    <row r="881" customFormat="false" ht="14.25" hidden="false" customHeight="false" outlineLevel="0" collapsed="false">
      <c r="A881" s="1" t="n">
        <v>1862</v>
      </c>
      <c r="B881" s="30" t="n">
        <v>43177</v>
      </c>
      <c r="C881" s="30" t="n">
        <v>44003</v>
      </c>
      <c r="D881" s="31" t="n">
        <f aca="false">VLOOKUP(A881,'Order Shipping'!$A$2:$C$2000,3,FALSE())</f>
        <v>6.4</v>
      </c>
      <c r="E881" s="32" t="n">
        <f aca="false">VLOOKUP($A881,'Order Sales'!$A$2:$G$2154,E$1,FALSE())</f>
        <v>43</v>
      </c>
      <c r="F881" s="32" t="n">
        <f aca="false">VLOOKUP($A881,'Order Sales'!$A$2:$G$2154,F$1,FALSE())</f>
        <v>7973.79</v>
      </c>
      <c r="G881" s="32" t="str">
        <f aca="false">VLOOKUP($A881,'Order Sales'!$A$2:$G$2154,G$1,FALSE())</f>
        <v>Corporate</v>
      </c>
    </row>
    <row r="882" customFormat="false" ht="14.25" hidden="false" customHeight="false" outlineLevel="0" collapsed="false">
      <c r="A882" s="1" t="n">
        <v>2731</v>
      </c>
      <c r="B882" s="30" t="n">
        <v>43398</v>
      </c>
      <c r="C882" s="30" t="n">
        <v>44004</v>
      </c>
      <c r="D882" s="31" t="n">
        <f aca="false">VLOOKUP(A882,'Order Shipping'!$A$2:$C$2000,3,FALSE())</f>
        <v>7.7</v>
      </c>
      <c r="E882" s="32" t="n">
        <f aca="false">VLOOKUP($A882,'Order Sales'!$A$2:$G$2154,E$1,FALSE())</f>
        <v>19</v>
      </c>
      <c r="F882" s="32" t="n">
        <f aca="false">VLOOKUP($A882,'Order Sales'!$A$2:$G$2154,F$1,FALSE())</f>
        <v>285.69</v>
      </c>
      <c r="G882" s="32" t="str">
        <f aca="false">VLOOKUP($A882,'Order Sales'!$A$2:$G$2154,G$1,FALSE())</f>
        <v>Small Business</v>
      </c>
    </row>
    <row r="883" customFormat="false" ht="14.25" hidden="false" customHeight="false" outlineLevel="0" collapsed="false">
      <c r="A883" s="1" t="n">
        <v>1270</v>
      </c>
      <c r="B883" s="30" t="n">
        <v>43344</v>
      </c>
      <c r="C883" s="30" t="n">
        <v>44005</v>
      </c>
      <c r="D883" s="31" t="n">
        <f aca="false">VLOOKUP(A883,'Order Shipping'!$A$2:$C$2000,3,FALSE())</f>
        <v>6.1</v>
      </c>
      <c r="E883" s="32" t="n">
        <f aca="false">VLOOKUP($A883,'Order Sales'!$A$2:$G$2154,E$1,FALSE())</f>
        <v>40</v>
      </c>
      <c r="F883" s="32" t="n">
        <f aca="false">VLOOKUP($A883,'Order Sales'!$A$2:$G$2154,F$1,FALSE())</f>
        <v>392.55</v>
      </c>
      <c r="G883" s="32" t="str">
        <f aca="false">VLOOKUP($A883,'Order Sales'!$A$2:$G$2154,G$1,FALSE())</f>
        <v>Corporate</v>
      </c>
    </row>
    <row r="884" customFormat="false" ht="14.25" hidden="false" customHeight="false" outlineLevel="0" collapsed="false">
      <c r="A884" s="1" t="n">
        <v>1951</v>
      </c>
      <c r="B884" s="30" t="n">
        <v>43158</v>
      </c>
      <c r="C884" s="30" t="n">
        <v>44006</v>
      </c>
      <c r="D884" s="31" t="n">
        <f aca="false">VLOOKUP(A884,'Order Shipping'!$A$2:$C$2000,3,FALSE())</f>
        <v>1</v>
      </c>
      <c r="E884" s="32" t="n">
        <f aca="false">VLOOKUP($A884,'Order Sales'!$A$2:$G$2154,E$1,FALSE())</f>
        <v>13</v>
      </c>
      <c r="F884" s="32" t="n">
        <f aca="false">VLOOKUP($A884,'Order Sales'!$A$2:$G$2154,F$1,FALSE())</f>
        <v>75.04</v>
      </c>
      <c r="G884" s="32" t="str">
        <f aca="false">VLOOKUP($A884,'Order Sales'!$A$2:$G$2154,G$1,FALSE())</f>
        <v>Small Business</v>
      </c>
    </row>
    <row r="885" customFormat="false" ht="14.25" hidden="false" customHeight="false" outlineLevel="0" collapsed="false">
      <c r="A885" s="1" t="n">
        <v>2312</v>
      </c>
      <c r="B885" s="30" t="n">
        <v>43206</v>
      </c>
      <c r="C885" s="30" t="n">
        <v>44007</v>
      </c>
      <c r="D885" s="31" t="n">
        <f aca="false">VLOOKUP(A885,'Order Shipping'!$A$2:$C$2000,3,FALSE())</f>
        <v>4.5</v>
      </c>
      <c r="E885" s="32" t="n">
        <f aca="false">VLOOKUP($A885,'Order Sales'!$A$2:$G$2154,E$1,FALSE())</f>
        <v>31</v>
      </c>
      <c r="F885" s="32" t="n">
        <f aca="false">VLOOKUP($A885,'Order Sales'!$A$2:$G$2154,F$1,FALSE())</f>
        <v>5722.35</v>
      </c>
      <c r="G885" s="32" t="str">
        <f aca="false">VLOOKUP($A885,'Order Sales'!$A$2:$G$2154,G$1,FALSE())</f>
        <v>Corporate</v>
      </c>
    </row>
    <row r="886" customFormat="false" ht="14.25" hidden="false" customHeight="false" outlineLevel="0" collapsed="false">
      <c r="A886" s="1" t="n">
        <v>1574</v>
      </c>
      <c r="B886" s="30" t="n">
        <v>43154</v>
      </c>
      <c r="C886" s="30" t="n">
        <v>44008</v>
      </c>
      <c r="D886" s="31" t="n">
        <f aca="false">VLOOKUP(A886,'Order Shipping'!$A$2:$C$2000,3,FALSE())</f>
        <v>8.2</v>
      </c>
      <c r="E886" s="32" t="n">
        <f aca="false">VLOOKUP($A886,'Order Sales'!$A$2:$G$2154,E$1,FALSE())</f>
        <v>34</v>
      </c>
      <c r="F886" s="32" t="n">
        <f aca="false">VLOOKUP($A886,'Order Sales'!$A$2:$G$2154,F$1,FALSE())</f>
        <v>205.69</v>
      </c>
      <c r="G886" s="32" t="str">
        <f aca="false">VLOOKUP($A886,'Order Sales'!$A$2:$G$2154,G$1,FALSE())</f>
        <v>Home Office</v>
      </c>
    </row>
    <row r="887" customFormat="false" ht="14.25" hidden="false" customHeight="false" outlineLevel="0" collapsed="false">
      <c r="A887" s="1" t="n">
        <v>1960</v>
      </c>
      <c r="B887" s="30" t="n">
        <v>43302</v>
      </c>
      <c r="C887" s="30" t="n">
        <v>44009</v>
      </c>
      <c r="D887" s="31" t="n">
        <f aca="false">VLOOKUP(A887,'Order Shipping'!$A$2:$C$2000,3,FALSE())</f>
        <v>9.6</v>
      </c>
      <c r="E887" s="32" t="n">
        <f aca="false">VLOOKUP($A887,'Order Sales'!$A$2:$G$2154,E$1,FALSE())</f>
        <v>26</v>
      </c>
      <c r="F887" s="32" t="n">
        <f aca="false">VLOOKUP($A887,'Order Sales'!$A$2:$G$2154,F$1,FALSE())</f>
        <v>2321.64</v>
      </c>
      <c r="G887" s="32" t="str">
        <f aca="false">VLOOKUP($A887,'Order Sales'!$A$2:$G$2154,G$1,FALSE())</f>
        <v>Corporate</v>
      </c>
    </row>
    <row r="888" customFormat="false" ht="14.25" hidden="false" customHeight="false" outlineLevel="0" collapsed="false">
      <c r="A888" s="1" t="n">
        <v>1579</v>
      </c>
      <c r="B888" s="30" t="n">
        <v>43257</v>
      </c>
      <c r="C888" s="30" t="n">
        <v>44010</v>
      </c>
      <c r="D888" s="31" t="n">
        <f aca="false">VLOOKUP(A888,'Order Shipping'!$A$2:$C$2000,3,FALSE())</f>
        <v>5.5</v>
      </c>
      <c r="E888" s="32" t="n">
        <f aca="false">VLOOKUP($A888,'Order Sales'!$A$2:$G$2154,E$1,FALSE())</f>
        <v>48</v>
      </c>
      <c r="F888" s="32" t="n">
        <f aca="false">VLOOKUP($A888,'Order Sales'!$A$2:$G$2154,F$1,FALSE())</f>
        <v>221.58</v>
      </c>
      <c r="G888" s="32" t="str">
        <f aca="false">VLOOKUP($A888,'Order Sales'!$A$2:$G$2154,G$1,FALSE())</f>
        <v>Corporate</v>
      </c>
    </row>
    <row r="889" customFormat="false" ht="14.25" hidden="false" customHeight="false" outlineLevel="0" collapsed="false">
      <c r="A889" s="1" t="n">
        <v>1808</v>
      </c>
      <c r="B889" s="30" t="n">
        <v>43204</v>
      </c>
      <c r="C889" s="30" t="n">
        <v>44011</v>
      </c>
      <c r="D889" s="31" t="n">
        <f aca="false">VLOOKUP(A889,'Order Shipping'!$A$2:$C$2000,3,FALSE())</f>
        <v>1.5</v>
      </c>
      <c r="E889" s="32" t="n">
        <f aca="false">VLOOKUP($A889,'Order Sales'!$A$2:$G$2154,E$1,FALSE())</f>
        <v>46</v>
      </c>
      <c r="F889" s="32" t="n">
        <f aca="false">VLOOKUP($A889,'Order Sales'!$A$2:$G$2154,F$1,FALSE())</f>
        <v>708.89</v>
      </c>
      <c r="G889" s="32" t="str">
        <f aca="false">VLOOKUP($A889,'Order Sales'!$A$2:$G$2154,G$1,FALSE())</f>
        <v>Small Business</v>
      </c>
    </row>
    <row r="890" customFormat="false" ht="14.25" hidden="false" customHeight="false" outlineLevel="0" collapsed="false">
      <c r="A890" s="1" t="n">
        <v>1842</v>
      </c>
      <c r="B890" s="30" t="n">
        <v>43217</v>
      </c>
      <c r="C890" s="30" t="n">
        <v>44012</v>
      </c>
      <c r="D890" s="31" t="n">
        <f aca="false">VLOOKUP(A890,'Order Shipping'!$A$2:$C$2000,3,FALSE())</f>
        <v>1.3</v>
      </c>
      <c r="E890" s="32" t="n">
        <f aca="false">VLOOKUP($A890,'Order Sales'!$A$2:$G$2154,E$1,FALSE())</f>
        <v>3</v>
      </c>
      <c r="F890" s="32" t="n">
        <f aca="false">VLOOKUP($A890,'Order Sales'!$A$2:$G$2154,F$1,FALSE())</f>
        <v>225.24</v>
      </c>
      <c r="G890" s="32" t="str">
        <f aca="false">VLOOKUP($A890,'Order Sales'!$A$2:$G$2154,G$1,FALSE())</f>
        <v>Corporate</v>
      </c>
    </row>
    <row r="891" customFormat="false" ht="14.25" hidden="false" customHeight="false" outlineLevel="0" collapsed="false">
      <c r="A891" s="1" t="n">
        <v>1728</v>
      </c>
      <c r="B891" s="30" t="n">
        <v>43428</v>
      </c>
      <c r="C891" s="30" t="n">
        <v>44013</v>
      </c>
      <c r="D891" s="31" t="n">
        <f aca="false">VLOOKUP(A891,'Order Shipping'!$A$2:$C$2000,3,FALSE())</f>
        <v>0.7</v>
      </c>
      <c r="E891" s="32" t="n">
        <f aca="false">VLOOKUP($A891,'Order Sales'!$A$2:$G$2154,E$1,FALSE())</f>
        <v>24</v>
      </c>
      <c r="F891" s="32" t="n">
        <f aca="false">VLOOKUP($A891,'Order Sales'!$A$2:$G$2154,F$1,FALSE())</f>
        <v>43.06</v>
      </c>
      <c r="G891" s="32" t="str">
        <f aca="false">VLOOKUP($A891,'Order Sales'!$A$2:$G$2154,G$1,FALSE())</f>
        <v>Consumer</v>
      </c>
    </row>
    <row r="892" customFormat="false" ht="14.25" hidden="false" customHeight="false" outlineLevel="0" collapsed="false">
      <c r="A892" s="1" t="n">
        <v>1310</v>
      </c>
      <c r="B892" s="30" t="n">
        <v>43319</v>
      </c>
      <c r="C892" s="30" t="n">
        <v>44014</v>
      </c>
      <c r="D892" s="31" t="n">
        <f aca="false">VLOOKUP(A892,'Order Shipping'!$A$2:$C$2000,3,FALSE())</f>
        <v>2.1</v>
      </c>
      <c r="E892" s="32" t="n">
        <f aca="false">VLOOKUP($A892,'Order Sales'!$A$2:$G$2154,E$1,FALSE())</f>
        <v>35</v>
      </c>
      <c r="F892" s="32" t="n">
        <f aca="false">VLOOKUP($A892,'Order Sales'!$A$2:$G$2154,F$1,FALSE())</f>
        <v>113.48</v>
      </c>
      <c r="G892" s="32" t="str">
        <f aca="false">VLOOKUP($A892,'Order Sales'!$A$2:$G$2154,G$1,FALSE())</f>
        <v>Consumer</v>
      </c>
    </row>
    <row r="893" customFormat="false" ht="14.25" hidden="false" customHeight="false" outlineLevel="0" collapsed="false">
      <c r="A893" s="1" t="n">
        <v>2804</v>
      </c>
      <c r="B893" s="30" t="n">
        <v>43404</v>
      </c>
      <c r="C893" s="30" t="n">
        <v>44015</v>
      </c>
      <c r="D893" s="31" t="n">
        <f aca="false">VLOOKUP(A893,'Order Shipping'!$A$2:$C$2000,3,FALSE())</f>
        <v>6.2</v>
      </c>
      <c r="E893" s="32" t="n">
        <f aca="false">VLOOKUP($A893,'Order Sales'!$A$2:$G$2154,E$1,FALSE())</f>
        <v>31</v>
      </c>
      <c r="F893" s="32" t="n">
        <f aca="false">VLOOKUP($A893,'Order Sales'!$A$2:$G$2154,F$1,FALSE())</f>
        <v>249.52</v>
      </c>
      <c r="G893" s="32" t="str">
        <f aca="false">VLOOKUP($A893,'Order Sales'!$A$2:$G$2154,G$1,FALSE())</f>
        <v>Small Business</v>
      </c>
    </row>
    <row r="894" customFormat="false" ht="14.25" hidden="false" customHeight="false" outlineLevel="0" collapsed="false">
      <c r="A894" s="1" t="n">
        <v>2178</v>
      </c>
      <c r="B894" s="30" t="n">
        <v>43120</v>
      </c>
      <c r="C894" s="30" t="n">
        <v>44016</v>
      </c>
      <c r="D894" s="31" t="n">
        <f aca="false">VLOOKUP(A894,'Order Shipping'!$A$2:$C$2000,3,FALSE())</f>
        <v>6.1</v>
      </c>
      <c r="E894" s="32" t="n">
        <f aca="false">VLOOKUP($A894,'Order Sales'!$A$2:$G$2154,E$1,FALSE())</f>
        <v>38</v>
      </c>
      <c r="F894" s="32" t="n">
        <f aca="false">VLOOKUP($A894,'Order Sales'!$A$2:$G$2154,F$1,FALSE())</f>
        <v>201.57</v>
      </c>
      <c r="G894" s="32" t="str">
        <f aca="false">VLOOKUP($A894,'Order Sales'!$A$2:$G$2154,G$1,FALSE())</f>
        <v>Corporate</v>
      </c>
    </row>
    <row r="895" customFormat="false" ht="14.25" hidden="false" customHeight="false" outlineLevel="0" collapsed="false">
      <c r="A895" s="1" t="n">
        <v>2046</v>
      </c>
      <c r="B895" s="30" t="n">
        <v>43309</v>
      </c>
      <c r="C895" s="30" t="n">
        <v>44017</v>
      </c>
      <c r="D895" s="31" t="n">
        <f aca="false">VLOOKUP(A895,'Order Shipping'!$A$2:$C$2000,3,FALSE())</f>
        <v>3.2</v>
      </c>
      <c r="E895" s="32" t="n">
        <f aca="false">VLOOKUP($A895,'Order Sales'!$A$2:$G$2154,E$1,FALSE())</f>
        <v>13</v>
      </c>
      <c r="F895" s="32" t="n">
        <f aca="false">VLOOKUP($A895,'Order Sales'!$A$2:$G$2154,F$1,FALSE())</f>
        <v>631.06</v>
      </c>
      <c r="G895" s="32" t="str">
        <f aca="false">VLOOKUP($A895,'Order Sales'!$A$2:$G$2154,G$1,FALSE())</f>
        <v>Small Business</v>
      </c>
    </row>
    <row r="896" customFormat="false" ht="14.25" hidden="false" customHeight="false" outlineLevel="0" collapsed="false">
      <c r="A896" s="1" t="n">
        <v>1785</v>
      </c>
      <c r="B896" s="30" t="n">
        <v>43270</v>
      </c>
      <c r="C896" s="30" t="n">
        <v>44018</v>
      </c>
      <c r="D896" s="31" t="n">
        <f aca="false">VLOOKUP(A896,'Order Shipping'!$A$2:$C$2000,3,FALSE())</f>
        <v>1.4</v>
      </c>
      <c r="E896" s="32" t="n">
        <f aca="false">VLOOKUP($A896,'Order Sales'!$A$2:$G$2154,E$1,FALSE())</f>
        <v>38</v>
      </c>
      <c r="F896" s="32" t="n">
        <f aca="false">VLOOKUP($A896,'Order Sales'!$A$2:$G$2154,F$1,FALSE())</f>
        <v>110.28</v>
      </c>
      <c r="G896" s="32" t="str">
        <f aca="false">VLOOKUP($A896,'Order Sales'!$A$2:$G$2154,G$1,FALSE())</f>
        <v>Corporate</v>
      </c>
    </row>
    <row r="897" customFormat="false" ht="14.25" hidden="false" customHeight="false" outlineLevel="0" collapsed="false">
      <c r="A897" s="1" t="n">
        <v>1205</v>
      </c>
      <c r="B897" s="30" t="n">
        <v>43318</v>
      </c>
      <c r="C897" s="30" t="n">
        <v>44019</v>
      </c>
      <c r="D897" s="31" t="n">
        <f aca="false">VLOOKUP(A897,'Order Shipping'!$A$2:$C$2000,3,FALSE())</f>
        <v>3.9</v>
      </c>
      <c r="E897" s="32" t="n">
        <f aca="false">VLOOKUP($A897,'Order Sales'!$A$2:$G$2154,E$1,FALSE())</f>
        <v>29</v>
      </c>
      <c r="F897" s="32" t="n">
        <f aca="false">VLOOKUP($A897,'Order Sales'!$A$2:$G$2154,F$1,FALSE())</f>
        <v>917.44</v>
      </c>
      <c r="G897" s="32" t="str">
        <f aca="false">VLOOKUP($A897,'Order Sales'!$A$2:$G$2154,G$1,FALSE())</f>
        <v>Corporate</v>
      </c>
    </row>
    <row r="898" customFormat="false" ht="14.25" hidden="false" customHeight="false" outlineLevel="0" collapsed="false">
      <c r="A898" s="1" t="n">
        <v>2654</v>
      </c>
      <c r="B898" s="30" t="n">
        <v>43348</v>
      </c>
      <c r="C898" s="30" t="n">
        <v>44020</v>
      </c>
      <c r="D898" s="31" t="n">
        <f aca="false">VLOOKUP(A898,'Order Shipping'!$A$2:$C$2000,3,FALSE())</f>
        <v>1</v>
      </c>
      <c r="E898" s="32" t="n">
        <f aca="false">VLOOKUP($A898,'Order Sales'!$A$2:$G$2154,E$1,FALSE())</f>
        <v>11</v>
      </c>
      <c r="F898" s="32" t="n">
        <f aca="false">VLOOKUP($A898,'Order Sales'!$A$2:$G$2154,F$1,FALSE())</f>
        <v>69.4</v>
      </c>
      <c r="G898" s="32" t="str">
        <f aca="false">VLOOKUP($A898,'Order Sales'!$A$2:$G$2154,G$1,FALSE())</f>
        <v>Consumer</v>
      </c>
    </row>
    <row r="899" customFormat="false" ht="14.25" hidden="false" customHeight="false" outlineLevel="0" collapsed="false">
      <c r="A899" s="1" t="n">
        <v>1839</v>
      </c>
      <c r="B899" s="30" t="n">
        <v>43184</v>
      </c>
      <c r="C899" s="30" t="n">
        <v>44021</v>
      </c>
      <c r="D899" s="31" t="n">
        <f aca="false">VLOOKUP(A899,'Order Shipping'!$A$2:$C$2000,3,FALSE())</f>
        <v>5.7</v>
      </c>
      <c r="E899" s="32" t="n">
        <f aca="false">VLOOKUP($A899,'Order Sales'!$A$2:$G$2154,E$1,FALSE())</f>
        <v>12</v>
      </c>
      <c r="F899" s="32" t="n">
        <f aca="false">VLOOKUP($A899,'Order Sales'!$A$2:$G$2154,F$1,FALSE())</f>
        <v>81.97</v>
      </c>
      <c r="G899" s="32" t="str">
        <f aca="false">VLOOKUP($A899,'Order Sales'!$A$2:$G$2154,G$1,FALSE())</f>
        <v>Corporate</v>
      </c>
    </row>
    <row r="900" customFormat="false" ht="14.25" hidden="false" customHeight="false" outlineLevel="0" collapsed="false">
      <c r="A900" s="1" t="n">
        <v>1236</v>
      </c>
      <c r="B900" s="30" t="n">
        <v>43143</v>
      </c>
      <c r="C900" s="30" t="n">
        <v>44022</v>
      </c>
      <c r="D900" s="31" t="n">
        <f aca="false">VLOOKUP(A900,'Order Shipping'!$A$2:$C$2000,3,FALSE())</f>
        <v>1.1</v>
      </c>
      <c r="E900" s="32" t="n">
        <f aca="false">VLOOKUP($A900,'Order Sales'!$A$2:$G$2154,E$1,FALSE())</f>
        <v>17</v>
      </c>
      <c r="F900" s="32" t="n">
        <f aca="false">VLOOKUP($A900,'Order Sales'!$A$2:$G$2154,F$1,FALSE())</f>
        <v>324.41</v>
      </c>
      <c r="G900" s="32" t="str">
        <f aca="false">VLOOKUP($A900,'Order Sales'!$A$2:$G$2154,G$1,FALSE())</f>
        <v>Consumer</v>
      </c>
    </row>
    <row r="901" customFormat="false" ht="14.25" hidden="false" customHeight="false" outlineLevel="0" collapsed="false">
      <c r="A901" s="1" t="n">
        <v>1512</v>
      </c>
      <c r="B901" s="30" t="n">
        <v>43200</v>
      </c>
      <c r="C901" s="30" t="n">
        <v>44023</v>
      </c>
      <c r="D901" s="31" t="n">
        <f aca="false">VLOOKUP(A901,'Order Shipping'!$A$2:$C$2000,3,FALSE())</f>
        <v>57.9</v>
      </c>
      <c r="E901" s="32" t="n">
        <f aca="false">VLOOKUP($A901,'Order Sales'!$A$2:$G$2154,E$1,FALSE())</f>
        <v>36</v>
      </c>
      <c r="F901" s="32" t="n">
        <f aca="false">VLOOKUP($A901,'Order Sales'!$A$2:$G$2154,F$1,FALSE())</f>
        <v>1966.06</v>
      </c>
      <c r="G901" s="32" t="str">
        <f aca="false">VLOOKUP($A901,'Order Sales'!$A$2:$G$2154,G$1,FALSE())</f>
        <v>Home Office</v>
      </c>
    </row>
    <row r="902" customFormat="false" ht="14.25" hidden="false" customHeight="false" outlineLevel="0" collapsed="false">
      <c r="A902" s="1" t="n">
        <v>1285</v>
      </c>
      <c r="B902" s="30" t="n">
        <v>43236</v>
      </c>
      <c r="C902" s="30" t="n">
        <v>44024</v>
      </c>
      <c r="D902" s="31" t="n">
        <f aca="false">VLOOKUP(A902,'Order Shipping'!$A$2:$C$2000,3,FALSE())</f>
        <v>0.8</v>
      </c>
      <c r="E902" s="32" t="n">
        <f aca="false">VLOOKUP($A902,'Order Sales'!$A$2:$G$2154,E$1,FALSE())</f>
        <v>46</v>
      </c>
      <c r="F902" s="32" t="n">
        <f aca="false">VLOOKUP($A902,'Order Sales'!$A$2:$G$2154,F$1,FALSE())</f>
        <v>95.67</v>
      </c>
      <c r="G902" s="32" t="str">
        <f aca="false">VLOOKUP($A902,'Order Sales'!$A$2:$G$2154,G$1,FALSE())</f>
        <v>Consumer</v>
      </c>
    </row>
    <row r="903" customFormat="false" ht="14.25" hidden="false" customHeight="false" outlineLevel="0" collapsed="false">
      <c r="A903" s="1" t="n">
        <v>2586</v>
      </c>
      <c r="B903" s="30" t="n">
        <v>43401</v>
      </c>
      <c r="C903" s="30" t="n">
        <v>44025</v>
      </c>
      <c r="D903" s="31" t="n">
        <f aca="false">VLOOKUP(A903,'Order Shipping'!$A$2:$C$2000,3,FALSE())</f>
        <v>0.7</v>
      </c>
      <c r="E903" s="32" t="n">
        <f aca="false">VLOOKUP($A903,'Order Sales'!$A$2:$G$2154,E$1,FALSE())</f>
        <v>33</v>
      </c>
      <c r="F903" s="32" t="n">
        <f aca="false">VLOOKUP($A903,'Order Sales'!$A$2:$G$2154,F$1,FALSE())</f>
        <v>101</v>
      </c>
      <c r="G903" s="32" t="str">
        <f aca="false">VLOOKUP($A903,'Order Sales'!$A$2:$G$2154,G$1,FALSE())</f>
        <v>Small Business</v>
      </c>
    </row>
    <row r="904" customFormat="false" ht="14.25" hidden="false" customHeight="false" outlineLevel="0" collapsed="false">
      <c r="A904" s="1" t="n">
        <v>2596</v>
      </c>
      <c r="B904" s="30" t="n">
        <v>43438</v>
      </c>
      <c r="C904" s="30" t="n">
        <v>44026</v>
      </c>
      <c r="D904" s="31" t="n">
        <f aca="false">VLOOKUP(A904,'Order Shipping'!$A$2:$C$2000,3,FALSE())</f>
        <v>0.9</v>
      </c>
      <c r="E904" s="32" t="n">
        <f aca="false">VLOOKUP($A904,'Order Sales'!$A$2:$G$2154,E$1,FALSE())</f>
        <v>13</v>
      </c>
      <c r="F904" s="32" t="n">
        <f aca="false">VLOOKUP($A904,'Order Sales'!$A$2:$G$2154,F$1,FALSE())</f>
        <v>71.51</v>
      </c>
      <c r="G904" s="32" t="str">
        <f aca="false">VLOOKUP($A904,'Order Sales'!$A$2:$G$2154,G$1,FALSE())</f>
        <v>Small Business</v>
      </c>
    </row>
    <row r="905" customFormat="false" ht="14.25" hidden="false" customHeight="false" outlineLevel="0" collapsed="false">
      <c r="A905" s="1" t="n">
        <v>2680</v>
      </c>
      <c r="B905" s="30" t="n">
        <v>43449</v>
      </c>
      <c r="C905" s="30" t="n">
        <v>44027</v>
      </c>
      <c r="D905" s="31" t="n">
        <f aca="false">VLOOKUP(A905,'Order Shipping'!$A$2:$C$2000,3,FALSE())</f>
        <v>12.3</v>
      </c>
      <c r="E905" s="32" t="n">
        <f aca="false">VLOOKUP($A905,'Order Sales'!$A$2:$G$2154,E$1,FALSE())</f>
        <v>42</v>
      </c>
      <c r="F905" s="32" t="n">
        <f aca="false">VLOOKUP($A905,'Order Sales'!$A$2:$G$2154,F$1,FALSE())</f>
        <v>333.89</v>
      </c>
      <c r="G905" s="32" t="str">
        <f aca="false">VLOOKUP($A905,'Order Sales'!$A$2:$G$2154,G$1,FALSE())</f>
        <v>Corporate</v>
      </c>
    </row>
    <row r="906" customFormat="false" ht="14.25" hidden="false" customHeight="false" outlineLevel="0" collapsed="false">
      <c r="A906" s="1" t="n">
        <v>2536</v>
      </c>
      <c r="B906" s="30" t="n">
        <v>43272</v>
      </c>
      <c r="C906" s="30" t="n">
        <v>44028</v>
      </c>
      <c r="D906" s="31" t="n">
        <f aca="false">VLOOKUP(A906,'Order Shipping'!$A$2:$C$2000,3,FALSE())</f>
        <v>26.2</v>
      </c>
      <c r="E906" s="32" t="n">
        <f aca="false">VLOOKUP($A906,'Order Sales'!$A$2:$G$2154,E$1,FALSE())</f>
        <v>16</v>
      </c>
      <c r="F906" s="32" t="n">
        <f aca="false">VLOOKUP($A906,'Order Sales'!$A$2:$G$2154,F$1,FALSE())</f>
        <v>5019.66</v>
      </c>
      <c r="G906" s="32" t="str">
        <f aca="false">VLOOKUP($A906,'Order Sales'!$A$2:$G$2154,G$1,FALSE())</f>
        <v>Home Office</v>
      </c>
    </row>
    <row r="907" customFormat="false" ht="14.25" hidden="false" customHeight="false" outlineLevel="0" collapsed="false">
      <c r="A907" s="1" t="n">
        <v>2293</v>
      </c>
      <c r="B907" s="30" t="n">
        <v>43255</v>
      </c>
      <c r="C907" s="30" t="n">
        <v>44029</v>
      </c>
      <c r="D907" s="31" t="n">
        <f aca="false">VLOOKUP(A907,'Order Shipping'!$A$2:$C$2000,3,FALSE())</f>
        <v>7.6</v>
      </c>
      <c r="E907" s="32" t="n">
        <f aca="false">VLOOKUP($A907,'Order Sales'!$A$2:$G$2154,E$1,FALSE())</f>
        <v>9</v>
      </c>
      <c r="F907" s="32" t="n">
        <f aca="false">VLOOKUP($A907,'Order Sales'!$A$2:$G$2154,F$1,FALSE())</f>
        <v>1491.88</v>
      </c>
      <c r="G907" s="32" t="str">
        <f aca="false">VLOOKUP($A907,'Order Sales'!$A$2:$G$2154,G$1,FALSE())</f>
        <v>Home Office</v>
      </c>
    </row>
    <row r="908" customFormat="false" ht="14.25" hidden="false" customHeight="false" outlineLevel="0" collapsed="false">
      <c r="A908" s="1" t="n">
        <v>1859</v>
      </c>
      <c r="B908" s="30" t="n">
        <v>43423</v>
      </c>
      <c r="C908" s="30" t="n">
        <v>44030</v>
      </c>
      <c r="D908" s="31" t="n">
        <f aca="false">VLOOKUP(A908,'Order Shipping'!$A$2:$C$2000,3,FALSE())</f>
        <v>7.2</v>
      </c>
      <c r="E908" s="32" t="n">
        <f aca="false">VLOOKUP($A908,'Order Sales'!$A$2:$G$2154,E$1,FALSE())</f>
        <v>41</v>
      </c>
      <c r="F908" s="32" t="n">
        <f aca="false">VLOOKUP($A908,'Order Sales'!$A$2:$G$2154,F$1,FALSE())</f>
        <v>2034.38</v>
      </c>
      <c r="G908" s="32" t="str">
        <f aca="false">VLOOKUP($A908,'Order Sales'!$A$2:$G$2154,G$1,FALSE())</f>
        <v>Small Business</v>
      </c>
    </row>
    <row r="909" customFormat="false" ht="14.25" hidden="false" customHeight="false" outlineLevel="0" collapsed="false">
      <c r="A909" s="1" t="n">
        <v>1155</v>
      </c>
      <c r="B909" s="30" t="n">
        <v>43342</v>
      </c>
      <c r="C909" s="30" t="n">
        <v>44031</v>
      </c>
      <c r="D909" s="31" t="n">
        <f aca="false">VLOOKUP(A909,'Order Shipping'!$A$2:$C$2000,3,FALSE())</f>
        <v>9.6</v>
      </c>
      <c r="E909" s="32" t="n">
        <f aca="false">VLOOKUP($A909,'Order Sales'!$A$2:$G$2154,E$1,FALSE())</f>
        <v>30</v>
      </c>
      <c r="F909" s="32" t="n">
        <f aca="false">VLOOKUP($A909,'Order Sales'!$A$2:$G$2154,F$1,FALSE())</f>
        <v>4550.72</v>
      </c>
      <c r="G909" s="32" t="str">
        <f aca="false">VLOOKUP($A909,'Order Sales'!$A$2:$G$2154,G$1,FALSE())</f>
        <v>Home Office</v>
      </c>
    </row>
    <row r="910" customFormat="false" ht="14.25" hidden="false" customHeight="false" outlineLevel="0" collapsed="false">
      <c r="A910" s="1" t="n">
        <v>1440</v>
      </c>
      <c r="B910" s="30" t="n">
        <v>43391</v>
      </c>
      <c r="C910" s="30" t="n">
        <v>44032</v>
      </c>
      <c r="D910" s="31" t="n">
        <f aca="false">VLOOKUP(A910,'Order Shipping'!$A$2:$C$2000,3,FALSE())</f>
        <v>31.3</v>
      </c>
      <c r="E910" s="32" t="n">
        <f aca="false">VLOOKUP($A910,'Order Sales'!$A$2:$G$2154,E$1,FALSE())</f>
        <v>2</v>
      </c>
      <c r="F910" s="32" t="n">
        <f aca="false">VLOOKUP($A910,'Order Sales'!$A$2:$G$2154,F$1,FALSE())</f>
        <v>407.26</v>
      </c>
      <c r="G910" s="32" t="str">
        <f aca="false">VLOOKUP($A910,'Order Sales'!$A$2:$G$2154,G$1,FALSE())</f>
        <v>Consumer</v>
      </c>
    </row>
    <row r="911" customFormat="false" ht="14.25" hidden="false" customHeight="false" outlineLevel="0" collapsed="false">
      <c r="A911" s="1" t="n">
        <v>2813</v>
      </c>
      <c r="B911" s="30" t="n">
        <v>43326</v>
      </c>
      <c r="C911" s="30" t="n">
        <v>44033</v>
      </c>
      <c r="D911" s="31" t="n">
        <f aca="false">VLOOKUP(A911,'Order Shipping'!$A$2:$C$2000,3,FALSE())</f>
        <v>5.6</v>
      </c>
      <c r="E911" s="32" t="n">
        <f aca="false">VLOOKUP($A911,'Order Sales'!$A$2:$G$2154,E$1,FALSE())</f>
        <v>38</v>
      </c>
      <c r="F911" s="32" t="n">
        <f aca="false">VLOOKUP($A911,'Order Sales'!$A$2:$G$2154,F$1,FALSE())</f>
        <v>281.3</v>
      </c>
      <c r="G911" s="32" t="str">
        <f aca="false">VLOOKUP($A911,'Order Sales'!$A$2:$G$2154,G$1,FALSE())</f>
        <v>Corporate</v>
      </c>
    </row>
    <row r="912" customFormat="false" ht="14.25" hidden="false" customHeight="false" outlineLevel="0" collapsed="false">
      <c r="A912" s="1" t="n">
        <v>2513</v>
      </c>
      <c r="B912" s="30" t="n">
        <v>43114</v>
      </c>
      <c r="C912" s="30" t="n">
        <v>44034</v>
      </c>
      <c r="D912" s="31" t="n">
        <f aca="false">VLOOKUP(A912,'Order Shipping'!$A$2:$C$2000,3,FALSE())</f>
        <v>13.9</v>
      </c>
      <c r="E912" s="32" t="n">
        <f aca="false">VLOOKUP($A912,'Order Sales'!$A$2:$G$2154,E$1,FALSE())</f>
        <v>37</v>
      </c>
      <c r="F912" s="32" t="n">
        <f aca="false">VLOOKUP($A912,'Order Sales'!$A$2:$G$2154,F$1,FALSE())</f>
        <v>990.61</v>
      </c>
      <c r="G912" s="32" t="str">
        <f aca="false">VLOOKUP($A912,'Order Sales'!$A$2:$G$2154,G$1,FALSE())</f>
        <v>Corporate</v>
      </c>
    </row>
    <row r="913" customFormat="false" ht="14.25" hidden="false" customHeight="false" outlineLevel="0" collapsed="false">
      <c r="A913" s="1" t="n">
        <v>1900</v>
      </c>
      <c r="B913" s="30" t="n">
        <v>43380</v>
      </c>
      <c r="C913" s="30" t="n">
        <v>44035</v>
      </c>
      <c r="D913" s="31" t="n">
        <f aca="false">VLOOKUP(A913,'Order Shipping'!$A$2:$C$2000,3,FALSE())</f>
        <v>5.4</v>
      </c>
      <c r="E913" s="32" t="n">
        <f aca="false">VLOOKUP($A913,'Order Sales'!$A$2:$G$2154,E$1,FALSE())</f>
        <v>17</v>
      </c>
      <c r="F913" s="32" t="n">
        <f aca="false">VLOOKUP($A913,'Order Sales'!$A$2:$G$2154,F$1,FALSE())</f>
        <v>510.93</v>
      </c>
      <c r="G913" s="32" t="str">
        <f aca="false">VLOOKUP($A913,'Order Sales'!$A$2:$G$2154,G$1,FALSE())</f>
        <v>Corporate</v>
      </c>
    </row>
    <row r="914" customFormat="false" ht="14.25" hidden="false" customHeight="false" outlineLevel="0" collapsed="false">
      <c r="A914" s="1" t="n">
        <v>2386</v>
      </c>
      <c r="B914" s="30" t="n">
        <v>43246</v>
      </c>
      <c r="C914" s="30" t="n">
        <v>44036</v>
      </c>
      <c r="D914" s="31" t="n">
        <f aca="false">VLOOKUP(A914,'Order Shipping'!$A$2:$C$2000,3,FALSE())</f>
        <v>1</v>
      </c>
      <c r="E914" s="32" t="n">
        <f aca="false">VLOOKUP($A914,'Order Sales'!$A$2:$G$2154,E$1,FALSE())</f>
        <v>21</v>
      </c>
      <c r="F914" s="32" t="n">
        <f aca="false">VLOOKUP($A914,'Order Sales'!$A$2:$G$2154,F$1,FALSE())</f>
        <v>62.21</v>
      </c>
      <c r="G914" s="32" t="str">
        <f aca="false">VLOOKUP($A914,'Order Sales'!$A$2:$G$2154,G$1,FALSE())</f>
        <v>Home Office</v>
      </c>
    </row>
    <row r="915" customFormat="false" ht="14.25" hidden="false" customHeight="false" outlineLevel="0" collapsed="false">
      <c r="A915" s="1" t="n">
        <v>2359</v>
      </c>
      <c r="B915" s="30" t="n">
        <v>43416</v>
      </c>
      <c r="C915" s="30" t="n">
        <v>44037</v>
      </c>
      <c r="D915" s="31" t="n">
        <f aca="false">VLOOKUP(A915,'Order Shipping'!$A$2:$C$2000,3,FALSE())</f>
        <v>5.3</v>
      </c>
      <c r="E915" s="32" t="n">
        <f aca="false">VLOOKUP($A915,'Order Sales'!$A$2:$G$2154,E$1,FALSE())</f>
        <v>11</v>
      </c>
      <c r="F915" s="32" t="n">
        <f aca="false">VLOOKUP($A915,'Order Sales'!$A$2:$G$2154,F$1,FALSE())</f>
        <v>432.44</v>
      </c>
      <c r="G915" s="32" t="str">
        <f aca="false">VLOOKUP($A915,'Order Sales'!$A$2:$G$2154,G$1,FALSE())</f>
        <v>Home Office</v>
      </c>
    </row>
    <row r="916" customFormat="false" ht="14.25" hidden="false" customHeight="false" outlineLevel="0" collapsed="false">
      <c r="A916" s="1" t="n">
        <v>2090</v>
      </c>
      <c r="B916" s="30" t="n">
        <v>43134</v>
      </c>
      <c r="C916" s="30" t="n">
        <v>44038</v>
      </c>
      <c r="D916" s="31" t="n">
        <f aca="false">VLOOKUP(A916,'Order Shipping'!$A$2:$C$2000,3,FALSE())</f>
        <v>69.3</v>
      </c>
      <c r="E916" s="32" t="n">
        <f aca="false">VLOOKUP($A916,'Order Sales'!$A$2:$G$2154,E$1,FALSE())</f>
        <v>9</v>
      </c>
      <c r="F916" s="32" t="n">
        <f aca="false">VLOOKUP($A916,'Order Sales'!$A$2:$G$2154,F$1,FALSE())</f>
        <v>2677.86</v>
      </c>
      <c r="G916" s="32" t="str">
        <f aca="false">VLOOKUP($A916,'Order Sales'!$A$2:$G$2154,G$1,FALSE())</f>
        <v>Corporate</v>
      </c>
    </row>
    <row r="917" customFormat="false" ht="14.25" hidden="false" customHeight="false" outlineLevel="0" collapsed="false">
      <c r="A917" s="1" t="n">
        <v>1436</v>
      </c>
      <c r="B917" s="30" t="n">
        <v>43298</v>
      </c>
      <c r="C917" s="30" t="n">
        <v>44039</v>
      </c>
      <c r="D917" s="31" t="n">
        <f aca="false">VLOOKUP(A917,'Order Shipping'!$A$2:$C$2000,3,FALSE())</f>
        <v>0.5</v>
      </c>
      <c r="E917" s="32" t="n">
        <f aca="false">VLOOKUP($A917,'Order Sales'!$A$2:$G$2154,E$1,FALSE())</f>
        <v>39</v>
      </c>
      <c r="F917" s="32" t="n">
        <f aca="false">VLOOKUP($A917,'Order Sales'!$A$2:$G$2154,F$1,FALSE())</f>
        <v>151.39</v>
      </c>
      <c r="G917" s="32" t="str">
        <f aca="false">VLOOKUP($A917,'Order Sales'!$A$2:$G$2154,G$1,FALSE())</f>
        <v>Corporate</v>
      </c>
    </row>
    <row r="918" customFormat="false" ht="14.25" hidden="false" customHeight="false" outlineLevel="0" collapsed="false">
      <c r="A918" s="1" t="n">
        <v>1557</v>
      </c>
      <c r="B918" s="30" t="n">
        <v>43313</v>
      </c>
      <c r="C918" s="30" t="n">
        <v>44040</v>
      </c>
      <c r="D918" s="31" t="n">
        <f aca="false">VLOOKUP(A918,'Order Shipping'!$A$2:$C$2000,3,FALSE())</f>
        <v>6.2</v>
      </c>
      <c r="E918" s="32" t="n">
        <f aca="false">VLOOKUP($A918,'Order Sales'!$A$2:$G$2154,E$1,FALSE())</f>
        <v>23</v>
      </c>
      <c r="F918" s="32" t="n">
        <f aca="false">VLOOKUP($A918,'Order Sales'!$A$2:$G$2154,F$1,FALSE())</f>
        <v>209.3</v>
      </c>
      <c r="G918" s="32" t="str">
        <f aca="false">VLOOKUP($A918,'Order Sales'!$A$2:$G$2154,G$1,FALSE())</f>
        <v>Small Business</v>
      </c>
    </row>
    <row r="919" customFormat="false" ht="14.25" hidden="false" customHeight="false" outlineLevel="0" collapsed="false">
      <c r="A919" s="1" t="n">
        <v>1497</v>
      </c>
      <c r="B919" s="30" t="n">
        <v>43138</v>
      </c>
      <c r="C919" s="30" t="n">
        <v>44041</v>
      </c>
      <c r="D919" s="31" t="n">
        <f aca="false">VLOOKUP(A919,'Order Shipping'!$A$2:$C$2000,3,FALSE())</f>
        <v>5.4</v>
      </c>
      <c r="E919" s="32" t="n">
        <f aca="false">VLOOKUP($A919,'Order Sales'!$A$2:$G$2154,E$1,FALSE())</f>
        <v>42</v>
      </c>
      <c r="F919" s="32" t="n">
        <f aca="false">VLOOKUP($A919,'Order Sales'!$A$2:$G$2154,F$1,FALSE())</f>
        <v>245.97</v>
      </c>
      <c r="G919" s="32" t="str">
        <f aca="false">VLOOKUP($A919,'Order Sales'!$A$2:$G$2154,G$1,FALSE())</f>
        <v>Home Office</v>
      </c>
    </row>
    <row r="920" customFormat="false" ht="14.25" hidden="false" customHeight="false" outlineLevel="0" collapsed="false">
      <c r="A920" s="1" t="n">
        <v>2909</v>
      </c>
      <c r="B920" s="30" t="n">
        <v>43403</v>
      </c>
      <c r="C920" s="30" t="n">
        <v>44042</v>
      </c>
      <c r="D920" s="31" t="n">
        <f aca="false">VLOOKUP(A920,'Order Shipping'!$A$2:$C$2000,3,FALSE())</f>
        <v>1.1</v>
      </c>
      <c r="E920" s="32" t="n">
        <f aca="false">VLOOKUP($A920,'Order Sales'!$A$2:$G$2154,E$1,FALSE())</f>
        <v>6</v>
      </c>
      <c r="F920" s="32" t="n">
        <f aca="false">VLOOKUP($A920,'Order Sales'!$A$2:$G$2154,F$1,FALSE())</f>
        <v>15.89</v>
      </c>
      <c r="G920" s="32" t="str">
        <f aca="false">VLOOKUP($A920,'Order Sales'!$A$2:$G$2154,G$1,FALSE())</f>
        <v>Home Office</v>
      </c>
    </row>
    <row r="921" customFormat="false" ht="14.25" hidden="false" customHeight="false" outlineLevel="0" collapsed="false">
      <c r="A921" s="1" t="n">
        <v>1077</v>
      </c>
      <c r="B921" s="30" t="n">
        <v>43136</v>
      </c>
      <c r="C921" s="30" t="n">
        <v>44043</v>
      </c>
      <c r="D921" s="31" t="n">
        <f aca="false">VLOOKUP(A921,'Order Shipping'!$A$2:$C$2000,3,FALSE())</f>
        <v>134.8</v>
      </c>
      <c r="E921" s="32" t="n">
        <f aca="false">VLOOKUP($A921,'Order Sales'!$A$2:$G$2154,E$1,FALSE())</f>
        <v>39</v>
      </c>
      <c r="F921" s="32" t="n">
        <f aca="false">VLOOKUP($A921,'Order Sales'!$A$2:$G$2154,F$1,FALSE())</f>
        <v>20696.84</v>
      </c>
      <c r="G921" s="32" t="str">
        <f aca="false">VLOOKUP($A921,'Order Sales'!$A$2:$G$2154,G$1,FALSE())</f>
        <v>Consumer</v>
      </c>
    </row>
    <row r="922" customFormat="false" ht="14.25" hidden="false" customHeight="false" outlineLevel="0" collapsed="false">
      <c r="A922" s="1" t="n">
        <v>2486</v>
      </c>
      <c r="B922" s="30" t="n">
        <v>43142</v>
      </c>
      <c r="C922" s="30" t="n">
        <v>44044</v>
      </c>
      <c r="D922" s="31" t="n">
        <f aca="false">VLOOKUP(A922,'Order Shipping'!$A$2:$C$2000,3,FALSE())</f>
        <v>3.2</v>
      </c>
      <c r="E922" s="32" t="n">
        <f aca="false">VLOOKUP($A922,'Order Sales'!$A$2:$G$2154,E$1,FALSE())</f>
        <v>35</v>
      </c>
      <c r="F922" s="32" t="n">
        <f aca="false">VLOOKUP($A922,'Order Sales'!$A$2:$G$2154,F$1,FALSE())</f>
        <v>254.75</v>
      </c>
      <c r="G922" s="32" t="str">
        <f aca="false">VLOOKUP($A922,'Order Sales'!$A$2:$G$2154,G$1,FALSE())</f>
        <v>Home Office</v>
      </c>
    </row>
    <row r="923" customFormat="false" ht="14.25" hidden="false" customHeight="false" outlineLevel="0" collapsed="false">
      <c r="A923" s="1" t="n">
        <v>1873</v>
      </c>
      <c r="B923" s="30" t="n">
        <v>43210</v>
      </c>
      <c r="C923" s="30" t="n">
        <v>44045</v>
      </c>
      <c r="D923" s="31" t="n">
        <f aca="false">VLOOKUP(A923,'Order Shipping'!$A$2:$C$2000,3,FALSE())</f>
        <v>1.5</v>
      </c>
      <c r="E923" s="32" t="n">
        <f aca="false">VLOOKUP($A923,'Order Sales'!$A$2:$G$2154,E$1,FALSE())</f>
        <v>47</v>
      </c>
      <c r="F923" s="32" t="n">
        <f aca="false">VLOOKUP($A923,'Order Sales'!$A$2:$G$2154,F$1,FALSE())</f>
        <v>718.8</v>
      </c>
      <c r="G923" s="32" t="str">
        <f aca="false">VLOOKUP($A923,'Order Sales'!$A$2:$G$2154,G$1,FALSE())</f>
        <v>Small Business</v>
      </c>
    </row>
    <row r="924" customFormat="false" ht="14.25" hidden="false" customHeight="false" outlineLevel="0" collapsed="false">
      <c r="A924" s="1" t="n">
        <v>1675</v>
      </c>
      <c r="B924" s="30" t="n">
        <v>43204</v>
      </c>
      <c r="C924" s="30" t="n">
        <v>44046</v>
      </c>
      <c r="D924" s="31" t="n">
        <f aca="false">VLOOKUP(A924,'Order Shipping'!$A$2:$C$2000,3,FALSE())</f>
        <v>55.6</v>
      </c>
      <c r="E924" s="32" t="n">
        <f aca="false">VLOOKUP($A924,'Order Sales'!$A$2:$G$2154,E$1,FALSE())</f>
        <v>48</v>
      </c>
      <c r="F924" s="32" t="n">
        <f aca="false">VLOOKUP($A924,'Order Sales'!$A$2:$G$2154,F$1,FALSE())</f>
        <v>7852.99</v>
      </c>
      <c r="G924" s="32" t="str">
        <f aca="false">VLOOKUP($A924,'Order Sales'!$A$2:$G$2154,G$1,FALSE())</f>
        <v>Consumer</v>
      </c>
    </row>
    <row r="925" customFormat="false" ht="14.25" hidden="false" customHeight="false" outlineLevel="0" collapsed="false">
      <c r="A925" s="1" t="n">
        <v>1286</v>
      </c>
      <c r="B925" s="30" t="n">
        <v>43236</v>
      </c>
      <c r="C925" s="30" t="n">
        <v>44047</v>
      </c>
      <c r="D925" s="31" t="n">
        <f aca="false">VLOOKUP(A925,'Order Shipping'!$A$2:$C$2000,3,FALSE())</f>
        <v>8.8</v>
      </c>
      <c r="E925" s="32" t="n">
        <f aca="false">VLOOKUP($A925,'Order Sales'!$A$2:$G$2154,E$1,FALSE())</f>
        <v>42</v>
      </c>
      <c r="F925" s="32" t="n">
        <f aca="false">VLOOKUP($A925,'Order Sales'!$A$2:$G$2154,F$1,FALSE())</f>
        <v>285.01</v>
      </c>
      <c r="G925" s="32" t="str">
        <f aca="false">VLOOKUP($A925,'Order Sales'!$A$2:$G$2154,G$1,FALSE())</f>
        <v>Consumer</v>
      </c>
    </row>
    <row r="926" customFormat="false" ht="14.25" hidden="false" customHeight="false" outlineLevel="0" collapsed="false">
      <c r="A926" s="1" t="n">
        <v>2313</v>
      </c>
      <c r="B926" s="30" t="n">
        <v>43206</v>
      </c>
      <c r="C926" s="30" t="n">
        <v>44048</v>
      </c>
      <c r="D926" s="31" t="n">
        <f aca="false">VLOOKUP(A926,'Order Shipping'!$A$2:$C$2000,3,FALSE())</f>
        <v>21.4</v>
      </c>
      <c r="E926" s="32" t="n">
        <f aca="false">VLOOKUP($A926,'Order Sales'!$A$2:$G$2154,E$1,FALSE())</f>
        <v>38</v>
      </c>
      <c r="F926" s="32" t="n">
        <f aca="false">VLOOKUP($A926,'Order Sales'!$A$2:$G$2154,F$1,FALSE())</f>
        <v>1649.85</v>
      </c>
      <c r="G926" s="32" t="str">
        <f aca="false">VLOOKUP($A926,'Order Sales'!$A$2:$G$2154,G$1,FALSE())</f>
        <v>Corporate</v>
      </c>
    </row>
    <row r="927" customFormat="false" ht="14.25" hidden="false" customHeight="false" outlineLevel="0" collapsed="false">
      <c r="A927" s="1" t="n">
        <v>1533</v>
      </c>
      <c r="B927" s="30" t="n">
        <v>43260</v>
      </c>
      <c r="C927" s="30" t="n">
        <v>44049</v>
      </c>
      <c r="D927" s="31" t="n">
        <f aca="false">VLOOKUP(A927,'Order Shipping'!$A$2:$C$2000,3,FALSE())</f>
        <v>0.7</v>
      </c>
      <c r="E927" s="32" t="n">
        <f aca="false">VLOOKUP($A927,'Order Sales'!$A$2:$G$2154,E$1,FALSE())</f>
        <v>49</v>
      </c>
      <c r="F927" s="32" t="n">
        <f aca="false">VLOOKUP($A927,'Order Sales'!$A$2:$G$2154,F$1,FALSE())</f>
        <v>148.69</v>
      </c>
      <c r="G927" s="32" t="str">
        <f aca="false">VLOOKUP($A927,'Order Sales'!$A$2:$G$2154,G$1,FALSE())</f>
        <v>Small Business</v>
      </c>
    </row>
    <row r="928" customFormat="false" ht="14.25" hidden="false" customHeight="false" outlineLevel="0" collapsed="false">
      <c r="A928" s="1" t="n">
        <v>1545</v>
      </c>
      <c r="B928" s="30" t="n">
        <v>43330</v>
      </c>
      <c r="C928" s="30" t="n">
        <v>44050</v>
      </c>
      <c r="D928" s="31" t="n">
        <f aca="false">VLOOKUP(A928,'Order Shipping'!$A$2:$C$2000,3,FALSE())</f>
        <v>6.6</v>
      </c>
      <c r="E928" s="32" t="n">
        <f aca="false">VLOOKUP($A928,'Order Sales'!$A$2:$G$2154,E$1,FALSE())</f>
        <v>5</v>
      </c>
      <c r="F928" s="32" t="n">
        <f aca="false">VLOOKUP($A928,'Order Sales'!$A$2:$G$2154,F$1,FALSE())</f>
        <v>425.38</v>
      </c>
      <c r="G928" s="32" t="str">
        <f aca="false">VLOOKUP($A928,'Order Sales'!$A$2:$G$2154,G$1,FALSE())</f>
        <v>Corporate</v>
      </c>
    </row>
    <row r="929" customFormat="false" ht="14.25" hidden="false" customHeight="false" outlineLevel="0" collapsed="false">
      <c r="A929" s="1" t="n">
        <v>2929</v>
      </c>
      <c r="B929" s="30" t="n">
        <v>43415</v>
      </c>
      <c r="C929" s="30" t="n">
        <v>44051</v>
      </c>
      <c r="D929" s="31" t="n">
        <f aca="false">VLOOKUP(A929,'Order Shipping'!$A$2:$C$2000,3,FALSE())</f>
        <v>3.9</v>
      </c>
      <c r="E929" s="32" t="n">
        <f aca="false">VLOOKUP($A929,'Order Sales'!$A$2:$G$2154,E$1,FALSE())</f>
        <v>38</v>
      </c>
      <c r="F929" s="32" t="n">
        <f aca="false">VLOOKUP($A929,'Order Sales'!$A$2:$G$2154,F$1,FALSE())</f>
        <v>1932.88</v>
      </c>
      <c r="G929" s="32" t="str">
        <f aca="false">VLOOKUP($A929,'Order Sales'!$A$2:$G$2154,G$1,FALSE())</f>
        <v>Corporate</v>
      </c>
    </row>
    <row r="930" customFormat="false" ht="14.25" hidden="false" customHeight="false" outlineLevel="0" collapsed="false">
      <c r="A930" s="1" t="n">
        <v>1344</v>
      </c>
      <c r="B930" s="30" t="n">
        <v>43272</v>
      </c>
      <c r="C930" s="30" t="n">
        <v>44052</v>
      </c>
      <c r="D930" s="31" t="n">
        <f aca="false">VLOOKUP(A930,'Order Shipping'!$A$2:$C$2000,3,FALSE())</f>
        <v>15</v>
      </c>
      <c r="E930" s="32" t="n">
        <f aca="false">VLOOKUP($A930,'Order Sales'!$A$2:$G$2154,E$1,FALSE())</f>
        <v>2</v>
      </c>
      <c r="F930" s="32" t="n">
        <f aca="false">VLOOKUP($A930,'Order Sales'!$A$2:$G$2154,F$1,FALSE())</f>
        <v>240.02</v>
      </c>
      <c r="G930" s="32" t="str">
        <f aca="false">VLOOKUP($A930,'Order Sales'!$A$2:$G$2154,G$1,FALSE())</f>
        <v>Home Office</v>
      </c>
    </row>
    <row r="931" customFormat="false" ht="14.25" hidden="false" customHeight="false" outlineLevel="0" collapsed="false">
      <c r="A931" s="1" t="n">
        <v>2736</v>
      </c>
      <c r="B931" s="30" t="n">
        <v>43408</v>
      </c>
      <c r="C931" s="30" t="n">
        <v>44053</v>
      </c>
      <c r="D931" s="31" t="n">
        <f aca="false">VLOOKUP(A931,'Order Shipping'!$A$2:$C$2000,3,FALSE())</f>
        <v>64.2</v>
      </c>
      <c r="E931" s="32" t="n">
        <f aca="false">VLOOKUP($A931,'Order Sales'!$A$2:$G$2154,E$1,FALSE())</f>
        <v>45</v>
      </c>
      <c r="F931" s="32" t="n">
        <f aca="false">VLOOKUP($A931,'Order Sales'!$A$2:$G$2154,F$1,FALSE())</f>
        <v>14022.34</v>
      </c>
      <c r="G931" s="32" t="str">
        <f aca="false">VLOOKUP($A931,'Order Sales'!$A$2:$G$2154,G$1,FALSE())</f>
        <v>Small Business</v>
      </c>
    </row>
    <row r="932" customFormat="false" ht="14.25" hidden="false" customHeight="false" outlineLevel="0" collapsed="false">
      <c r="A932" s="1" t="n">
        <v>2800</v>
      </c>
      <c r="B932" s="30" t="n">
        <v>43393</v>
      </c>
      <c r="C932" s="30" t="n">
        <v>44054</v>
      </c>
      <c r="D932" s="31" t="n">
        <f aca="false">VLOOKUP(A932,'Order Shipping'!$A$2:$C$2000,3,FALSE())</f>
        <v>2.1</v>
      </c>
      <c r="E932" s="32" t="n">
        <f aca="false">VLOOKUP($A932,'Order Sales'!$A$2:$G$2154,E$1,FALSE())</f>
        <v>14</v>
      </c>
      <c r="F932" s="32" t="n">
        <f aca="false">VLOOKUP($A932,'Order Sales'!$A$2:$G$2154,F$1,FALSE())</f>
        <v>343.69</v>
      </c>
      <c r="G932" s="32" t="str">
        <f aca="false">VLOOKUP($A932,'Order Sales'!$A$2:$G$2154,G$1,FALSE())</f>
        <v>Small Business</v>
      </c>
    </row>
    <row r="933" customFormat="false" ht="14.25" hidden="false" customHeight="false" outlineLevel="0" collapsed="false">
      <c r="A933" s="1" t="n">
        <v>2280</v>
      </c>
      <c r="B933" s="30" t="n">
        <v>43453</v>
      </c>
      <c r="C933" s="30" t="n">
        <v>44055</v>
      </c>
      <c r="D933" s="31" t="n">
        <f aca="false">VLOOKUP(A933,'Order Shipping'!$A$2:$C$2000,3,FALSE())</f>
        <v>1.1</v>
      </c>
      <c r="E933" s="32" t="n">
        <f aca="false">VLOOKUP($A933,'Order Sales'!$A$2:$G$2154,E$1,FALSE())</f>
        <v>36</v>
      </c>
      <c r="F933" s="32" t="n">
        <f aca="false">VLOOKUP($A933,'Order Sales'!$A$2:$G$2154,F$1,FALSE())</f>
        <v>2723.13</v>
      </c>
      <c r="G933" s="32" t="str">
        <f aca="false">VLOOKUP($A933,'Order Sales'!$A$2:$G$2154,G$1,FALSE())</f>
        <v>Small Business</v>
      </c>
    </row>
    <row r="934" customFormat="false" ht="14.25" hidden="false" customHeight="false" outlineLevel="0" collapsed="false">
      <c r="A934" s="1" t="n">
        <v>2841</v>
      </c>
      <c r="B934" s="30" t="n">
        <v>43227</v>
      </c>
      <c r="C934" s="30" t="n">
        <v>44056</v>
      </c>
      <c r="D934" s="31" t="n">
        <f aca="false">VLOOKUP(A934,'Order Shipping'!$A$2:$C$2000,3,FALSE())</f>
        <v>1.3</v>
      </c>
      <c r="E934" s="32" t="n">
        <f aca="false">VLOOKUP($A934,'Order Sales'!$A$2:$G$2154,E$1,FALSE())</f>
        <v>24</v>
      </c>
      <c r="F934" s="32" t="n">
        <f aca="false">VLOOKUP($A934,'Order Sales'!$A$2:$G$2154,F$1,FALSE())</f>
        <v>468.1</v>
      </c>
      <c r="G934" s="32" t="str">
        <f aca="false">VLOOKUP($A934,'Order Sales'!$A$2:$G$2154,G$1,FALSE())</f>
        <v>Consumer</v>
      </c>
    </row>
    <row r="935" customFormat="false" ht="14.25" hidden="false" customHeight="false" outlineLevel="0" collapsed="false">
      <c r="A935" s="1" t="n">
        <v>2323</v>
      </c>
      <c r="B935" s="30" t="n">
        <v>43321</v>
      </c>
      <c r="C935" s="30" t="n">
        <v>44057</v>
      </c>
      <c r="D935" s="31" t="n">
        <f aca="false">VLOOKUP(A935,'Order Shipping'!$A$2:$C$2000,3,FALSE())</f>
        <v>5.6</v>
      </c>
      <c r="E935" s="32" t="n">
        <f aca="false">VLOOKUP($A935,'Order Sales'!$A$2:$G$2154,E$1,FALSE())</f>
        <v>31</v>
      </c>
      <c r="F935" s="32" t="n">
        <f aca="false">VLOOKUP($A935,'Order Sales'!$A$2:$G$2154,F$1,FALSE())</f>
        <v>658.67</v>
      </c>
      <c r="G935" s="32" t="str">
        <f aca="false">VLOOKUP($A935,'Order Sales'!$A$2:$G$2154,G$1,FALSE())</f>
        <v>Corporate</v>
      </c>
    </row>
    <row r="936" customFormat="false" ht="14.25" hidden="false" customHeight="false" outlineLevel="0" collapsed="false">
      <c r="A936" s="1" t="n">
        <v>2714</v>
      </c>
      <c r="B936" s="30" t="n">
        <v>43414</v>
      </c>
      <c r="C936" s="30" t="n">
        <v>44058</v>
      </c>
      <c r="D936" s="31" t="n">
        <f aca="false">VLOOKUP(A936,'Order Shipping'!$A$2:$C$2000,3,FALSE())</f>
        <v>95.6</v>
      </c>
      <c r="E936" s="32" t="n">
        <f aca="false">VLOOKUP($A936,'Order Sales'!$A$2:$G$2154,E$1,FALSE())</f>
        <v>47</v>
      </c>
      <c r="F936" s="32" t="n">
        <f aca="false">VLOOKUP($A936,'Order Sales'!$A$2:$G$2154,F$1,FALSE())</f>
        <v>3838.86</v>
      </c>
      <c r="G936" s="32" t="str">
        <f aca="false">VLOOKUP($A936,'Order Sales'!$A$2:$G$2154,G$1,FALSE())</f>
        <v>Consumer</v>
      </c>
    </row>
    <row r="937" customFormat="false" ht="14.25" hidden="false" customHeight="false" outlineLevel="0" collapsed="false">
      <c r="A937" s="1" t="n">
        <v>2452</v>
      </c>
      <c r="B937" s="30" t="n">
        <v>43440</v>
      </c>
      <c r="C937" s="30" t="n">
        <v>44059</v>
      </c>
      <c r="D937" s="31" t="n">
        <f aca="false">VLOOKUP(A937,'Order Shipping'!$A$2:$C$2000,3,FALSE())</f>
        <v>9.6</v>
      </c>
      <c r="E937" s="32" t="n">
        <f aca="false">VLOOKUP($A937,'Order Sales'!$A$2:$G$2154,E$1,FALSE())</f>
        <v>16</v>
      </c>
      <c r="F937" s="32" t="n">
        <f aca="false">VLOOKUP($A937,'Order Sales'!$A$2:$G$2154,F$1,FALSE())</f>
        <v>2990.65</v>
      </c>
      <c r="G937" s="32" t="str">
        <f aca="false">VLOOKUP($A937,'Order Sales'!$A$2:$G$2154,G$1,FALSE())</f>
        <v>Corporate</v>
      </c>
    </row>
    <row r="938" customFormat="false" ht="14.25" hidden="false" customHeight="false" outlineLevel="0" collapsed="false">
      <c r="A938" s="1" t="n">
        <v>1978</v>
      </c>
      <c r="B938" s="30" t="n">
        <v>43280</v>
      </c>
      <c r="C938" s="30" t="n">
        <v>44060</v>
      </c>
      <c r="D938" s="31" t="n">
        <f aca="false">VLOOKUP(A938,'Order Shipping'!$A$2:$C$2000,3,FALSE())</f>
        <v>8.6</v>
      </c>
      <c r="E938" s="32" t="n">
        <f aca="false">VLOOKUP($A938,'Order Sales'!$A$2:$G$2154,E$1,FALSE())</f>
        <v>34</v>
      </c>
      <c r="F938" s="32" t="n">
        <f aca="false">VLOOKUP($A938,'Order Sales'!$A$2:$G$2154,F$1,FALSE())</f>
        <v>3611.58</v>
      </c>
      <c r="G938" s="32" t="str">
        <f aca="false">VLOOKUP($A938,'Order Sales'!$A$2:$G$2154,G$1,FALSE())</f>
        <v>Corporate</v>
      </c>
    </row>
    <row r="939" customFormat="false" ht="14.25" hidden="false" customHeight="false" outlineLevel="0" collapsed="false">
      <c r="A939" s="1" t="n">
        <v>1745</v>
      </c>
      <c r="B939" s="30" t="n">
        <v>43144</v>
      </c>
      <c r="C939" s="30" t="n">
        <v>44061</v>
      </c>
      <c r="D939" s="31" t="n">
        <f aca="false">VLOOKUP(A939,'Order Shipping'!$A$2:$C$2000,3,FALSE())</f>
        <v>6</v>
      </c>
      <c r="E939" s="32" t="n">
        <f aca="false">VLOOKUP($A939,'Order Sales'!$A$2:$G$2154,E$1,FALSE())</f>
        <v>27</v>
      </c>
      <c r="F939" s="32" t="n">
        <f aca="false">VLOOKUP($A939,'Order Sales'!$A$2:$G$2154,F$1,FALSE())</f>
        <v>326.33</v>
      </c>
      <c r="G939" s="32" t="str">
        <f aca="false">VLOOKUP($A939,'Order Sales'!$A$2:$G$2154,G$1,FALSE())</f>
        <v>Corporate</v>
      </c>
    </row>
    <row r="940" customFormat="false" ht="14.25" hidden="false" customHeight="false" outlineLevel="0" collapsed="false">
      <c r="A940" s="1" t="n">
        <v>1390</v>
      </c>
      <c r="B940" s="30" t="n">
        <v>43354</v>
      </c>
      <c r="C940" s="30" t="n">
        <v>44062</v>
      </c>
      <c r="D940" s="31" t="n">
        <f aca="false">VLOOKUP(A940,'Order Shipping'!$A$2:$C$2000,3,FALSE())</f>
        <v>7.9</v>
      </c>
      <c r="E940" s="32" t="n">
        <f aca="false">VLOOKUP($A940,'Order Sales'!$A$2:$G$2154,E$1,FALSE())</f>
        <v>22</v>
      </c>
      <c r="F940" s="32" t="n">
        <f aca="false">VLOOKUP($A940,'Order Sales'!$A$2:$G$2154,F$1,FALSE())</f>
        <v>375.86</v>
      </c>
      <c r="G940" s="32" t="str">
        <f aca="false">VLOOKUP($A940,'Order Sales'!$A$2:$G$2154,G$1,FALSE())</f>
        <v>Consumer</v>
      </c>
    </row>
    <row r="941" customFormat="false" ht="14.25" hidden="false" customHeight="false" outlineLevel="0" collapsed="false">
      <c r="A941" s="1" t="n">
        <v>1659</v>
      </c>
      <c r="B941" s="30" t="n">
        <v>43188</v>
      </c>
      <c r="C941" s="30" t="n">
        <v>44063</v>
      </c>
      <c r="D941" s="31" t="n">
        <f aca="false">VLOOKUP(A941,'Order Shipping'!$A$2:$C$2000,3,FALSE())</f>
        <v>1.2</v>
      </c>
      <c r="E941" s="32" t="n">
        <f aca="false">VLOOKUP($A941,'Order Sales'!$A$2:$G$2154,E$1,FALSE())</f>
        <v>41</v>
      </c>
      <c r="F941" s="32" t="n">
        <f aca="false">VLOOKUP($A941,'Order Sales'!$A$2:$G$2154,F$1,FALSE())</f>
        <v>1288.37</v>
      </c>
      <c r="G941" s="32" t="str">
        <f aca="false">VLOOKUP($A941,'Order Sales'!$A$2:$G$2154,G$1,FALSE())</f>
        <v>Corporate</v>
      </c>
    </row>
    <row r="942" customFormat="false" ht="14.25" hidden="false" customHeight="false" outlineLevel="0" collapsed="false">
      <c r="A942" s="1" t="n">
        <v>2904</v>
      </c>
      <c r="B942" s="30" t="n">
        <v>43166</v>
      </c>
      <c r="C942" s="30" t="n">
        <v>44064</v>
      </c>
      <c r="D942" s="31" t="n">
        <f aca="false">VLOOKUP(A942,'Order Shipping'!$A$2:$C$2000,3,FALSE())</f>
        <v>7.2</v>
      </c>
      <c r="E942" s="32" t="n">
        <f aca="false">VLOOKUP($A942,'Order Sales'!$A$2:$G$2154,E$1,FALSE())</f>
        <v>4</v>
      </c>
      <c r="F942" s="32" t="n">
        <f aca="false">VLOOKUP($A942,'Order Sales'!$A$2:$G$2154,F$1,FALSE())</f>
        <v>24.86</v>
      </c>
      <c r="G942" s="32" t="str">
        <f aca="false">VLOOKUP($A942,'Order Sales'!$A$2:$G$2154,G$1,FALSE())</f>
        <v>Consumer</v>
      </c>
    </row>
    <row r="943" customFormat="false" ht="14.25" hidden="false" customHeight="false" outlineLevel="0" collapsed="false">
      <c r="A943" s="1" t="n">
        <v>2810</v>
      </c>
      <c r="B943" s="30" t="n">
        <v>43451</v>
      </c>
      <c r="C943" s="30" t="n">
        <v>44065</v>
      </c>
      <c r="D943" s="31" t="n">
        <f aca="false">VLOOKUP(A943,'Order Shipping'!$A$2:$C$2000,3,FALSE())</f>
        <v>6.5</v>
      </c>
      <c r="E943" s="32" t="n">
        <f aca="false">VLOOKUP($A943,'Order Sales'!$A$2:$G$2154,E$1,FALSE())</f>
        <v>21</v>
      </c>
      <c r="F943" s="32" t="n">
        <f aca="false">VLOOKUP($A943,'Order Sales'!$A$2:$G$2154,F$1,FALSE())</f>
        <v>173.61</v>
      </c>
      <c r="G943" s="32" t="str">
        <f aca="false">VLOOKUP($A943,'Order Sales'!$A$2:$G$2154,G$1,FALSE())</f>
        <v>Corporate</v>
      </c>
    </row>
    <row r="944" customFormat="false" ht="14.25" hidden="false" customHeight="false" outlineLevel="0" collapsed="false">
      <c r="A944" s="1" t="n">
        <v>2055</v>
      </c>
      <c r="B944" s="30" t="n">
        <v>43303</v>
      </c>
      <c r="C944" s="30" t="n">
        <v>44066</v>
      </c>
      <c r="D944" s="31" t="n">
        <f aca="false">VLOOKUP(A944,'Order Shipping'!$A$2:$C$2000,3,FALSE())</f>
        <v>2.1</v>
      </c>
      <c r="E944" s="32" t="n">
        <f aca="false">VLOOKUP($A944,'Order Sales'!$A$2:$G$2154,E$1,FALSE())</f>
        <v>42</v>
      </c>
      <c r="F944" s="32" t="n">
        <f aca="false">VLOOKUP($A944,'Order Sales'!$A$2:$G$2154,F$1,FALSE())</f>
        <v>1887.05</v>
      </c>
      <c r="G944" s="32" t="str">
        <f aca="false">VLOOKUP($A944,'Order Sales'!$A$2:$G$2154,G$1,FALSE())</f>
        <v>Home Office</v>
      </c>
    </row>
    <row r="945" customFormat="false" ht="14.25" hidden="false" customHeight="false" outlineLevel="0" collapsed="false">
      <c r="A945" s="1" t="n">
        <v>1345</v>
      </c>
      <c r="B945" s="30" t="n">
        <v>43272</v>
      </c>
      <c r="C945" s="30" t="n">
        <v>44067</v>
      </c>
      <c r="D945" s="31" t="n">
        <f aca="false">VLOOKUP(A945,'Order Shipping'!$A$2:$C$2000,3,FALSE())</f>
        <v>26.2</v>
      </c>
      <c r="E945" s="32" t="n">
        <f aca="false">VLOOKUP($A945,'Order Sales'!$A$2:$G$2154,E$1,FALSE())</f>
        <v>24</v>
      </c>
      <c r="F945" s="32" t="n">
        <f aca="false">VLOOKUP($A945,'Order Sales'!$A$2:$G$2154,F$1,FALSE())</f>
        <v>8075.44</v>
      </c>
      <c r="G945" s="32" t="str">
        <f aca="false">VLOOKUP($A945,'Order Sales'!$A$2:$G$2154,G$1,FALSE())</f>
        <v>Home Office</v>
      </c>
    </row>
    <row r="946" customFormat="false" ht="14.25" hidden="false" customHeight="false" outlineLevel="0" collapsed="false">
      <c r="A946" s="1" t="n">
        <v>2070</v>
      </c>
      <c r="B946" s="30" t="n">
        <v>43451</v>
      </c>
      <c r="C946" s="30" t="n">
        <v>44068</v>
      </c>
      <c r="D946" s="31" t="n">
        <f aca="false">VLOOKUP(A946,'Order Shipping'!$A$2:$C$2000,3,FALSE())</f>
        <v>9.6</v>
      </c>
      <c r="E946" s="32" t="n">
        <f aca="false">VLOOKUP($A946,'Order Sales'!$A$2:$G$2154,E$1,FALSE())</f>
        <v>42</v>
      </c>
      <c r="F946" s="32" t="n">
        <f aca="false">VLOOKUP($A946,'Order Sales'!$A$2:$G$2154,F$1,FALSE())</f>
        <v>6076.05</v>
      </c>
      <c r="G946" s="32" t="str">
        <f aca="false">VLOOKUP($A946,'Order Sales'!$A$2:$G$2154,G$1,FALSE())</f>
        <v>Home Office</v>
      </c>
    </row>
    <row r="947" customFormat="false" ht="14.25" hidden="false" customHeight="false" outlineLevel="0" collapsed="false">
      <c r="A947" s="1" t="n">
        <v>2264</v>
      </c>
      <c r="B947" s="30" t="n">
        <v>43193</v>
      </c>
      <c r="C947" s="30" t="n">
        <v>44069</v>
      </c>
      <c r="D947" s="31" t="n">
        <f aca="false">VLOOKUP(A947,'Order Shipping'!$A$2:$C$2000,3,FALSE())</f>
        <v>0.5</v>
      </c>
      <c r="E947" s="32" t="n">
        <f aca="false">VLOOKUP($A947,'Order Sales'!$A$2:$G$2154,E$1,FALSE())</f>
        <v>24</v>
      </c>
      <c r="F947" s="32" t="n">
        <f aca="false">VLOOKUP($A947,'Order Sales'!$A$2:$G$2154,F$1,FALSE())</f>
        <v>132.41</v>
      </c>
      <c r="G947" s="32" t="str">
        <f aca="false">VLOOKUP($A947,'Order Sales'!$A$2:$G$2154,G$1,FALSE())</f>
        <v>Home Office</v>
      </c>
    </row>
    <row r="948" customFormat="false" ht="14.25" hidden="false" customHeight="false" outlineLevel="0" collapsed="false">
      <c r="A948" s="1" t="n">
        <v>1301</v>
      </c>
      <c r="B948" s="30" t="n">
        <v>43439</v>
      </c>
      <c r="C948" s="30" t="n">
        <v>44070</v>
      </c>
      <c r="D948" s="31" t="n">
        <f aca="false">VLOOKUP(A948,'Order Shipping'!$A$2:$C$2000,3,FALSE())</f>
        <v>9.6</v>
      </c>
      <c r="E948" s="32" t="n">
        <f aca="false">VLOOKUP($A948,'Order Sales'!$A$2:$G$2154,E$1,FALSE())</f>
        <v>31</v>
      </c>
      <c r="F948" s="32" t="n">
        <f aca="false">VLOOKUP($A948,'Order Sales'!$A$2:$G$2154,F$1,FALSE())</f>
        <v>3690.05</v>
      </c>
      <c r="G948" s="32" t="str">
        <f aca="false">VLOOKUP($A948,'Order Sales'!$A$2:$G$2154,G$1,FALSE())</f>
        <v>Consumer</v>
      </c>
    </row>
    <row r="949" customFormat="false" ht="14.25" hidden="false" customHeight="false" outlineLevel="0" collapsed="false">
      <c r="A949" s="1" t="n">
        <v>2664</v>
      </c>
      <c r="B949" s="30" t="n">
        <v>43403</v>
      </c>
      <c r="C949" s="30" t="n">
        <v>44071</v>
      </c>
      <c r="D949" s="31" t="n">
        <f aca="false">VLOOKUP(A949,'Order Shipping'!$A$2:$C$2000,3,FALSE())</f>
        <v>1.1</v>
      </c>
      <c r="E949" s="32" t="n">
        <f aca="false">VLOOKUP($A949,'Order Sales'!$A$2:$G$2154,E$1,FALSE())</f>
        <v>21</v>
      </c>
      <c r="F949" s="32" t="n">
        <f aca="false">VLOOKUP($A949,'Order Sales'!$A$2:$G$2154,F$1,FALSE())</f>
        <v>105.8</v>
      </c>
      <c r="G949" s="32" t="str">
        <f aca="false">VLOOKUP($A949,'Order Sales'!$A$2:$G$2154,G$1,FALSE())</f>
        <v>Corporate</v>
      </c>
    </row>
    <row r="950" customFormat="false" ht="14.25" hidden="false" customHeight="false" outlineLevel="0" collapsed="false">
      <c r="A950" s="1" t="n">
        <v>1867</v>
      </c>
      <c r="B950" s="30" t="n">
        <v>43431</v>
      </c>
      <c r="C950" s="30" t="n">
        <v>44072</v>
      </c>
      <c r="D950" s="31" t="n">
        <f aca="false">VLOOKUP(A950,'Order Shipping'!$A$2:$C$2000,3,FALSE())</f>
        <v>6.7</v>
      </c>
      <c r="E950" s="32" t="n">
        <f aca="false">VLOOKUP($A950,'Order Sales'!$A$2:$G$2154,E$1,FALSE())</f>
        <v>4</v>
      </c>
      <c r="F950" s="32" t="n">
        <f aca="false">VLOOKUP($A950,'Order Sales'!$A$2:$G$2154,F$1,FALSE())</f>
        <v>56.1</v>
      </c>
      <c r="G950" s="32" t="str">
        <f aca="false">VLOOKUP($A950,'Order Sales'!$A$2:$G$2154,G$1,FALSE())</f>
        <v>Corporate</v>
      </c>
    </row>
    <row r="951" customFormat="false" ht="14.25" hidden="false" customHeight="false" outlineLevel="0" collapsed="false">
      <c r="A951" s="1" t="n">
        <v>2780</v>
      </c>
      <c r="B951" s="30" t="n">
        <v>43380</v>
      </c>
      <c r="C951" s="30" t="n">
        <v>44073</v>
      </c>
      <c r="D951" s="31" t="n">
        <f aca="false">VLOOKUP(A951,'Order Shipping'!$A$2:$C$2000,3,FALSE())</f>
        <v>1.3</v>
      </c>
      <c r="E951" s="32" t="n">
        <f aca="false">VLOOKUP($A951,'Order Sales'!$A$2:$G$2154,E$1,FALSE())</f>
        <v>22</v>
      </c>
      <c r="F951" s="32" t="n">
        <f aca="false">VLOOKUP($A951,'Order Sales'!$A$2:$G$2154,F$1,FALSE())</f>
        <v>159.22</v>
      </c>
      <c r="G951" s="32" t="str">
        <f aca="false">VLOOKUP($A951,'Order Sales'!$A$2:$G$2154,G$1,FALSE())</f>
        <v>Consumer</v>
      </c>
    </row>
    <row r="952" customFormat="false" ht="14.25" hidden="false" customHeight="false" outlineLevel="0" collapsed="false">
      <c r="A952" s="1" t="n">
        <v>2332</v>
      </c>
      <c r="B952" s="30" t="n">
        <v>43381</v>
      </c>
      <c r="C952" s="30" t="n">
        <v>44074</v>
      </c>
      <c r="D952" s="31" t="n">
        <f aca="false">VLOOKUP(A952,'Order Shipping'!$A$2:$C$2000,3,FALSE())</f>
        <v>5.1</v>
      </c>
      <c r="E952" s="32" t="n">
        <f aca="false">VLOOKUP($A952,'Order Sales'!$A$2:$G$2154,E$1,FALSE())</f>
        <v>1</v>
      </c>
      <c r="F952" s="32" t="n">
        <f aca="false">VLOOKUP($A952,'Order Sales'!$A$2:$G$2154,F$1,FALSE())</f>
        <v>10.43</v>
      </c>
      <c r="G952" s="32" t="str">
        <f aca="false">VLOOKUP($A952,'Order Sales'!$A$2:$G$2154,G$1,FALSE())</f>
        <v>Small Business</v>
      </c>
    </row>
    <row r="953" customFormat="false" ht="14.25" hidden="false" customHeight="false" outlineLevel="0" collapsed="false">
      <c r="A953" s="1" t="n">
        <v>2158</v>
      </c>
      <c r="B953" s="30" t="n">
        <v>43217</v>
      </c>
      <c r="C953" s="30" t="n">
        <v>44075</v>
      </c>
      <c r="D953" s="31" t="n">
        <f aca="false">VLOOKUP(A953,'Order Shipping'!$A$2:$C$2000,3,FALSE())</f>
        <v>7.7</v>
      </c>
      <c r="E953" s="32" t="n">
        <f aca="false">VLOOKUP($A953,'Order Sales'!$A$2:$G$2154,E$1,FALSE())</f>
        <v>11</v>
      </c>
      <c r="F953" s="32" t="n">
        <f aca="false">VLOOKUP($A953,'Order Sales'!$A$2:$G$2154,F$1,FALSE())</f>
        <v>59.37</v>
      </c>
      <c r="G953" s="32" t="str">
        <f aca="false">VLOOKUP($A953,'Order Sales'!$A$2:$G$2154,G$1,FALSE())</f>
        <v>Consumer</v>
      </c>
    </row>
    <row r="954" customFormat="false" ht="14.25" hidden="false" customHeight="false" outlineLevel="0" collapsed="false">
      <c r="A954" s="1" t="n">
        <v>2174</v>
      </c>
      <c r="B954" s="30" t="n">
        <v>43109</v>
      </c>
      <c r="C954" s="30" t="n">
        <v>44076</v>
      </c>
      <c r="D954" s="31" t="n">
        <f aca="false">VLOOKUP(A954,'Order Shipping'!$A$2:$C$2000,3,FALSE())</f>
        <v>1.3</v>
      </c>
      <c r="E954" s="32" t="n">
        <f aca="false">VLOOKUP($A954,'Order Sales'!$A$2:$G$2154,E$1,FALSE())</f>
        <v>39</v>
      </c>
      <c r="F954" s="32" t="n">
        <f aca="false">VLOOKUP($A954,'Order Sales'!$A$2:$G$2154,F$1,FALSE())</f>
        <v>232.46</v>
      </c>
      <c r="G954" s="32" t="str">
        <f aca="false">VLOOKUP($A954,'Order Sales'!$A$2:$G$2154,G$1,FALSE())</f>
        <v>Corporate</v>
      </c>
    </row>
    <row r="955" customFormat="false" ht="14.25" hidden="false" customHeight="false" outlineLevel="0" collapsed="false">
      <c r="A955" s="1" t="n">
        <v>1427</v>
      </c>
      <c r="B955" s="30" t="n">
        <v>43110</v>
      </c>
      <c r="C955" s="30" t="n">
        <v>44077</v>
      </c>
      <c r="D955" s="31" t="n">
        <f aca="false">VLOOKUP(A955,'Order Shipping'!$A$2:$C$2000,3,FALSE())</f>
        <v>4.2</v>
      </c>
      <c r="E955" s="32" t="n">
        <f aca="false">VLOOKUP($A955,'Order Sales'!$A$2:$G$2154,E$1,FALSE())</f>
        <v>21</v>
      </c>
      <c r="F955" s="32" t="n">
        <f aca="false">VLOOKUP($A955,'Order Sales'!$A$2:$G$2154,F$1,FALSE())</f>
        <v>83.05</v>
      </c>
      <c r="G955" s="32" t="str">
        <f aca="false">VLOOKUP($A955,'Order Sales'!$A$2:$G$2154,G$1,FALSE())</f>
        <v>Corporate</v>
      </c>
    </row>
    <row r="956" customFormat="false" ht="14.25" hidden="false" customHeight="false" outlineLevel="0" collapsed="false">
      <c r="A956" s="1" t="n">
        <v>1612</v>
      </c>
      <c r="B956" s="30" t="n">
        <v>43279</v>
      </c>
      <c r="C956" s="30" t="n">
        <v>44078</v>
      </c>
      <c r="D956" s="31" t="n">
        <f aca="false">VLOOKUP(A956,'Order Shipping'!$A$2:$C$2000,3,FALSE())</f>
        <v>5.4</v>
      </c>
      <c r="E956" s="32" t="n">
        <f aca="false">VLOOKUP($A956,'Order Sales'!$A$2:$G$2154,E$1,FALSE())</f>
        <v>10</v>
      </c>
      <c r="F956" s="32" t="n">
        <f aca="false">VLOOKUP($A956,'Order Sales'!$A$2:$G$2154,F$1,FALSE())</f>
        <v>347.02</v>
      </c>
      <c r="G956" s="32" t="str">
        <f aca="false">VLOOKUP($A956,'Order Sales'!$A$2:$G$2154,G$1,FALSE())</f>
        <v>Corporate</v>
      </c>
    </row>
    <row r="957" customFormat="false" ht="14.25" hidden="false" customHeight="false" outlineLevel="0" collapsed="false">
      <c r="A957" s="1" t="n">
        <v>1746</v>
      </c>
      <c r="B957" s="30" t="n">
        <v>43144</v>
      </c>
      <c r="C957" s="30" t="n">
        <v>44079</v>
      </c>
      <c r="D957" s="31" t="n">
        <f aca="false">VLOOKUP(A957,'Order Shipping'!$A$2:$C$2000,3,FALSE())</f>
        <v>1.4</v>
      </c>
      <c r="E957" s="32" t="n">
        <f aca="false">VLOOKUP($A957,'Order Sales'!$A$2:$G$2154,E$1,FALSE())</f>
        <v>34</v>
      </c>
      <c r="F957" s="32" t="n">
        <f aca="false">VLOOKUP($A957,'Order Sales'!$A$2:$G$2154,F$1,FALSE())</f>
        <v>111.54</v>
      </c>
      <c r="G957" s="32" t="str">
        <f aca="false">VLOOKUP($A957,'Order Sales'!$A$2:$G$2154,G$1,FALSE())</f>
        <v>Corporate</v>
      </c>
    </row>
    <row r="958" customFormat="false" ht="14.25" hidden="false" customHeight="false" outlineLevel="0" collapsed="false">
      <c r="A958" s="1" t="n">
        <v>2397</v>
      </c>
      <c r="B958" s="30" t="n">
        <v>43451</v>
      </c>
      <c r="C958" s="30" t="n">
        <v>44080</v>
      </c>
      <c r="D958" s="31" t="n">
        <f aca="false">VLOOKUP(A958,'Order Shipping'!$A$2:$C$2000,3,FALSE())</f>
        <v>15.2</v>
      </c>
      <c r="E958" s="32" t="n">
        <f aca="false">VLOOKUP($A958,'Order Sales'!$A$2:$G$2154,E$1,FALSE())</f>
        <v>36</v>
      </c>
      <c r="F958" s="32" t="n">
        <f aca="false">VLOOKUP($A958,'Order Sales'!$A$2:$G$2154,F$1,FALSE())</f>
        <v>1898.03</v>
      </c>
      <c r="G958" s="32" t="str">
        <f aca="false">VLOOKUP($A958,'Order Sales'!$A$2:$G$2154,G$1,FALSE())</f>
        <v>Corporate</v>
      </c>
    </row>
    <row r="959" customFormat="false" ht="14.25" hidden="false" customHeight="false" outlineLevel="0" collapsed="false">
      <c r="A959" s="1" t="n">
        <v>2532</v>
      </c>
      <c r="B959" s="30" t="n">
        <v>43332</v>
      </c>
      <c r="C959" s="30" t="n">
        <v>44081</v>
      </c>
      <c r="D959" s="31" t="n">
        <f aca="false">VLOOKUP(A959,'Order Shipping'!$A$2:$C$2000,3,FALSE())</f>
        <v>3</v>
      </c>
      <c r="E959" s="32" t="n">
        <f aca="false">VLOOKUP($A959,'Order Sales'!$A$2:$G$2154,E$1,FALSE())</f>
        <v>17</v>
      </c>
      <c r="F959" s="32" t="n">
        <f aca="false">VLOOKUP($A959,'Order Sales'!$A$2:$G$2154,F$1,FALSE())</f>
        <v>3279.18</v>
      </c>
      <c r="G959" s="32" t="str">
        <f aca="false">VLOOKUP($A959,'Order Sales'!$A$2:$G$2154,G$1,FALSE())</f>
        <v>Consumer</v>
      </c>
    </row>
    <row r="960" customFormat="false" ht="14.25" hidden="false" customHeight="false" outlineLevel="0" collapsed="false">
      <c r="A960" s="1" t="n">
        <v>1482</v>
      </c>
      <c r="B960" s="30" t="n">
        <v>43225</v>
      </c>
      <c r="C960" s="30" t="n">
        <v>44082</v>
      </c>
      <c r="D960" s="31" t="n">
        <f aca="false">VLOOKUP(A960,'Order Shipping'!$A$2:$C$2000,3,FALSE())</f>
        <v>15.4</v>
      </c>
      <c r="E960" s="32" t="n">
        <f aca="false">VLOOKUP($A960,'Order Sales'!$A$2:$G$2154,E$1,FALSE())</f>
        <v>38</v>
      </c>
      <c r="F960" s="32" t="n">
        <f aca="false">VLOOKUP($A960,'Order Sales'!$A$2:$G$2154,F$1,FALSE())</f>
        <v>1046.89</v>
      </c>
      <c r="G960" s="32" t="str">
        <f aca="false">VLOOKUP($A960,'Order Sales'!$A$2:$G$2154,G$1,FALSE())</f>
        <v>Corporate</v>
      </c>
    </row>
    <row r="961" customFormat="false" ht="14.25" hidden="false" customHeight="false" outlineLevel="0" collapsed="false">
      <c r="A961" s="1" t="n">
        <v>1507</v>
      </c>
      <c r="B961" s="30" t="n">
        <v>43336</v>
      </c>
      <c r="C961" s="30" t="n">
        <v>44083</v>
      </c>
      <c r="D961" s="31" t="n">
        <f aca="false">VLOOKUP(A961,'Order Shipping'!$A$2:$C$2000,3,FALSE())</f>
        <v>64.4</v>
      </c>
      <c r="E961" s="32" t="n">
        <f aca="false">VLOOKUP($A961,'Order Sales'!$A$2:$G$2154,E$1,FALSE())</f>
        <v>34</v>
      </c>
      <c r="F961" s="32" t="n">
        <f aca="false">VLOOKUP($A961,'Order Sales'!$A$2:$G$2154,F$1,FALSE())</f>
        <v>9181.94</v>
      </c>
      <c r="G961" s="32" t="str">
        <f aca="false">VLOOKUP($A961,'Order Sales'!$A$2:$G$2154,G$1,FALSE())</f>
        <v>Consumer</v>
      </c>
    </row>
    <row r="962" customFormat="false" ht="14.25" hidden="false" customHeight="false" outlineLevel="0" collapsed="false">
      <c r="A962" s="1" t="n">
        <v>2603</v>
      </c>
      <c r="B962" s="30" t="n">
        <v>43324</v>
      </c>
      <c r="C962" s="30" t="n">
        <v>44084</v>
      </c>
      <c r="D962" s="31" t="n">
        <f aca="false">VLOOKUP(A962,'Order Shipping'!$A$2:$C$2000,3,FALSE())</f>
        <v>3.7</v>
      </c>
      <c r="E962" s="32" t="n">
        <f aca="false">VLOOKUP($A962,'Order Sales'!$A$2:$G$2154,E$1,FALSE())</f>
        <v>13</v>
      </c>
      <c r="F962" s="32" t="n">
        <f aca="false">VLOOKUP($A962,'Order Sales'!$A$2:$G$2154,F$1,FALSE())</f>
        <v>438.67</v>
      </c>
      <c r="G962" s="32" t="str">
        <f aca="false">VLOOKUP($A962,'Order Sales'!$A$2:$G$2154,G$1,FALSE())</f>
        <v>Corporate</v>
      </c>
    </row>
    <row r="963" customFormat="false" ht="14.25" hidden="false" customHeight="false" outlineLevel="0" collapsed="false">
      <c r="A963" s="1" t="n">
        <v>2100</v>
      </c>
      <c r="B963" s="30" t="n">
        <v>43449</v>
      </c>
      <c r="C963" s="30" t="n">
        <v>44085</v>
      </c>
      <c r="D963" s="31" t="n">
        <f aca="false">VLOOKUP(A963,'Order Shipping'!$A$2:$C$2000,3,FALSE())</f>
        <v>2.7</v>
      </c>
      <c r="E963" s="32" t="n">
        <f aca="false">VLOOKUP($A963,'Order Sales'!$A$2:$G$2154,E$1,FALSE())</f>
        <v>22</v>
      </c>
      <c r="F963" s="32" t="n">
        <f aca="false">VLOOKUP($A963,'Order Sales'!$A$2:$G$2154,F$1,FALSE())</f>
        <v>102.79</v>
      </c>
      <c r="G963" s="32" t="str">
        <f aca="false">VLOOKUP($A963,'Order Sales'!$A$2:$G$2154,G$1,FALSE())</f>
        <v>Corporate</v>
      </c>
    </row>
    <row r="964" customFormat="false" ht="14.25" hidden="false" customHeight="false" outlineLevel="0" collapsed="false">
      <c r="A964" s="1" t="n">
        <v>2524</v>
      </c>
      <c r="B964" s="30" t="n">
        <v>43107</v>
      </c>
      <c r="C964" s="30" t="n">
        <v>44086</v>
      </c>
      <c r="D964" s="31" t="n">
        <f aca="false">VLOOKUP(A964,'Order Shipping'!$A$2:$C$2000,3,FALSE())</f>
        <v>2.7</v>
      </c>
      <c r="E964" s="32" t="n">
        <f aca="false">VLOOKUP($A964,'Order Sales'!$A$2:$G$2154,E$1,FALSE())</f>
        <v>12</v>
      </c>
      <c r="F964" s="32" t="n">
        <f aca="false">VLOOKUP($A964,'Order Sales'!$A$2:$G$2154,F$1,FALSE())</f>
        <v>1304.49</v>
      </c>
      <c r="G964" s="32" t="str">
        <f aca="false">VLOOKUP($A964,'Order Sales'!$A$2:$G$2154,G$1,FALSE())</f>
        <v>Consumer</v>
      </c>
    </row>
    <row r="965" customFormat="false" ht="14.25" hidden="false" customHeight="false" outlineLevel="0" collapsed="false">
      <c r="A965" s="1" t="n">
        <v>1515</v>
      </c>
      <c r="B965" s="30" t="n">
        <v>43320</v>
      </c>
      <c r="C965" s="30" t="n">
        <v>44087</v>
      </c>
      <c r="D965" s="31" t="n">
        <f aca="false">VLOOKUP(A965,'Order Shipping'!$A$2:$C$2000,3,FALSE())</f>
        <v>3.6</v>
      </c>
      <c r="E965" s="32" t="n">
        <f aca="false">VLOOKUP($A965,'Order Sales'!$A$2:$G$2154,E$1,FALSE())</f>
        <v>2</v>
      </c>
      <c r="F965" s="32" t="n">
        <f aca="false">VLOOKUP($A965,'Order Sales'!$A$2:$G$2154,F$1,FALSE())</f>
        <v>15.4</v>
      </c>
      <c r="G965" s="32" t="str">
        <f aca="false">VLOOKUP($A965,'Order Sales'!$A$2:$G$2154,G$1,FALSE())</f>
        <v>Small Business</v>
      </c>
    </row>
    <row r="966" customFormat="false" ht="14.25" hidden="false" customHeight="false" outlineLevel="0" collapsed="false">
      <c r="A966" s="1" t="n">
        <v>1874</v>
      </c>
      <c r="B966" s="30" t="n">
        <v>43210</v>
      </c>
      <c r="C966" s="30" t="n">
        <v>44088</v>
      </c>
      <c r="D966" s="31" t="n">
        <f aca="false">VLOOKUP(A966,'Order Shipping'!$A$2:$C$2000,3,FALSE())</f>
        <v>11.2</v>
      </c>
      <c r="E966" s="32" t="n">
        <f aca="false">VLOOKUP($A966,'Order Sales'!$A$2:$G$2154,E$1,FALSE())</f>
        <v>12</v>
      </c>
      <c r="F966" s="32" t="n">
        <f aca="false">VLOOKUP($A966,'Order Sales'!$A$2:$G$2154,F$1,FALSE())</f>
        <v>280.44</v>
      </c>
      <c r="G966" s="32" t="str">
        <f aca="false">VLOOKUP($A966,'Order Sales'!$A$2:$G$2154,G$1,FALSE())</f>
        <v>Small Business</v>
      </c>
    </row>
    <row r="967" customFormat="false" ht="14.25" hidden="false" customHeight="false" outlineLevel="0" collapsed="false">
      <c r="A967" s="1" t="n">
        <v>1639</v>
      </c>
      <c r="B967" s="30" t="n">
        <v>43378</v>
      </c>
      <c r="C967" s="30" t="n">
        <v>44089</v>
      </c>
      <c r="D967" s="31" t="n">
        <f aca="false">VLOOKUP(A967,'Order Shipping'!$A$2:$C$2000,3,FALSE())</f>
        <v>30.6</v>
      </c>
      <c r="E967" s="32" t="n">
        <f aca="false">VLOOKUP($A967,'Order Sales'!$A$2:$G$2154,E$1,FALSE())</f>
        <v>38</v>
      </c>
      <c r="F967" s="32" t="n">
        <f aca="false">VLOOKUP($A967,'Order Sales'!$A$2:$G$2154,F$1,FALSE())</f>
        <v>5723.65</v>
      </c>
      <c r="G967" s="32" t="str">
        <f aca="false">VLOOKUP($A967,'Order Sales'!$A$2:$G$2154,G$1,FALSE())</f>
        <v>Consumer</v>
      </c>
    </row>
    <row r="968" customFormat="false" ht="14.25" hidden="false" customHeight="false" outlineLevel="0" collapsed="false">
      <c r="A968" s="1" t="n">
        <v>2589</v>
      </c>
      <c r="B968" s="30" t="n">
        <v>43209</v>
      </c>
      <c r="C968" s="30" t="n">
        <v>44090</v>
      </c>
      <c r="D968" s="31" t="n">
        <f aca="false">VLOOKUP(A968,'Order Shipping'!$A$2:$C$2000,3,FALSE())</f>
        <v>15.3</v>
      </c>
      <c r="E968" s="32" t="n">
        <f aca="false">VLOOKUP($A968,'Order Sales'!$A$2:$G$2154,E$1,FALSE())</f>
        <v>25</v>
      </c>
      <c r="F968" s="32" t="n">
        <f aca="false">VLOOKUP($A968,'Order Sales'!$A$2:$G$2154,F$1,FALSE())</f>
        <v>1484.4</v>
      </c>
      <c r="G968" s="32" t="str">
        <f aca="false">VLOOKUP($A968,'Order Sales'!$A$2:$G$2154,G$1,FALSE())</f>
        <v>Home Office</v>
      </c>
    </row>
    <row r="969" customFormat="false" ht="14.25" hidden="false" customHeight="false" outlineLevel="0" collapsed="false">
      <c r="A969" s="1" t="n">
        <v>2758</v>
      </c>
      <c r="B969" s="30" t="n">
        <v>43365</v>
      </c>
      <c r="C969" s="30" t="n">
        <v>44091</v>
      </c>
      <c r="D969" s="31" t="n">
        <f aca="false">VLOOKUP(A969,'Order Shipping'!$A$2:$C$2000,3,FALSE())</f>
        <v>3.6</v>
      </c>
      <c r="E969" s="32" t="n">
        <f aca="false">VLOOKUP($A969,'Order Sales'!$A$2:$G$2154,E$1,FALSE())</f>
        <v>37</v>
      </c>
      <c r="F969" s="32" t="n">
        <f aca="false">VLOOKUP($A969,'Order Sales'!$A$2:$G$2154,F$1,FALSE())</f>
        <v>215.22</v>
      </c>
      <c r="G969" s="32" t="str">
        <f aca="false">VLOOKUP($A969,'Order Sales'!$A$2:$G$2154,G$1,FALSE())</f>
        <v>Home Office</v>
      </c>
    </row>
    <row r="970" customFormat="false" ht="14.25" hidden="false" customHeight="false" outlineLevel="0" collapsed="false">
      <c r="A970" s="1" t="n">
        <v>1894</v>
      </c>
      <c r="B970" s="30" t="n">
        <v>43434</v>
      </c>
      <c r="C970" s="30" t="n">
        <v>44092</v>
      </c>
      <c r="D970" s="31" t="n">
        <f aca="false">VLOOKUP(A970,'Order Shipping'!$A$2:$C$2000,3,FALSE())</f>
        <v>1.6</v>
      </c>
      <c r="E970" s="32" t="n">
        <f aca="false">VLOOKUP($A970,'Order Sales'!$A$2:$G$2154,E$1,FALSE())</f>
        <v>10</v>
      </c>
      <c r="F970" s="32" t="n">
        <f aca="false">VLOOKUP($A970,'Order Sales'!$A$2:$G$2154,F$1,FALSE())</f>
        <v>68.68</v>
      </c>
      <c r="G970" s="32" t="str">
        <f aca="false">VLOOKUP($A970,'Order Sales'!$A$2:$G$2154,G$1,FALSE())</f>
        <v>Home Office</v>
      </c>
    </row>
    <row r="971" customFormat="false" ht="14.25" hidden="false" customHeight="false" outlineLevel="0" collapsed="false">
      <c r="A971" s="1" t="n">
        <v>2717</v>
      </c>
      <c r="B971" s="30" t="n">
        <v>43343</v>
      </c>
      <c r="C971" s="30" t="n">
        <v>44093</v>
      </c>
      <c r="D971" s="31" t="n">
        <f aca="false">VLOOKUP(A971,'Order Shipping'!$A$2:$C$2000,3,FALSE())</f>
        <v>3.9</v>
      </c>
      <c r="E971" s="32" t="n">
        <f aca="false">VLOOKUP($A971,'Order Sales'!$A$2:$G$2154,E$1,FALSE())</f>
        <v>24</v>
      </c>
      <c r="F971" s="32" t="n">
        <f aca="false">VLOOKUP($A971,'Order Sales'!$A$2:$G$2154,F$1,FALSE())</f>
        <v>220.78</v>
      </c>
      <c r="G971" s="32" t="str">
        <f aca="false">VLOOKUP($A971,'Order Sales'!$A$2:$G$2154,G$1,FALSE())</f>
        <v>Home Office</v>
      </c>
    </row>
    <row r="972" customFormat="false" ht="14.25" hidden="false" customHeight="false" outlineLevel="0" collapsed="false">
      <c r="A972" s="1" t="n">
        <v>2967</v>
      </c>
      <c r="B972" s="30" t="n">
        <v>43408</v>
      </c>
      <c r="C972" s="30" t="n">
        <v>44094</v>
      </c>
      <c r="D972" s="31" t="n">
        <f aca="false">VLOOKUP(A972,'Order Shipping'!$A$2:$C$2000,3,FALSE())</f>
        <v>74.5</v>
      </c>
      <c r="E972" s="32" t="n">
        <f aca="false">VLOOKUP($A972,'Order Sales'!$A$2:$G$2154,E$1,FALSE())</f>
        <v>14</v>
      </c>
      <c r="F972" s="32" t="n">
        <f aca="false">VLOOKUP($A972,'Order Sales'!$A$2:$G$2154,F$1,FALSE())</f>
        <v>3235.39</v>
      </c>
      <c r="G972" s="32" t="str">
        <f aca="false">VLOOKUP($A972,'Order Sales'!$A$2:$G$2154,G$1,FALSE())</f>
        <v>Small Business</v>
      </c>
    </row>
    <row r="973" customFormat="false" ht="14.25" hidden="false" customHeight="false" outlineLevel="0" collapsed="false">
      <c r="A973" s="1" t="n">
        <v>1051</v>
      </c>
      <c r="B973" s="30" t="n">
        <v>43238</v>
      </c>
      <c r="C973" s="30" t="n">
        <v>44095</v>
      </c>
      <c r="D973" s="31" t="n">
        <f aca="false">VLOOKUP(A973,'Order Shipping'!$A$2:$C$2000,3,FALSE())</f>
        <v>1.6</v>
      </c>
      <c r="E973" s="32" t="n">
        <f aca="false">VLOOKUP($A973,'Order Sales'!$A$2:$G$2154,E$1,FALSE())</f>
        <v>50</v>
      </c>
      <c r="F973" s="32" t="n">
        <f aca="false">VLOOKUP($A973,'Order Sales'!$A$2:$G$2154,F$1,FALSE())</f>
        <v>337.07</v>
      </c>
      <c r="G973" s="32" t="str">
        <f aca="false">VLOOKUP($A973,'Order Sales'!$A$2:$G$2154,G$1,FALSE())</f>
        <v>Corporate</v>
      </c>
    </row>
    <row r="974" customFormat="false" ht="14.25" hidden="false" customHeight="false" outlineLevel="0" collapsed="false">
      <c r="A974" s="1" t="n">
        <v>2842</v>
      </c>
      <c r="B974" s="30" t="n">
        <v>43227</v>
      </c>
      <c r="C974" s="30" t="n">
        <v>44096</v>
      </c>
      <c r="D974" s="31" t="n">
        <f aca="false">VLOOKUP(A974,'Order Shipping'!$A$2:$C$2000,3,FALSE())</f>
        <v>4.7</v>
      </c>
      <c r="E974" s="32" t="n">
        <f aca="false">VLOOKUP($A974,'Order Sales'!$A$2:$G$2154,E$1,FALSE())</f>
        <v>29</v>
      </c>
      <c r="F974" s="32" t="n">
        <f aca="false">VLOOKUP($A974,'Order Sales'!$A$2:$G$2154,F$1,FALSE())</f>
        <v>197.67</v>
      </c>
      <c r="G974" s="32" t="str">
        <f aca="false">VLOOKUP($A974,'Order Sales'!$A$2:$G$2154,G$1,FALSE())</f>
        <v>Consumer</v>
      </c>
    </row>
    <row r="975" customFormat="false" ht="14.25" hidden="false" customHeight="false" outlineLevel="0" collapsed="false">
      <c r="A975" s="1" t="n">
        <v>2856</v>
      </c>
      <c r="B975" s="30" t="n">
        <v>43422</v>
      </c>
      <c r="C975" s="30" t="n">
        <v>44097</v>
      </c>
      <c r="D975" s="31" t="n">
        <f aca="false">VLOOKUP(A975,'Order Shipping'!$A$2:$C$2000,3,FALSE())</f>
        <v>28.4</v>
      </c>
      <c r="E975" s="32" t="n">
        <f aca="false">VLOOKUP($A975,'Order Sales'!$A$2:$G$2154,E$1,FALSE())</f>
        <v>48</v>
      </c>
      <c r="F975" s="32" t="n">
        <f aca="false">VLOOKUP($A975,'Order Sales'!$A$2:$G$2154,F$1,FALSE())</f>
        <v>16695.14</v>
      </c>
      <c r="G975" s="32" t="str">
        <f aca="false">VLOOKUP($A975,'Order Sales'!$A$2:$G$2154,G$1,FALSE())</f>
        <v>Corporate</v>
      </c>
    </row>
    <row r="976" customFormat="false" ht="14.25" hidden="false" customHeight="false" outlineLevel="0" collapsed="false">
      <c r="A976" s="1" t="n">
        <v>2676</v>
      </c>
      <c r="B976" s="30" t="n">
        <v>43278</v>
      </c>
      <c r="C976" s="30" t="n">
        <v>44098</v>
      </c>
      <c r="D976" s="31" t="n">
        <f aca="false">VLOOKUP(A976,'Order Shipping'!$A$2:$C$2000,3,FALSE())</f>
        <v>6.2</v>
      </c>
      <c r="E976" s="32" t="n">
        <f aca="false">VLOOKUP($A976,'Order Sales'!$A$2:$G$2154,E$1,FALSE())</f>
        <v>15</v>
      </c>
      <c r="F976" s="32" t="n">
        <f aca="false">VLOOKUP($A976,'Order Sales'!$A$2:$G$2154,F$1,FALSE())</f>
        <v>245.06</v>
      </c>
      <c r="G976" s="32" t="str">
        <f aca="false">VLOOKUP($A976,'Order Sales'!$A$2:$G$2154,G$1,FALSE())</f>
        <v>Home Office</v>
      </c>
    </row>
    <row r="977" customFormat="false" ht="14.25" hidden="false" customHeight="false" outlineLevel="0" collapsed="false">
      <c r="A977" s="1" t="n">
        <v>1183</v>
      </c>
      <c r="B977" s="30" t="n">
        <v>43145</v>
      </c>
      <c r="C977" s="30" t="n">
        <v>44099</v>
      </c>
      <c r="D977" s="31" t="n">
        <f aca="false">VLOOKUP(A977,'Order Shipping'!$A$2:$C$2000,3,FALSE())</f>
        <v>2.4</v>
      </c>
      <c r="E977" s="32" t="n">
        <f aca="false">VLOOKUP($A977,'Order Sales'!$A$2:$G$2154,E$1,FALSE())</f>
        <v>23</v>
      </c>
      <c r="F977" s="32" t="n">
        <f aca="false">VLOOKUP($A977,'Order Sales'!$A$2:$G$2154,F$1,FALSE())</f>
        <v>147.84</v>
      </c>
      <c r="G977" s="32" t="str">
        <f aca="false">VLOOKUP($A977,'Order Sales'!$A$2:$G$2154,G$1,FALSE())</f>
        <v>Small Business</v>
      </c>
    </row>
    <row r="978" customFormat="false" ht="14.25" hidden="false" customHeight="false" outlineLevel="0" collapsed="false">
      <c r="A978" s="1" t="n">
        <v>1646</v>
      </c>
      <c r="B978" s="30" t="n">
        <v>43170</v>
      </c>
      <c r="C978" s="30" t="n">
        <v>44100</v>
      </c>
      <c r="D978" s="31" t="n">
        <f aca="false">VLOOKUP(A978,'Order Shipping'!$A$2:$C$2000,3,FALSE())</f>
        <v>7</v>
      </c>
      <c r="E978" s="32" t="n">
        <f aca="false">VLOOKUP($A978,'Order Sales'!$A$2:$G$2154,E$1,FALSE())</f>
        <v>26</v>
      </c>
      <c r="F978" s="32" t="n">
        <f aca="false">VLOOKUP($A978,'Order Sales'!$A$2:$G$2154,F$1,FALSE())</f>
        <v>624.41</v>
      </c>
      <c r="G978" s="32" t="str">
        <f aca="false">VLOOKUP($A978,'Order Sales'!$A$2:$G$2154,G$1,FALSE())</f>
        <v>Corporate</v>
      </c>
    </row>
    <row r="979" customFormat="false" ht="14.25" hidden="false" customHeight="false" outlineLevel="0" collapsed="false">
      <c r="A979" s="1" t="n">
        <v>2404</v>
      </c>
      <c r="B979" s="30" t="n">
        <v>43444</v>
      </c>
      <c r="C979" s="30" t="n">
        <v>44101</v>
      </c>
      <c r="D979" s="31" t="n">
        <f aca="false">VLOOKUP(A979,'Order Shipping'!$A$2:$C$2000,3,FALSE())</f>
        <v>6.7</v>
      </c>
      <c r="E979" s="32" t="n">
        <f aca="false">VLOOKUP($A979,'Order Sales'!$A$2:$G$2154,E$1,FALSE())</f>
        <v>36</v>
      </c>
      <c r="F979" s="32" t="n">
        <f aca="false">VLOOKUP($A979,'Order Sales'!$A$2:$G$2154,F$1,FALSE())</f>
        <v>253.47</v>
      </c>
      <c r="G979" s="32" t="str">
        <f aca="false">VLOOKUP($A979,'Order Sales'!$A$2:$G$2154,G$1,FALSE())</f>
        <v>Consumer</v>
      </c>
    </row>
    <row r="980" customFormat="false" ht="14.25" hidden="false" customHeight="false" outlineLevel="0" collapsed="false">
      <c r="A980" s="1" t="n">
        <v>2421</v>
      </c>
      <c r="B980" s="30" t="n">
        <v>43385</v>
      </c>
      <c r="C980" s="30" t="n">
        <v>44102</v>
      </c>
      <c r="D980" s="31" t="n">
        <f aca="false">VLOOKUP(A980,'Order Shipping'!$A$2:$C$2000,3,FALSE())</f>
        <v>2.4</v>
      </c>
      <c r="E980" s="32" t="n">
        <f aca="false">VLOOKUP($A980,'Order Sales'!$A$2:$G$2154,E$1,FALSE())</f>
        <v>26</v>
      </c>
      <c r="F980" s="32" t="n">
        <f aca="false">VLOOKUP($A980,'Order Sales'!$A$2:$G$2154,F$1,FALSE())</f>
        <v>258.85</v>
      </c>
      <c r="G980" s="32" t="str">
        <f aca="false">VLOOKUP($A980,'Order Sales'!$A$2:$G$2154,G$1,FALSE())</f>
        <v>Small Business</v>
      </c>
    </row>
    <row r="981" customFormat="false" ht="14.25" hidden="false" customHeight="false" outlineLevel="0" collapsed="false">
      <c r="A981" s="1" t="n">
        <v>2096</v>
      </c>
      <c r="B981" s="30" t="n">
        <v>43449</v>
      </c>
      <c r="C981" s="30" t="n">
        <v>44103</v>
      </c>
      <c r="D981" s="31" t="n">
        <f aca="false">VLOOKUP(A981,'Order Shipping'!$A$2:$C$2000,3,FALSE())</f>
        <v>9.6</v>
      </c>
      <c r="E981" s="32" t="n">
        <f aca="false">VLOOKUP($A981,'Order Sales'!$A$2:$G$2154,E$1,FALSE())</f>
        <v>31</v>
      </c>
      <c r="F981" s="32" t="n">
        <f aca="false">VLOOKUP($A981,'Order Sales'!$A$2:$G$2154,F$1,FALSE())</f>
        <v>1454.92</v>
      </c>
      <c r="G981" s="32" t="str">
        <f aca="false">VLOOKUP($A981,'Order Sales'!$A$2:$G$2154,G$1,FALSE())</f>
        <v>Consumer</v>
      </c>
    </row>
    <row r="982" customFormat="false" ht="14.25" hidden="false" customHeight="false" outlineLevel="0" collapsed="false">
      <c r="A982" s="1" t="n">
        <v>2519</v>
      </c>
      <c r="B982" s="30" t="n">
        <v>43305</v>
      </c>
      <c r="C982" s="30" t="n">
        <v>44104</v>
      </c>
      <c r="D982" s="31" t="n">
        <f aca="false">VLOOKUP(A982,'Order Shipping'!$A$2:$C$2000,3,FALSE())</f>
        <v>2.1</v>
      </c>
      <c r="E982" s="32" t="n">
        <f aca="false">VLOOKUP($A982,'Order Sales'!$A$2:$G$2154,E$1,FALSE())</f>
        <v>42</v>
      </c>
      <c r="F982" s="32" t="n">
        <f aca="false">VLOOKUP($A982,'Order Sales'!$A$2:$G$2154,F$1,FALSE())</f>
        <v>1331.09</v>
      </c>
      <c r="G982" s="32" t="str">
        <f aca="false">VLOOKUP($A982,'Order Sales'!$A$2:$G$2154,G$1,FALSE())</f>
        <v>Consumer</v>
      </c>
    </row>
    <row r="983" customFormat="false" ht="14.25" hidden="false" customHeight="false" outlineLevel="0" collapsed="false">
      <c r="A983" s="1" t="n">
        <v>2549</v>
      </c>
      <c r="B983" s="30" t="n">
        <v>43116</v>
      </c>
      <c r="C983" s="30" t="n">
        <v>44105</v>
      </c>
      <c r="D983" s="31" t="n">
        <f aca="false">VLOOKUP(A983,'Order Shipping'!$A$2:$C$2000,3,FALSE())</f>
        <v>0.5</v>
      </c>
      <c r="E983" s="32" t="n">
        <f aca="false">VLOOKUP($A983,'Order Sales'!$A$2:$G$2154,E$1,FALSE())</f>
        <v>34</v>
      </c>
      <c r="F983" s="32" t="n">
        <f aca="false">VLOOKUP($A983,'Order Sales'!$A$2:$G$2154,F$1,FALSE())</f>
        <v>231.44</v>
      </c>
      <c r="G983" s="32" t="str">
        <f aca="false">VLOOKUP($A983,'Order Sales'!$A$2:$G$2154,G$1,FALSE())</f>
        <v>Corporate</v>
      </c>
    </row>
    <row r="984" customFormat="false" ht="14.25" hidden="false" customHeight="false" outlineLevel="0" collapsed="false">
      <c r="A984" s="1" t="n">
        <v>1906</v>
      </c>
      <c r="B984" s="30" t="n">
        <v>43390</v>
      </c>
      <c r="C984" s="30" t="n">
        <v>44106</v>
      </c>
      <c r="D984" s="31" t="n">
        <f aca="false">VLOOKUP(A984,'Order Shipping'!$A$2:$C$2000,3,FALSE())</f>
        <v>37.5</v>
      </c>
      <c r="E984" s="32" t="n">
        <f aca="false">VLOOKUP($A984,'Order Sales'!$A$2:$G$2154,E$1,FALSE())</f>
        <v>6</v>
      </c>
      <c r="F984" s="32" t="n">
        <f aca="false">VLOOKUP($A984,'Order Sales'!$A$2:$G$2154,F$1,FALSE())</f>
        <v>691.37</v>
      </c>
      <c r="G984" s="32" t="str">
        <f aca="false">VLOOKUP($A984,'Order Sales'!$A$2:$G$2154,G$1,FALSE())</f>
        <v>Small Business</v>
      </c>
    </row>
    <row r="985" customFormat="false" ht="14.25" hidden="false" customHeight="false" outlineLevel="0" collapsed="false">
      <c r="A985" s="1" t="n">
        <v>1953</v>
      </c>
      <c r="B985" s="30" t="n">
        <v>43140</v>
      </c>
      <c r="C985" s="30" t="n">
        <v>44107</v>
      </c>
      <c r="D985" s="31" t="n">
        <f aca="false">VLOOKUP(A985,'Order Shipping'!$A$2:$C$2000,3,FALSE())</f>
        <v>5.4</v>
      </c>
      <c r="E985" s="32" t="n">
        <f aca="false">VLOOKUP($A985,'Order Sales'!$A$2:$G$2154,E$1,FALSE())</f>
        <v>48</v>
      </c>
      <c r="F985" s="32" t="n">
        <f aca="false">VLOOKUP($A985,'Order Sales'!$A$2:$G$2154,F$1,FALSE())</f>
        <v>2326.63</v>
      </c>
      <c r="G985" s="32" t="str">
        <f aca="false">VLOOKUP($A985,'Order Sales'!$A$2:$G$2154,G$1,FALSE())</f>
        <v>Small Business</v>
      </c>
    </row>
    <row r="986" customFormat="false" ht="14.25" hidden="false" customHeight="false" outlineLevel="0" collapsed="false">
      <c r="A986" s="1" t="n">
        <v>2634</v>
      </c>
      <c r="B986" s="30" t="n">
        <v>43244</v>
      </c>
      <c r="C986" s="30" t="n">
        <v>44108</v>
      </c>
      <c r="D986" s="31" t="n">
        <f aca="false">VLOOKUP(A986,'Order Shipping'!$A$2:$C$2000,3,FALSE())</f>
        <v>4.9</v>
      </c>
      <c r="E986" s="32" t="n">
        <f aca="false">VLOOKUP($A986,'Order Sales'!$A$2:$G$2154,E$1,FALSE())</f>
        <v>13</v>
      </c>
      <c r="F986" s="32" t="n">
        <f aca="false">VLOOKUP($A986,'Order Sales'!$A$2:$G$2154,F$1,FALSE())</f>
        <v>35.43</v>
      </c>
      <c r="G986" s="32" t="str">
        <f aca="false">VLOOKUP($A986,'Order Sales'!$A$2:$G$2154,G$1,FALSE())</f>
        <v>Home Office</v>
      </c>
    </row>
    <row r="987" customFormat="false" ht="14.25" hidden="false" customHeight="false" outlineLevel="0" collapsed="false">
      <c r="A987" s="1" t="n">
        <v>1484</v>
      </c>
      <c r="B987" s="30" t="n">
        <v>43247</v>
      </c>
      <c r="C987" s="30" t="n">
        <v>44109</v>
      </c>
      <c r="D987" s="31" t="n">
        <f aca="false">VLOOKUP(A987,'Order Shipping'!$A$2:$C$2000,3,FALSE())</f>
        <v>38.3</v>
      </c>
      <c r="E987" s="32" t="n">
        <f aca="false">VLOOKUP($A987,'Order Sales'!$A$2:$G$2154,E$1,FALSE())</f>
        <v>6</v>
      </c>
      <c r="F987" s="32" t="n">
        <f aca="false">VLOOKUP($A987,'Order Sales'!$A$2:$G$2154,F$1,FALSE())</f>
        <v>693.12</v>
      </c>
      <c r="G987" s="32" t="str">
        <f aca="false">VLOOKUP($A987,'Order Sales'!$A$2:$G$2154,G$1,FALSE())</f>
        <v>Small Business</v>
      </c>
    </row>
    <row r="988" customFormat="false" ht="14.25" hidden="false" customHeight="false" outlineLevel="0" collapsed="false">
      <c r="A988" s="1" t="n">
        <v>2058</v>
      </c>
      <c r="B988" s="30" t="n">
        <v>43331</v>
      </c>
      <c r="C988" s="30" t="n">
        <v>44110</v>
      </c>
      <c r="D988" s="31" t="n">
        <f aca="false">VLOOKUP(A988,'Order Shipping'!$A$2:$C$2000,3,FALSE())</f>
        <v>2.5</v>
      </c>
      <c r="E988" s="32" t="n">
        <f aca="false">VLOOKUP($A988,'Order Sales'!$A$2:$G$2154,E$1,FALSE())</f>
        <v>8</v>
      </c>
      <c r="F988" s="32" t="n">
        <f aca="false">VLOOKUP($A988,'Order Sales'!$A$2:$G$2154,F$1,FALSE())</f>
        <v>73.77</v>
      </c>
      <c r="G988" s="32" t="str">
        <f aca="false">VLOOKUP($A988,'Order Sales'!$A$2:$G$2154,G$1,FALSE())</f>
        <v>Home Office</v>
      </c>
    </row>
    <row r="989" customFormat="false" ht="14.25" hidden="false" customHeight="false" outlineLevel="0" collapsed="false">
      <c r="A989" s="1" t="n">
        <v>2771</v>
      </c>
      <c r="B989" s="30" t="n">
        <v>43411</v>
      </c>
      <c r="C989" s="30" t="n">
        <v>44111</v>
      </c>
      <c r="D989" s="31" t="n">
        <f aca="false">VLOOKUP(A989,'Order Shipping'!$A$2:$C$2000,3,FALSE())</f>
        <v>3.5</v>
      </c>
      <c r="E989" s="32" t="n">
        <f aca="false">VLOOKUP($A989,'Order Sales'!$A$2:$G$2154,E$1,FALSE())</f>
        <v>24</v>
      </c>
      <c r="F989" s="32" t="n">
        <f aca="false">VLOOKUP($A989,'Order Sales'!$A$2:$G$2154,F$1,FALSE())</f>
        <v>1190.01</v>
      </c>
      <c r="G989" s="32" t="str">
        <f aca="false">VLOOKUP($A989,'Order Sales'!$A$2:$G$2154,G$1,FALSE())</f>
        <v>Corporate</v>
      </c>
    </row>
    <row r="990" customFormat="false" ht="14.25" hidden="false" customHeight="false" outlineLevel="0" collapsed="false">
      <c r="A990" s="1" t="n">
        <v>2716</v>
      </c>
      <c r="B990" s="30" t="n">
        <v>43431</v>
      </c>
      <c r="C990" s="30" t="n">
        <v>44112</v>
      </c>
      <c r="D990" s="31" t="n">
        <f aca="false">VLOOKUP(A990,'Order Shipping'!$A$2:$C$2000,3,FALSE())</f>
        <v>37.5</v>
      </c>
      <c r="E990" s="32" t="n">
        <f aca="false">VLOOKUP($A990,'Order Sales'!$A$2:$G$2154,E$1,FALSE())</f>
        <v>4</v>
      </c>
      <c r="F990" s="32" t="n">
        <f aca="false">VLOOKUP($A990,'Order Sales'!$A$2:$G$2154,F$1,FALSE())</f>
        <v>461.29</v>
      </c>
      <c r="G990" s="32" t="str">
        <f aca="false">VLOOKUP($A990,'Order Sales'!$A$2:$G$2154,G$1,FALSE())</f>
        <v>Corporate</v>
      </c>
    </row>
    <row r="991" customFormat="false" ht="14.25" hidden="false" customHeight="false" outlineLevel="0" collapsed="false">
      <c r="A991" s="1" t="n">
        <v>1733</v>
      </c>
      <c r="B991" s="30" t="n">
        <v>43119</v>
      </c>
      <c r="C991" s="30" t="n">
        <v>44113</v>
      </c>
      <c r="D991" s="31" t="n">
        <f aca="false">VLOOKUP(A991,'Order Shipping'!$A$2:$C$2000,3,FALSE())</f>
        <v>3.7</v>
      </c>
      <c r="E991" s="32" t="n">
        <f aca="false">VLOOKUP($A991,'Order Sales'!$A$2:$G$2154,E$1,FALSE())</f>
        <v>50</v>
      </c>
      <c r="F991" s="32" t="n">
        <f aca="false">VLOOKUP($A991,'Order Sales'!$A$2:$G$2154,F$1,FALSE())</f>
        <v>453.68</v>
      </c>
      <c r="G991" s="32" t="str">
        <f aca="false">VLOOKUP($A991,'Order Sales'!$A$2:$G$2154,G$1,FALSE())</f>
        <v>Consumer</v>
      </c>
    </row>
    <row r="992" customFormat="false" ht="14.25" hidden="false" customHeight="false" outlineLevel="0" collapsed="false">
      <c r="A992" s="1" t="n">
        <v>1998</v>
      </c>
      <c r="B992" s="30" t="n">
        <v>43269</v>
      </c>
      <c r="C992" s="30" t="n">
        <v>44114</v>
      </c>
      <c r="D992" s="31" t="n">
        <f aca="false">VLOOKUP(A992,'Order Shipping'!$A$2:$C$2000,3,FALSE())</f>
        <v>6.3</v>
      </c>
      <c r="E992" s="32" t="n">
        <f aca="false">VLOOKUP($A992,'Order Sales'!$A$2:$G$2154,E$1,FALSE())</f>
        <v>34</v>
      </c>
      <c r="F992" s="32" t="n">
        <f aca="false">VLOOKUP($A992,'Order Sales'!$A$2:$G$2154,F$1,FALSE())</f>
        <v>229.66</v>
      </c>
      <c r="G992" s="32" t="str">
        <f aca="false">VLOOKUP($A992,'Order Sales'!$A$2:$G$2154,G$1,FALSE())</f>
        <v>Corporate</v>
      </c>
    </row>
    <row r="993" customFormat="false" ht="14.25" hidden="false" customHeight="false" outlineLevel="0" collapsed="false">
      <c r="A993" s="1" t="n">
        <v>1337</v>
      </c>
      <c r="B993" s="30" t="n">
        <v>43143</v>
      </c>
      <c r="C993" s="30" t="n">
        <v>44115</v>
      </c>
      <c r="D993" s="31" t="n">
        <f aca="false">VLOOKUP(A993,'Order Shipping'!$A$2:$C$2000,3,FALSE())</f>
        <v>75.1</v>
      </c>
      <c r="E993" s="32" t="n">
        <f aca="false">VLOOKUP($A993,'Order Sales'!$A$2:$G$2154,E$1,FALSE())</f>
        <v>20</v>
      </c>
      <c r="F993" s="32" t="n">
        <f aca="false">VLOOKUP($A993,'Order Sales'!$A$2:$G$2154,F$1,FALSE())</f>
        <v>2753.42</v>
      </c>
      <c r="G993" s="32" t="str">
        <f aca="false">VLOOKUP($A993,'Order Sales'!$A$2:$G$2154,G$1,FALSE())</f>
        <v>Corporate</v>
      </c>
    </row>
    <row r="994" customFormat="false" ht="14.25" hidden="false" customHeight="false" outlineLevel="0" collapsed="false">
      <c r="A994" s="1" t="n">
        <v>2895</v>
      </c>
      <c r="B994" s="30" t="n">
        <v>43185</v>
      </c>
      <c r="C994" s="30" t="n">
        <v>44116</v>
      </c>
      <c r="D994" s="31" t="n">
        <f aca="false">VLOOKUP(A994,'Order Shipping'!$A$2:$C$2000,3,FALSE())</f>
        <v>6.7</v>
      </c>
      <c r="E994" s="32" t="n">
        <f aca="false">VLOOKUP($A994,'Order Sales'!$A$2:$G$2154,E$1,FALSE())</f>
        <v>41</v>
      </c>
      <c r="F994" s="32" t="n">
        <f aca="false">VLOOKUP($A994,'Order Sales'!$A$2:$G$2154,F$1,FALSE())</f>
        <v>146</v>
      </c>
      <c r="G994" s="32" t="str">
        <f aca="false">VLOOKUP($A994,'Order Sales'!$A$2:$G$2154,G$1,FALSE())</f>
        <v>Home Office</v>
      </c>
    </row>
    <row r="995" customFormat="false" ht="14.25" hidden="false" customHeight="false" outlineLevel="0" collapsed="false">
      <c r="A995" s="1" t="n">
        <v>1898</v>
      </c>
      <c r="B995" s="30" t="n">
        <v>43464</v>
      </c>
      <c r="C995" s="30" t="n">
        <v>44117</v>
      </c>
      <c r="D995" s="31" t="n">
        <f aca="false">VLOOKUP(A995,'Order Shipping'!$A$2:$C$2000,3,FALSE())</f>
        <v>1.2</v>
      </c>
      <c r="E995" s="32" t="n">
        <f aca="false">VLOOKUP($A995,'Order Sales'!$A$2:$G$2154,E$1,FALSE())</f>
        <v>2</v>
      </c>
      <c r="F995" s="32" t="n">
        <f aca="false">VLOOKUP($A995,'Order Sales'!$A$2:$G$2154,F$1,FALSE())</f>
        <v>64.8</v>
      </c>
      <c r="G995" s="32" t="str">
        <f aca="false">VLOOKUP($A995,'Order Sales'!$A$2:$G$2154,G$1,FALSE())</f>
        <v>Small Business</v>
      </c>
    </row>
    <row r="996" customFormat="false" ht="14.25" hidden="false" customHeight="false" outlineLevel="0" collapsed="false">
      <c r="A996" s="1" t="n">
        <v>2618</v>
      </c>
      <c r="B996" s="30" t="n">
        <v>43125</v>
      </c>
      <c r="C996" s="30" t="n">
        <v>44118</v>
      </c>
      <c r="D996" s="31" t="n">
        <f aca="false">VLOOKUP(A996,'Order Shipping'!$A$2:$C$2000,3,FALSE())</f>
        <v>32.1</v>
      </c>
      <c r="E996" s="32" t="n">
        <f aca="false">VLOOKUP($A996,'Order Sales'!$A$2:$G$2154,E$1,FALSE())</f>
        <v>15</v>
      </c>
      <c r="F996" s="32" t="n">
        <f aca="false">VLOOKUP($A996,'Order Sales'!$A$2:$G$2154,F$1,FALSE())</f>
        <v>1879.41</v>
      </c>
      <c r="G996" s="32" t="str">
        <f aca="false">VLOOKUP($A996,'Order Sales'!$A$2:$G$2154,G$1,FALSE())</f>
        <v>Home Office</v>
      </c>
    </row>
    <row r="997" customFormat="false" ht="14.25" hidden="false" customHeight="false" outlineLevel="0" collapsed="false">
      <c r="A997" s="1" t="n">
        <v>1761</v>
      </c>
      <c r="B997" s="30" t="n">
        <v>43171</v>
      </c>
      <c r="C997" s="30" t="n">
        <v>44119</v>
      </c>
      <c r="D997" s="31" t="n">
        <f aca="false">VLOOKUP(A997,'Order Shipping'!$A$2:$C$2000,3,FALSE())</f>
        <v>4.3</v>
      </c>
      <c r="E997" s="32" t="n">
        <f aca="false">VLOOKUP($A997,'Order Sales'!$A$2:$G$2154,E$1,FALSE())</f>
        <v>42</v>
      </c>
      <c r="F997" s="32" t="n">
        <f aca="false">VLOOKUP($A997,'Order Sales'!$A$2:$G$2154,F$1,FALSE())</f>
        <v>7125.92</v>
      </c>
      <c r="G997" s="32" t="str">
        <f aca="false">VLOOKUP($A997,'Order Sales'!$A$2:$G$2154,G$1,FALSE())</f>
        <v>Home Office</v>
      </c>
    </row>
    <row r="998" customFormat="false" ht="14.25" hidden="false" customHeight="false" outlineLevel="0" collapsed="false">
      <c r="A998" s="1" t="n">
        <v>2493</v>
      </c>
      <c r="B998" s="30" t="n">
        <v>43332</v>
      </c>
      <c r="C998" s="30" t="n">
        <v>44120</v>
      </c>
      <c r="D998" s="31" t="n">
        <f aca="false">VLOOKUP(A998,'Order Shipping'!$A$2:$C$2000,3,FALSE())</f>
        <v>6</v>
      </c>
      <c r="E998" s="32" t="n">
        <f aca="false">VLOOKUP($A998,'Order Sales'!$A$2:$G$2154,E$1,FALSE())</f>
        <v>1</v>
      </c>
      <c r="F998" s="32" t="n">
        <f aca="false">VLOOKUP($A998,'Order Sales'!$A$2:$G$2154,F$1,FALSE())</f>
        <v>12.64</v>
      </c>
      <c r="G998" s="32" t="str">
        <f aca="false">VLOOKUP($A998,'Order Sales'!$A$2:$G$2154,G$1,FALSE())</f>
        <v>Small Business</v>
      </c>
    </row>
    <row r="999" customFormat="false" ht="14.25" hidden="false" customHeight="false" outlineLevel="0" collapsed="false">
      <c r="A999" s="1" t="n">
        <v>2975</v>
      </c>
      <c r="B999" s="30" t="n">
        <v>43421</v>
      </c>
      <c r="C999" s="30" t="n">
        <v>44121</v>
      </c>
      <c r="D999" s="31" t="n">
        <f aca="false">VLOOKUP(A999,'Order Shipping'!$A$2:$C$2000,3,FALSE())</f>
        <v>18.3</v>
      </c>
      <c r="E999" s="32" t="n">
        <f aca="false">VLOOKUP($A999,'Order Sales'!$A$2:$G$2154,E$1,FALSE())</f>
        <v>19</v>
      </c>
      <c r="F999" s="32" t="n">
        <f aca="false">VLOOKUP($A999,'Order Sales'!$A$2:$G$2154,F$1,FALSE())</f>
        <v>657.95</v>
      </c>
      <c r="G999" s="32" t="str">
        <f aca="false">VLOOKUP($A999,'Order Sales'!$A$2:$G$2154,G$1,FALSE())</f>
        <v>Consumer</v>
      </c>
    </row>
    <row r="1000" customFormat="false" ht="14.25" hidden="false" customHeight="false" outlineLevel="0" collapsed="false">
      <c r="A1000" s="1" t="n">
        <v>2053</v>
      </c>
      <c r="B1000" s="30" t="n">
        <v>43307</v>
      </c>
      <c r="C1000" s="30" t="n">
        <v>44122</v>
      </c>
      <c r="D1000" s="31" t="n">
        <f aca="false">VLOOKUP(A1000,'Order Shipping'!$A$2:$C$2000,3,FALSE())</f>
        <v>3.9</v>
      </c>
      <c r="E1000" s="32" t="n">
        <f aca="false">VLOOKUP($A1000,'Order Sales'!$A$2:$G$2154,E$1,FALSE())</f>
        <v>35</v>
      </c>
      <c r="F1000" s="32" t="n">
        <f aca="false">VLOOKUP($A1000,'Order Sales'!$A$2:$G$2154,F$1,FALSE())</f>
        <v>288.2</v>
      </c>
      <c r="G1000" s="32" t="str">
        <f aca="false">VLOOKUP($A1000,'Order Sales'!$A$2:$G$2154,G$1,FALSE())</f>
        <v>Consumer</v>
      </c>
    </row>
    <row r="1001" customFormat="false" ht="14.25" hidden="false" customHeight="false" outlineLevel="0" collapsed="false">
      <c r="A1001" s="1" t="n">
        <v>2453</v>
      </c>
      <c r="B1001" s="30" t="n">
        <v>43440</v>
      </c>
      <c r="C1001" s="30" t="n">
        <v>44123</v>
      </c>
      <c r="D1001" s="31" t="n">
        <f aca="false">VLOOKUP(A1001,'Order Shipping'!$A$2:$C$2000,3,FALSE())</f>
        <v>153.8</v>
      </c>
      <c r="E1001" s="32" t="n">
        <f aca="false">VLOOKUP($A1001,'Order Sales'!$A$2:$G$2154,E$1,FALSE())</f>
        <v>17</v>
      </c>
      <c r="F1001" s="32" t="n">
        <f aca="false">VLOOKUP($A1001,'Order Sales'!$A$2:$G$2154,F$1,FALSE())</f>
        <v>2754.09</v>
      </c>
      <c r="G1001" s="32" t="str">
        <f aca="false">VLOOKUP($A1001,'Order Sales'!$A$2:$G$2154,G$1,FALSE())</f>
        <v>Corporate</v>
      </c>
    </row>
    <row r="1002" customFormat="false" ht="14.25" hidden="false" customHeight="false" outlineLevel="0" collapsed="false">
      <c r="A1002" s="1" t="n">
        <v>1689</v>
      </c>
      <c r="B1002" s="30" t="n">
        <v>43223</v>
      </c>
      <c r="C1002" s="30" t="n">
        <v>44124</v>
      </c>
      <c r="D1002" s="31" t="n">
        <f aca="false">VLOOKUP(A1002,'Order Shipping'!$A$2:$C$2000,3,FALSE())</f>
        <v>1.2</v>
      </c>
      <c r="E1002" s="32" t="n">
        <f aca="false">VLOOKUP($A1002,'Order Sales'!$A$2:$G$2154,E$1,FALSE())</f>
        <v>34</v>
      </c>
      <c r="F1002" s="32" t="n">
        <f aca="false">VLOOKUP($A1002,'Order Sales'!$A$2:$G$2154,F$1,FALSE())</f>
        <v>126.16</v>
      </c>
      <c r="G1002" s="32" t="str">
        <f aca="false">VLOOKUP($A1002,'Order Sales'!$A$2:$G$2154,G$1,FALSE())</f>
        <v>Consumer</v>
      </c>
    </row>
    <row r="1003" customFormat="false" ht="14.25" hidden="false" customHeight="false" outlineLevel="0" collapsed="false">
      <c r="A1003" s="1" t="n">
        <v>2024</v>
      </c>
      <c r="B1003" s="30" t="n">
        <v>43229</v>
      </c>
      <c r="C1003" s="30" t="n">
        <v>44125</v>
      </c>
      <c r="D1003" s="31" t="n">
        <f aca="false">VLOOKUP(A1003,'Order Shipping'!$A$2:$C$2000,3,FALSE())</f>
        <v>2.1</v>
      </c>
      <c r="E1003" s="32" t="n">
        <f aca="false">VLOOKUP($A1003,'Order Sales'!$A$2:$G$2154,E$1,FALSE())</f>
        <v>8</v>
      </c>
      <c r="F1003" s="32" t="n">
        <f aca="false">VLOOKUP($A1003,'Order Sales'!$A$2:$G$2154,F$1,FALSE())</f>
        <v>192.24</v>
      </c>
      <c r="G1003" s="32" t="str">
        <f aca="false">VLOOKUP($A1003,'Order Sales'!$A$2:$G$2154,G$1,FALSE())</f>
        <v>Corporate</v>
      </c>
    </row>
    <row r="1004" customFormat="false" ht="14.25" hidden="false" customHeight="false" outlineLevel="0" collapsed="false">
      <c r="A1004" s="1" t="n">
        <v>2057</v>
      </c>
      <c r="B1004" s="30" t="n">
        <v>43322</v>
      </c>
      <c r="C1004" s="30" t="n">
        <v>44126</v>
      </c>
      <c r="D1004" s="31" t="n">
        <f aca="false">VLOOKUP(A1004,'Order Shipping'!$A$2:$C$2000,3,FALSE())</f>
        <v>2.7</v>
      </c>
      <c r="E1004" s="32" t="n">
        <f aca="false">VLOOKUP($A1004,'Order Sales'!$A$2:$G$2154,E$1,FALSE())</f>
        <v>20</v>
      </c>
      <c r="F1004" s="32" t="n">
        <f aca="false">VLOOKUP($A1004,'Order Sales'!$A$2:$G$2154,F$1,FALSE())</f>
        <v>1185.95</v>
      </c>
      <c r="G1004" s="32" t="str">
        <f aca="false">VLOOKUP($A1004,'Order Sales'!$A$2:$G$2154,G$1,FALSE())</f>
        <v>Home Office</v>
      </c>
    </row>
    <row r="1005" customFormat="false" ht="14.25" hidden="false" customHeight="false" outlineLevel="0" collapsed="false">
      <c r="A1005" s="1" t="n">
        <v>2782</v>
      </c>
      <c r="B1005" s="30" t="n">
        <v>43175</v>
      </c>
      <c r="C1005" s="30" t="n">
        <v>44127</v>
      </c>
      <c r="D1005" s="31" t="n">
        <f aca="false">VLOOKUP(A1005,'Order Shipping'!$A$2:$C$2000,3,FALSE())</f>
        <v>10.5</v>
      </c>
      <c r="E1005" s="32" t="n">
        <f aca="false">VLOOKUP($A1005,'Order Sales'!$A$2:$G$2154,E$1,FALSE())</f>
        <v>12</v>
      </c>
      <c r="F1005" s="32" t="n">
        <f aca="false">VLOOKUP($A1005,'Order Sales'!$A$2:$G$2154,F$1,FALSE())</f>
        <v>482.67</v>
      </c>
      <c r="G1005" s="32" t="str">
        <f aca="false">VLOOKUP($A1005,'Order Sales'!$A$2:$G$2154,G$1,FALSE())</f>
        <v>Consumer</v>
      </c>
    </row>
    <row r="1006" customFormat="false" ht="14.25" hidden="false" customHeight="false" outlineLevel="0" collapsed="false">
      <c r="A1006" s="1" t="n">
        <v>1135</v>
      </c>
      <c r="B1006" s="30" t="n">
        <v>43218</v>
      </c>
      <c r="C1006" s="30" t="n">
        <v>44128</v>
      </c>
      <c r="D1006" s="31" t="n">
        <f aca="false">VLOOKUP(A1006,'Order Shipping'!$A$2:$C$2000,3,FALSE())</f>
        <v>5.6</v>
      </c>
      <c r="E1006" s="32" t="n">
        <f aca="false">VLOOKUP($A1006,'Order Sales'!$A$2:$G$2154,E$1,FALSE())</f>
        <v>12</v>
      </c>
      <c r="F1006" s="32" t="n">
        <f aca="false">VLOOKUP($A1006,'Order Sales'!$A$2:$G$2154,F$1,FALSE())</f>
        <v>81.49</v>
      </c>
      <c r="G1006" s="32" t="str">
        <f aca="false">VLOOKUP($A1006,'Order Sales'!$A$2:$G$2154,G$1,FALSE())</f>
        <v>Small Business</v>
      </c>
    </row>
    <row r="1007" customFormat="false" ht="14.25" hidden="false" customHeight="false" outlineLevel="0" collapsed="false">
      <c r="A1007" s="1" t="n">
        <v>2242</v>
      </c>
      <c r="B1007" s="30" t="n">
        <v>43253</v>
      </c>
      <c r="C1007" s="30" t="n">
        <v>44129</v>
      </c>
      <c r="D1007" s="31" t="n">
        <f aca="false">VLOOKUP(A1007,'Order Shipping'!$A$2:$C$2000,3,FALSE())</f>
        <v>13.3</v>
      </c>
      <c r="E1007" s="32" t="n">
        <f aca="false">VLOOKUP($A1007,'Order Sales'!$A$2:$G$2154,E$1,FALSE())</f>
        <v>1</v>
      </c>
      <c r="F1007" s="32" t="n">
        <f aca="false">VLOOKUP($A1007,'Order Sales'!$A$2:$G$2154,F$1,FALSE())</f>
        <v>31.23</v>
      </c>
      <c r="G1007" s="32" t="str">
        <f aca="false">VLOOKUP($A1007,'Order Sales'!$A$2:$G$2154,G$1,FALSE())</f>
        <v>Home Office</v>
      </c>
    </row>
    <row r="1008" customFormat="false" ht="14.25" hidden="false" customHeight="false" outlineLevel="0" collapsed="false">
      <c r="A1008" s="1" t="n">
        <v>2528</v>
      </c>
      <c r="B1008" s="30" t="n">
        <v>43110</v>
      </c>
      <c r="C1008" s="30" t="n">
        <v>44130</v>
      </c>
      <c r="D1008" s="31" t="n">
        <f aca="false">VLOOKUP(A1008,'Order Shipping'!$A$2:$C$2000,3,FALSE())</f>
        <v>21.4</v>
      </c>
      <c r="E1008" s="32" t="n">
        <f aca="false">VLOOKUP($A1008,'Order Sales'!$A$2:$G$2154,E$1,FALSE())</f>
        <v>46</v>
      </c>
      <c r="F1008" s="32" t="n">
        <f aca="false">VLOOKUP($A1008,'Order Sales'!$A$2:$G$2154,F$1,FALSE())</f>
        <v>8063.48</v>
      </c>
      <c r="G1008" s="32" t="str">
        <f aca="false">VLOOKUP($A1008,'Order Sales'!$A$2:$G$2154,G$1,FALSE())</f>
        <v>Home Office</v>
      </c>
    </row>
    <row r="1009" customFormat="false" ht="14.25" hidden="false" customHeight="false" outlineLevel="0" collapsed="false">
      <c r="A1009" s="1" t="n">
        <v>2602</v>
      </c>
      <c r="B1009" s="30" t="n">
        <v>43114</v>
      </c>
      <c r="C1009" s="30" t="n">
        <v>44131</v>
      </c>
      <c r="D1009" s="31" t="n">
        <f aca="false">VLOOKUP(A1009,'Order Shipping'!$A$2:$C$2000,3,FALSE())</f>
        <v>1.5</v>
      </c>
      <c r="E1009" s="32" t="n">
        <f aca="false">VLOOKUP($A1009,'Order Sales'!$A$2:$G$2154,E$1,FALSE())</f>
        <v>32</v>
      </c>
      <c r="F1009" s="32" t="n">
        <f aca="false">VLOOKUP($A1009,'Order Sales'!$A$2:$G$2154,F$1,FALSE())</f>
        <v>267.06</v>
      </c>
      <c r="G1009" s="32" t="str">
        <f aca="false">VLOOKUP($A1009,'Order Sales'!$A$2:$G$2154,G$1,FALSE())</f>
        <v>Home Office</v>
      </c>
    </row>
    <row r="1010" customFormat="false" ht="14.25" hidden="false" customHeight="false" outlineLevel="0" collapsed="false">
      <c r="A1010" s="1" t="n">
        <v>1304</v>
      </c>
      <c r="B1010" s="30" t="n">
        <v>43143</v>
      </c>
      <c r="C1010" s="30" t="n">
        <v>44132</v>
      </c>
      <c r="D1010" s="31" t="n">
        <f aca="false">VLOOKUP(A1010,'Order Shipping'!$A$2:$C$2000,3,FALSE())</f>
        <v>5.8</v>
      </c>
      <c r="E1010" s="32" t="n">
        <f aca="false">VLOOKUP($A1010,'Order Sales'!$A$2:$G$2154,E$1,FALSE())</f>
        <v>43</v>
      </c>
      <c r="F1010" s="32" t="n">
        <f aca="false">VLOOKUP($A1010,'Order Sales'!$A$2:$G$2154,F$1,FALSE())</f>
        <v>182.84</v>
      </c>
      <c r="G1010" s="32" t="str">
        <f aca="false">VLOOKUP($A1010,'Order Sales'!$A$2:$G$2154,G$1,FALSE())</f>
        <v>Small Business</v>
      </c>
    </row>
    <row r="1011" customFormat="false" ht="14.25" hidden="false" customHeight="false" outlineLevel="0" collapsed="false">
      <c r="A1011" s="1" t="n">
        <v>1175</v>
      </c>
      <c r="B1011" s="30" t="n">
        <v>43288</v>
      </c>
      <c r="C1011" s="30" t="n">
        <v>44133</v>
      </c>
      <c r="D1011" s="31" t="n">
        <f aca="false">VLOOKUP(A1011,'Order Shipping'!$A$2:$C$2000,3,FALSE())</f>
        <v>3.2</v>
      </c>
      <c r="E1011" s="32" t="n">
        <f aca="false">VLOOKUP($A1011,'Order Sales'!$A$2:$G$2154,E$1,FALSE())</f>
        <v>7</v>
      </c>
      <c r="F1011" s="32" t="n">
        <f aca="false">VLOOKUP($A1011,'Order Sales'!$A$2:$G$2154,F$1,FALSE())</f>
        <v>63.54</v>
      </c>
      <c r="G1011" s="32" t="str">
        <f aca="false">VLOOKUP($A1011,'Order Sales'!$A$2:$G$2154,G$1,FALSE())</f>
        <v>Home Office</v>
      </c>
    </row>
    <row r="1012" customFormat="false" ht="14.25" hidden="false" customHeight="false" outlineLevel="0" collapsed="false">
      <c r="A1012" s="1" t="n">
        <v>2576</v>
      </c>
      <c r="B1012" s="30" t="n">
        <v>43241</v>
      </c>
      <c r="C1012" s="30" t="n">
        <v>44134</v>
      </c>
      <c r="D1012" s="31" t="n">
        <f aca="false">VLOOKUP(A1012,'Order Shipping'!$A$2:$C$2000,3,FALSE())</f>
        <v>48.9</v>
      </c>
      <c r="E1012" s="32" t="n">
        <f aca="false">VLOOKUP($A1012,'Order Sales'!$A$2:$G$2154,E$1,FALSE())</f>
        <v>49</v>
      </c>
      <c r="F1012" s="32" t="n">
        <f aca="false">VLOOKUP($A1012,'Order Sales'!$A$2:$G$2154,F$1,FALSE())</f>
        <v>22151.06</v>
      </c>
      <c r="G1012" s="32" t="str">
        <f aca="false">VLOOKUP($A1012,'Order Sales'!$A$2:$G$2154,G$1,FALSE())</f>
        <v>Corporate</v>
      </c>
    </row>
    <row r="1013" customFormat="false" ht="14.25" hidden="false" customHeight="false" outlineLevel="0" collapsed="false">
      <c r="A1013" s="1" t="n">
        <v>1530</v>
      </c>
      <c r="B1013" s="30" t="n">
        <v>43148</v>
      </c>
      <c r="C1013" s="30" t="n">
        <v>44135</v>
      </c>
      <c r="D1013" s="31" t="n">
        <f aca="false">VLOOKUP(A1013,'Order Shipping'!$A$2:$C$2000,3,FALSE())</f>
        <v>15.7</v>
      </c>
      <c r="E1013" s="32" t="n">
        <f aca="false">VLOOKUP($A1013,'Order Sales'!$A$2:$G$2154,E$1,FALSE())</f>
        <v>47</v>
      </c>
      <c r="F1013" s="32" t="n">
        <f aca="false">VLOOKUP($A1013,'Order Sales'!$A$2:$G$2154,F$1,FALSE())</f>
        <v>21683.79</v>
      </c>
      <c r="G1013" s="32" t="str">
        <f aca="false">VLOOKUP($A1013,'Order Sales'!$A$2:$G$2154,G$1,FALSE())</f>
        <v>Corporate</v>
      </c>
    </row>
    <row r="1014" customFormat="false" ht="14.25" hidden="false" customHeight="false" outlineLevel="0" collapsed="false">
      <c r="A1014" s="1" t="n">
        <v>1311</v>
      </c>
      <c r="B1014" s="30" t="n">
        <v>43324</v>
      </c>
      <c r="C1014" s="30" t="n">
        <v>44136</v>
      </c>
      <c r="D1014" s="31" t="n">
        <f aca="false">VLOOKUP(A1014,'Order Shipping'!$A$2:$C$2000,3,FALSE())</f>
        <v>0.5</v>
      </c>
      <c r="E1014" s="32" t="n">
        <f aca="false">VLOOKUP($A1014,'Order Sales'!$A$2:$G$2154,E$1,FALSE())</f>
        <v>44</v>
      </c>
      <c r="F1014" s="32" t="n">
        <f aca="false">VLOOKUP($A1014,'Order Sales'!$A$2:$G$2154,F$1,FALSE())</f>
        <v>188.6</v>
      </c>
      <c r="G1014" s="32" t="str">
        <f aca="false">VLOOKUP($A1014,'Order Sales'!$A$2:$G$2154,G$1,FALSE())</f>
        <v>Corporate</v>
      </c>
    </row>
    <row r="1015" customFormat="false" ht="14.25" hidden="false" customHeight="false" outlineLevel="0" collapsed="false">
      <c r="A1015" s="1" t="n">
        <v>2672</v>
      </c>
      <c r="B1015" s="30" t="n">
        <v>43106</v>
      </c>
      <c r="C1015" s="30" t="n">
        <v>44137</v>
      </c>
      <c r="D1015" s="31" t="n">
        <f aca="false">VLOOKUP(A1015,'Order Shipping'!$A$2:$C$2000,3,FALSE())</f>
        <v>1.3</v>
      </c>
      <c r="E1015" s="32" t="n">
        <f aca="false">VLOOKUP($A1015,'Order Sales'!$A$2:$G$2154,E$1,FALSE())</f>
        <v>27</v>
      </c>
      <c r="F1015" s="32" t="n">
        <f aca="false">VLOOKUP($A1015,'Order Sales'!$A$2:$G$2154,F$1,FALSE())</f>
        <v>892.45</v>
      </c>
      <c r="G1015" s="32" t="str">
        <f aca="false">VLOOKUP($A1015,'Order Sales'!$A$2:$G$2154,G$1,FALSE())</f>
        <v>Home Office</v>
      </c>
    </row>
    <row r="1016" customFormat="false" ht="14.25" hidden="false" customHeight="false" outlineLevel="0" collapsed="false">
      <c r="A1016" s="1" t="n">
        <v>1357</v>
      </c>
      <c r="B1016" s="30" t="n">
        <v>43118</v>
      </c>
      <c r="C1016" s="30" t="n">
        <v>44138</v>
      </c>
      <c r="D1016" s="31" t="n">
        <f aca="false">VLOOKUP(A1016,'Order Shipping'!$A$2:$C$2000,3,FALSE())</f>
        <v>6.1</v>
      </c>
      <c r="E1016" s="32" t="n">
        <f aca="false">VLOOKUP($A1016,'Order Sales'!$A$2:$G$2154,E$1,FALSE())</f>
        <v>8</v>
      </c>
      <c r="F1016" s="32" t="n">
        <f aca="false">VLOOKUP($A1016,'Order Sales'!$A$2:$G$2154,F$1,FALSE())</f>
        <v>43.08</v>
      </c>
      <c r="G1016" s="32" t="str">
        <f aca="false">VLOOKUP($A1016,'Order Sales'!$A$2:$G$2154,G$1,FALSE())</f>
        <v>Home Office</v>
      </c>
    </row>
    <row r="1017" customFormat="false" ht="14.25" hidden="false" customHeight="false" outlineLevel="0" collapsed="false">
      <c r="A1017" s="1" t="n">
        <v>2500</v>
      </c>
      <c r="B1017" s="30" t="n">
        <v>43364</v>
      </c>
      <c r="C1017" s="30" t="n">
        <v>44139</v>
      </c>
      <c r="D1017" s="31" t="n">
        <f aca="false">VLOOKUP(A1017,'Order Shipping'!$A$2:$C$2000,3,FALSE())</f>
        <v>2.4</v>
      </c>
      <c r="E1017" s="32" t="n">
        <f aca="false">VLOOKUP($A1017,'Order Sales'!$A$2:$G$2154,E$1,FALSE())</f>
        <v>24</v>
      </c>
      <c r="F1017" s="32" t="n">
        <f aca="false">VLOOKUP($A1017,'Order Sales'!$A$2:$G$2154,F$1,FALSE())</f>
        <v>145.97</v>
      </c>
      <c r="G1017" s="32" t="str">
        <f aca="false">VLOOKUP($A1017,'Order Sales'!$A$2:$G$2154,G$1,FALSE())</f>
        <v>Corporate</v>
      </c>
    </row>
    <row r="1018" customFormat="false" ht="14.25" hidden="false" customHeight="false" outlineLevel="0" collapsed="false">
      <c r="A1018" s="1" t="n">
        <v>1078</v>
      </c>
      <c r="B1018" s="30" t="n">
        <v>43136</v>
      </c>
      <c r="C1018" s="30" t="n">
        <v>44140</v>
      </c>
      <c r="D1018" s="31" t="n">
        <f aca="false">VLOOKUP(A1018,'Order Shipping'!$A$2:$C$2000,3,FALSE())</f>
        <v>4.5</v>
      </c>
      <c r="E1018" s="32" t="n">
        <f aca="false">VLOOKUP($A1018,'Order Sales'!$A$2:$G$2154,E$1,FALSE())</f>
        <v>7</v>
      </c>
      <c r="F1018" s="32" t="n">
        <f aca="false">VLOOKUP($A1018,'Order Sales'!$A$2:$G$2154,F$1,FALSE())</f>
        <v>825.81</v>
      </c>
      <c r="G1018" s="32" t="str">
        <f aca="false">VLOOKUP($A1018,'Order Sales'!$A$2:$G$2154,G$1,FALSE())</f>
        <v>Consumer</v>
      </c>
    </row>
    <row r="1019" customFormat="false" ht="14.25" hidden="false" customHeight="false" outlineLevel="0" collapsed="false">
      <c r="A1019" s="1" t="n">
        <v>1329</v>
      </c>
      <c r="B1019" s="30" t="n">
        <v>43101</v>
      </c>
      <c r="C1019" s="30" t="n">
        <v>44141</v>
      </c>
      <c r="D1019" s="31" t="n">
        <f aca="false">VLOOKUP(A1019,'Order Shipping'!$A$2:$C$2000,3,FALSE())</f>
        <v>63</v>
      </c>
      <c r="E1019" s="32" t="n">
        <f aca="false">VLOOKUP($A1019,'Order Sales'!$A$2:$G$2154,E$1,FALSE())</f>
        <v>16</v>
      </c>
      <c r="F1019" s="32" t="n">
        <f aca="false">VLOOKUP($A1019,'Order Sales'!$A$2:$G$2154,F$1,FALSE())</f>
        <v>5782.01</v>
      </c>
      <c r="G1019" s="32" t="str">
        <f aca="false">VLOOKUP($A1019,'Order Sales'!$A$2:$G$2154,G$1,FALSE())</f>
        <v>Corporate</v>
      </c>
    </row>
    <row r="1020" customFormat="false" ht="14.25" hidden="false" customHeight="false" outlineLevel="0" collapsed="false">
      <c r="A1020" s="1" t="n">
        <v>2077</v>
      </c>
      <c r="B1020" s="30" t="n">
        <v>43400</v>
      </c>
      <c r="C1020" s="30" t="n">
        <v>44142</v>
      </c>
      <c r="D1020" s="31" t="n">
        <f aca="false">VLOOKUP(A1020,'Order Shipping'!$A$2:$C$2000,3,FALSE())</f>
        <v>3.9</v>
      </c>
      <c r="E1020" s="32" t="n">
        <f aca="false">VLOOKUP($A1020,'Order Sales'!$A$2:$G$2154,E$1,FALSE())</f>
        <v>22</v>
      </c>
      <c r="F1020" s="32" t="n">
        <f aca="false">VLOOKUP($A1020,'Order Sales'!$A$2:$G$2154,F$1,FALSE())</f>
        <v>529.48</v>
      </c>
      <c r="G1020" s="32" t="str">
        <f aca="false">VLOOKUP($A1020,'Order Sales'!$A$2:$G$2154,G$1,FALSE())</f>
        <v>Small Business</v>
      </c>
    </row>
    <row r="1021" customFormat="false" ht="14.25" hidden="false" customHeight="false" outlineLevel="0" collapsed="false">
      <c r="A1021" s="1" t="n">
        <v>1615</v>
      </c>
      <c r="B1021" s="30" t="n">
        <v>43306</v>
      </c>
      <c r="C1021" s="30" t="n">
        <v>44143</v>
      </c>
      <c r="D1021" s="31" t="n">
        <f aca="false">VLOOKUP(A1021,'Order Shipping'!$A$2:$C$2000,3,FALSE())</f>
        <v>4.8</v>
      </c>
      <c r="E1021" s="32" t="n">
        <f aca="false">VLOOKUP($A1021,'Order Sales'!$A$2:$G$2154,E$1,FALSE())</f>
        <v>3</v>
      </c>
      <c r="F1021" s="32" t="n">
        <f aca="false">VLOOKUP($A1021,'Order Sales'!$A$2:$G$2154,F$1,FALSE())</f>
        <v>38.58</v>
      </c>
      <c r="G1021" s="32" t="str">
        <f aca="false">VLOOKUP($A1021,'Order Sales'!$A$2:$G$2154,G$1,FALSE())</f>
        <v>Corporate</v>
      </c>
    </row>
    <row r="1022" customFormat="false" ht="14.25" hidden="false" customHeight="false" outlineLevel="0" collapsed="false">
      <c r="A1022" s="1" t="n">
        <v>2478</v>
      </c>
      <c r="B1022" s="30" t="n">
        <v>43374</v>
      </c>
      <c r="C1022" s="30" t="n">
        <v>44144</v>
      </c>
      <c r="D1022" s="31" t="n">
        <f aca="false">VLOOKUP(A1022,'Order Shipping'!$A$2:$C$2000,3,FALSE())</f>
        <v>0.7</v>
      </c>
      <c r="E1022" s="32" t="n">
        <f aca="false">VLOOKUP($A1022,'Order Sales'!$A$2:$G$2154,E$1,FALSE())</f>
        <v>19</v>
      </c>
      <c r="F1022" s="32" t="n">
        <f aca="false">VLOOKUP($A1022,'Order Sales'!$A$2:$G$2154,F$1,FALSE())</f>
        <v>30.84</v>
      </c>
      <c r="G1022" s="32" t="str">
        <f aca="false">VLOOKUP($A1022,'Order Sales'!$A$2:$G$2154,G$1,FALSE())</f>
        <v>Corporate</v>
      </c>
    </row>
    <row r="1023" customFormat="false" ht="14.25" hidden="false" customHeight="false" outlineLevel="0" collapsed="false">
      <c r="A1023" s="1" t="n">
        <v>1445</v>
      </c>
      <c r="B1023" s="30" t="n">
        <v>43199</v>
      </c>
      <c r="C1023" s="30" t="n">
        <v>44145</v>
      </c>
      <c r="D1023" s="31" t="n">
        <f aca="false">VLOOKUP(A1023,'Order Shipping'!$A$2:$C$2000,3,FALSE())</f>
        <v>1.6</v>
      </c>
      <c r="E1023" s="32" t="n">
        <f aca="false">VLOOKUP($A1023,'Order Sales'!$A$2:$G$2154,E$1,FALSE())</f>
        <v>16</v>
      </c>
      <c r="F1023" s="32" t="n">
        <f aca="false">VLOOKUP($A1023,'Order Sales'!$A$2:$G$2154,F$1,FALSE())</f>
        <v>50.77</v>
      </c>
      <c r="G1023" s="32" t="str">
        <f aca="false">VLOOKUP($A1023,'Order Sales'!$A$2:$G$2154,G$1,FALSE())</f>
        <v>Corporate</v>
      </c>
    </row>
    <row r="1024" customFormat="false" ht="14.25" hidden="false" customHeight="false" outlineLevel="0" collapsed="false">
      <c r="A1024" s="1" t="n">
        <v>1156</v>
      </c>
      <c r="B1024" s="30" t="n">
        <v>43342</v>
      </c>
      <c r="C1024" s="30" t="n">
        <v>44146</v>
      </c>
      <c r="D1024" s="31" t="n">
        <f aca="false">VLOOKUP(A1024,'Order Shipping'!$A$2:$C$2000,3,FALSE())</f>
        <v>0.5</v>
      </c>
      <c r="E1024" s="32" t="n">
        <f aca="false">VLOOKUP($A1024,'Order Sales'!$A$2:$G$2154,E$1,FALSE())</f>
        <v>50</v>
      </c>
      <c r="F1024" s="32" t="n">
        <f aca="false">VLOOKUP($A1024,'Order Sales'!$A$2:$G$2154,F$1,FALSE())</f>
        <v>200.98</v>
      </c>
      <c r="G1024" s="32" t="str">
        <f aca="false">VLOOKUP($A1024,'Order Sales'!$A$2:$G$2154,G$1,FALSE())</f>
        <v>Home Office</v>
      </c>
    </row>
    <row r="1025" customFormat="false" ht="14.25" hidden="false" customHeight="false" outlineLevel="0" collapsed="false">
      <c r="A1025" s="1" t="n">
        <v>1258</v>
      </c>
      <c r="B1025" s="30" t="n">
        <v>43105</v>
      </c>
      <c r="C1025" s="30" t="n">
        <v>44147</v>
      </c>
      <c r="D1025" s="31" t="n">
        <f aca="false">VLOOKUP(A1025,'Order Shipping'!$A$2:$C$2000,3,FALSE())</f>
        <v>4.2</v>
      </c>
      <c r="E1025" s="32" t="n">
        <f aca="false">VLOOKUP($A1025,'Order Sales'!$A$2:$G$2154,E$1,FALSE())</f>
        <v>26</v>
      </c>
      <c r="F1025" s="32" t="n">
        <f aca="false">VLOOKUP($A1025,'Order Sales'!$A$2:$G$2154,F$1,FALSE())</f>
        <v>93.65</v>
      </c>
      <c r="G1025" s="32" t="str">
        <f aca="false">VLOOKUP($A1025,'Order Sales'!$A$2:$G$2154,G$1,FALSE())</f>
        <v>Consumer</v>
      </c>
    </row>
    <row r="1026" customFormat="false" ht="14.25" hidden="false" customHeight="false" outlineLevel="0" collapsed="false">
      <c r="A1026" s="1" t="n">
        <v>1714</v>
      </c>
      <c r="B1026" s="30" t="n">
        <v>43396</v>
      </c>
      <c r="C1026" s="30" t="n">
        <v>44148</v>
      </c>
      <c r="D1026" s="31" t="n">
        <f aca="false">VLOOKUP(A1026,'Order Shipping'!$A$2:$C$2000,3,FALSE())</f>
        <v>8.7</v>
      </c>
      <c r="E1026" s="32" t="n">
        <f aca="false">VLOOKUP($A1026,'Order Sales'!$A$2:$G$2154,E$1,FALSE())</f>
        <v>30</v>
      </c>
      <c r="F1026" s="32" t="n">
        <f aca="false">VLOOKUP($A1026,'Order Sales'!$A$2:$G$2154,F$1,FALSE())</f>
        <v>569.36</v>
      </c>
      <c r="G1026" s="32" t="str">
        <f aca="false">VLOOKUP($A1026,'Order Sales'!$A$2:$G$2154,G$1,FALSE())</f>
        <v>Home Office</v>
      </c>
    </row>
    <row r="1027" customFormat="false" ht="14.25" hidden="false" customHeight="false" outlineLevel="0" collapsed="false">
      <c r="A1027" s="1" t="n">
        <v>1824</v>
      </c>
      <c r="B1027" s="30" t="n">
        <v>43367</v>
      </c>
      <c r="C1027" s="30" t="n">
        <v>44149</v>
      </c>
      <c r="D1027" s="31" t="n">
        <f aca="false">VLOOKUP(A1027,'Order Shipping'!$A$2:$C$2000,3,FALSE())</f>
        <v>1.3</v>
      </c>
      <c r="E1027" s="32" t="n">
        <f aca="false">VLOOKUP($A1027,'Order Sales'!$A$2:$G$2154,E$1,FALSE())</f>
        <v>2</v>
      </c>
      <c r="F1027" s="32" t="n">
        <f aca="false">VLOOKUP($A1027,'Order Sales'!$A$2:$G$2154,F$1,FALSE())</f>
        <v>153.72</v>
      </c>
      <c r="G1027" s="32" t="str">
        <f aca="false">VLOOKUP($A1027,'Order Sales'!$A$2:$G$2154,G$1,FALSE())</f>
        <v>Consumer</v>
      </c>
    </row>
    <row r="1028" customFormat="false" ht="14.25" hidden="false" customHeight="false" outlineLevel="0" collapsed="false">
      <c r="A1028" s="1" t="n">
        <v>2543</v>
      </c>
      <c r="B1028" s="30" t="n">
        <v>43257</v>
      </c>
      <c r="C1028" s="30" t="n">
        <v>44150</v>
      </c>
      <c r="D1028" s="31" t="n">
        <f aca="false">VLOOKUP(A1028,'Order Shipping'!$A$2:$C$2000,3,FALSE())</f>
        <v>9.6</v>
      </c>
      <c r="E1028" s="32" t="n">
        <f aca="false">VLOOKUP($A1028,'Order Sales'!$A$2:$G$2154,E$1,FALSE())</f>
        <v>27</v>
      </c>
      <c r="F1028" s="32" t="n">
        <f aca="false">VLOOKUP($A1028,'Order Sales'!$A$2:$G$2154,F$1,FALSE())</f>
        <v>676.83</v>
      </c>
      <c r="G1028" s="32" t="str">
        <f aca="false">VLOOKUP($A1028,'Order Sales'!$A$2:$G$2154,G$1,FALSE())</f>
        <v>Corporate</v>
      </c>
    </row>
    <row r="1029" customFormat="false" ht="14.25" hidden="false" customHeight="false" outlineLevel="0" collapsed="false">
      <c r="A1029" s="1" t="n">
        <v>1294</v>
      </c>
      <c r="B1029" s="30" t="n">
        <v>43388</v>
      </c>
      <c r="C1029" s="30" t="n">
        <v>44151</v>
      </c>
      <c r="D1029" s="31" t="n">
        <f aca="false">VLOOKUP(A1029,'Order Shipping'!$A$2:$C$2000,3,FALSE())</f>
        <v>7</v>
      </c>
      <c r="E1029" s="32" t="n">
        <f aca="false">VLOOKUP($A1029,'Order Sales'!$A$2:$G$2154,E$1,FALSE())</f>
        <v>17</v>
      </c>
      <c r="F1029" s="32" t="n">
        <f aca="false">VLOOKUP($A1029,'Order Sales'!$A$2:$G$2154,F$1,FALSE())</f>
        <v>2822.42</v>
      </c>
      <c r="G1029" s="32" t="str">
        <f aca="false">VLOOKUP($A1029,'Order Sales'!$A$2:$G$2154,G$1,FALSE())</f>
        <v>Small Business</v>
      </c>
    </row>
    <row r="1030" customFormat="false" ht="14.25" hidden="false" customHeight="false" outlineLevel="0" collapsed="false">
      <c r="A1030" s="1" t="n">
        <v>2582</v>
      </c>
      <c r="B1030" s="30" t="n">
        <v>43161</v>
      </c>
      <c r="C1030" s="30" t="n">
        <v>44152</v>
      </c>
      <c r="D1030" s="31" t="n">
        <f aca="false">VLOOKUP(A1030,'Order Shipping'!$A$2:$C$2000,3,FALSE())</f>
        <v>5.3</v>
      </c>
      <c r="E1030" s="32" t="n">
        <f aca="false">VLOOKUP($A1030,'Order Sales'!$A$2:$G$2154,E$1,FALSE())</f>
        <v>1</v>
      </c>
      <c r="F1030" s="32" t="n">
        <f aca="false">VLOOKUP($A1030,'Order Sales'!$A$2:$G$2154,F$1,FALSE())</f>
        <v>24.33</v>
      </c>
      <c r="G1030" s="32" t="str">
        <f aca="false">VLOOKUP($A1030,'Order Sales'!$A$2:$G$2154,G$1,FALSE())</f>
        <v>Home Office</v>
      </c>
    </row>
    <row r="1031" customFormat="false" ht="14.25" hidden="false" customHeight="false" outlineLevel="0" collapsed="false">
      <c r="A1031" s="1" t="n">
        <v>1459</v>
      </c>
      <c r="B1031" s="30" t="n">
        <v>43165</v>
      </c>
      <c r="C1031" s="30" t="n">
        <v>44153</v>
      </c>
      <c r="D1031" s="31" t="n">
        <f aca="false">VLOOKUP(A1031,'Order Shipping'!$A$2:$C$2000,3,FALSE())</f>
        <v>0.9</v>
      </c>
      <c r="E1031" s="32" t="n">
        <f aca="false">VLOOKUP($A1031,'Order Sales'!$A$2:$G$2154,E$1,FALSE())</f>
        <v>12</v>
      </c>
      <c r="F1031" s="32" t="n">
        <f aca="false">VLOOKUP($A1031,'Order Sales'!$A$2:$G$2154,F$1,FALSE())</f>
        <v>28.94</v>
      </c>
      <c r="G1031" s="32" t="str">
        <f aca="false">VLOOKUP($A1031,'Order Sales'!$A$2:$G$2154,G$1,FALSE())</f>
        <v>Corporate</v>
      </c>
    </row>
    <row r="1032" customFormat="false" ht="14.25" hidden="false" customHeight="false" outlineLevel="0" collapsed="false">
      <c r="A1032" s="1" t="n">
        <v>1488</v>
      </c>
      <c r="B1032" s="30" t="n">
        <v>43454</v>
      </c>
      <c r="C1032" s="30" t="n">
        <v>44154</v>
      </c>
      <c r="D1032" s="31" t="n">
        <f aca="false">VLOOKUP(A1032,'Order Shipping'!$A$2:$C$2000,3,FALSE())</f>
        <v>9.6</v>
      </c>
      <c r="E1032" s="32" t="n">
        <f aca="false">VLOOKUP($A1032,'Order Sales'!$A$2:$G$2154,E$1,FALSE())</f>
        <v>46</v>
      </c>
      <c r="F1032" s="32" t="n">
        <f aca="false">VLOOKUP($A1032,'Order Sales'!$A$2:$G$2154,F$1,FALSE())</f>
        <v>1284.14</v>
      </c>
      <c r="G1032" s="32" t="str">
        <f aca="false">VLOOKUP($A1032,'Order Sales'!$A$2:$G$2154,G$1,FALSE())</f>
        <v>Small Business</v>
      </c>
    </row>
    <row r="1033" customFormat="false" ht="14.25" hidden="false" customHeight="false" outlineLevel="0" collapsed="false">
      <c r="A1033" s="1" t="n">
        <v>1420</v>
      </c>
      <c r="B1033" s="30" t="n">
        <v>43150</v>
      </c>
      <c r="C1033" s="30" t="n">
        <v>44155</v>
      </c>
      <c r="D1033" s="31" t="n">
        <f aca="false">VLOOKUP(A1033,'Order Shipping'!$A$2:$C$2000,3,FALSE())</f>
        <v>61.4</v>
      </c>
      <c r="E1033" s="32" t="n">
        <f aca="false">VLOOKUP($A1033,'Order Sales'!$A$2:$G$2154,E$1,FALSE())</f>
        <v>31</v>
      </c>
      <c r="F1033" s="32" t="n">
        <f aca="false">VLOOKUP($A1033,'Order Sales'!$A$2:$G$2154,F$1,FALSE())</f>
        <v>3297.02</v>
      </c>
      <c r="G1033" s="32" t="str">
        <f aca="false">VLOOKUP($A1033,'Order Sales'!$A$2:$G$2154,G$1,FALSE())</f>
        <v>Corporate</v>
      </c>
    </row>
    <row r="1034" customFormat="false" ht="14.25" hidden="false" customHeight="false" outlineLevel="0" collapsed="false">
      <c r="A1034" s="1" t="n">
        <v>2747</v>
      </c>
      <c r="B1034" s="30" t="n">
        <v>43287</v>
      </c>
      <c r="C1034" s="30" t="n">
        <v>44156</v>
      </c>
      <c r="D1034" s="31" t="n">
        <f aca="false">VLOOKUP(A1034,'Order Shipping'!$A$2:$C$2000,3,FALSE())</f>
        <v>5.4</v>
      </c>
      <c r="E1034" s="32" t="n">
        <f aca="false">VLOOKUP($A1034,'Order Sales'!$A$2:$G$2154,E$1,FALSE())</f>
        <v>32</v>
      </c>
      <c r="F1034" s="32" t="n">
        <f aca="false">VLOOKUP($A1034,'Order Sales'!$A$2:$G$2154,F$1,FALSE())</f>
        <v>211.31</v>
      </c>
      <c r="G1034" s="32" t="str">
        <f aca="false">VLOOKUP($A1034,'Order Sales'!$A$2:$G$2154,G$1,FALSE())</f>
        <v>Consumer</v>
      </c>
    </row>
    <row r="1035" customFormat="false" ht="14.25" hidden="false" customHeight="false" outlineLevel="0" collapsed="false">
      <c r="A1035" s="1" t="n">
        <v>2760</v>
      </c>
      <c r="B1035" s="30" t="n">
        <v>43370</v>
      </c>
      <c r="C1035" s="30" t="n">
        <v>44157</v>
      </c>
      <c r="D1035" s="31" t="n">
        <f aca="false">VLOOKUP(A1035,'Order Shipping'!$A$2:$C$2000,3,FALSE())</f>
        <v>5.9</v>
      </c>
      <c r="E1035" s="32" t="n">
        <f aca="false">VLOOKUP($A1035,'Order Sales'!$A$2:$G$2154,E$1,FALSE())</f>
        <v>20</v>
      </c>
      <c r="F1035" s="32" t="n">
        <f aca="false">VLOOKUP($A1035,'Order Sales'!$A$2:$G$2154,F$1,FALSE())</f>
        <v>638.32</v>
      </c>
      <c r="G1035" s="32" t="str">
        <f aca="false">VLOOKUP($A1035,'Order Sales'!$A$2:$G$2154,G$1,FALSE())</f>
        <v>Corporate</v>
      </c>
    </row>
    <row r="1036" customFormat="false" ht="14.25" hidden="false" customHeight="false" outlineLevel="0" collapsed="false">
      <c r="A1036" s="1" t="n">
        <v>1033</v>
      </c>
      <c r="B1036" s="30" t="n">
        <v>43312</v>
      </c>
      <c r="C1036" s="30" t="n">
        <v>44158</v>
      </c>
      <c r="D1036" s="31" t="n">
        <f aca="false">VLOOKUP(A1036,'Order Shipping'!$A$2:$C$2000,3,FALSE())</f>
        <v>5.8</v>
      </c>
      <c r="E1036" s="32" t="n">
        <f aca="false">VLOOKUP($A1036,'Order Sales'!$A$2:$G$2154,E$1,FALSE())</f>
        <v>38</v>
      </c>
      <c r="F1036" s="32" t="n">
        <f aca="false">VLOOKUP($A1036,'Order Sales'!$A$2:$G$2154,F$1,FALSE())</f>
        <v>303.51</v>
      </c>
      <c r="G1036" s="32" t="str">
        <f aca="false">VLOOKUP($A1036,'Order Sales'!$A$2:$G$2154,G$1,FALSE())</f>
        <v>Home Office</v>
      </c>
    </row>
    <row r="1037" customFormat="false" ht="14.25" hidden="false" customHeight="false" outlineLevel="0" collapsed="false">
      <c r="A1037" s="1" t="n">
        <v>2091</v>
      </c>
      <c r="B1037" s="30" t="n">
        <v>43176</v>
      </c>
      <c r="C1037" s="30" t="n">
        <v>44159</v>
      </c>
      <c r="D1037" s="31" t="n">
        <f aca="false">VLOOKUP(A1037,'Order Shipping'!$A$2:$C$2000,3,FALSE())</f>
        <v>16.2</v>
      </c>
      <c r="E1037" s="32" t="n">
        <f aca="false">VLOOKUP($A1037,'Order Sales'!$A$2:$G$2154,E$1,FALSE())</f>
        <v>6</v>
      </c>
      <c r="F1037" s="32" t="n">
        <f aca="false">VLOOKUP($A1037,'Order Sales'!$A$2:$G$2154,F$1,FALSE())</f>
        <v>167.02</v>
      </c>
      <c r="G1037" s="32" t="str">
        <f aca="false">VLOOKUP($A1037,'Order Sales'!$A$2:$G$2154,G$1,FALSE())</f>
        <v>Home Office</v>
      </c>
    </row>
    <row r="1038" customFormat="false" ht="14.25" hidden="false" customHeight="false" outlineLevel="0" collapsed="false">
      <c r="A1038" s="1" t="n">
        <v>1759</v>
      </c>
      <c r="B1038" s="30" t="n">
        <v>43310</v>
      </c>
      <c r="C1038" s="30" t="n">
        <v>44160</v>
      </c>
      <c r="D1038" s="31" t="n">
        <f aca="false">VLOOKUP(A1038,'Order Shipping'!$A$2:$C$2000,3,FALSE())</f>
        <v>1.8</v>
      </c>
      <c r="E1038" s="32" t="n">
        <f aca="false">VLOOKUP($A1038,'Order Sales'!$A$2:$G$2154,E$1,FALSE())</f>
        <v>39</v>
      </c>
      <c r="F1038" s="32" t="n">
        <f aca="false">VLOOKUP($A1038,'Order Sales'!$A$2:$G$2154,F$1,FALSE())</f>
        <v>328.94</v>
      </c>
      <c r="G1038" s="32" t="str">
        <f aca="false">VLOOKUP($A1038,'Order Sales'!$A$2:$G$2154,G$1,FALSE())</f>
        <v>Small Business</v>
      </c>
    </row>
    <row r="1039" customFormat="false" ht="14.25" hidden="false" customHeight="false" outlineLevel="0" collapsed="false">
      <c r="A1039" s="1" t="n">
        <v>1882</v>
      </c>
      <c r="B1039" s="30" t="n">
        <v>43304</v>
      </c>
      <c r="C1039" s="30" t="n">
        <v>44161</v>
      </c>
      <c r="D1039" s="31" t="n">
        <f aca="false">VLOOKUP(A1039,'Order Shipping'!$A$2:$C$2000,3,FALSE())</f>
        <v>2.1</v>
      </c>
      <c r="E1039" s="32" t="n">
        <f aca="false">VLOOKUP($A1039,'Order Sales'!$A$2:$G$2154,E$1,FALSE())</f>
        <v>44</v>
      </c>
      <c r="F1039" s="32" t="n">
        <f aca="false">VLOOKUP($A1039,'Order Sales'!$A$2:$G$2154,F$1,FALSE())</f>
        <v>78.79</v>
      </c>
      <c r="G1039" s="32" t="str">
        <f aca="false">VLOOKUP($A1039,'Order Sales'!$A$2:$G$2154,G$1,FALSE())</f>
        <v>Corporate</v>
      </c>
    </row>
    <row r="1040" customFormat="false" ht="14.25" hidden="false" customHeight="false" outlineLevel="0" collapsed="false">
      <c r="A1040" s="1" t="n">
        <v>1231</v>
      </c>
      <c r="B1040" s="30" t="n">
        <v>43382</v>
      </c>
      <c r="C1040" s="30" t="n">
        <v>44162</v>
      </c>
      <c r="D1040" s="31" t="n">
        <f aca="false">VLOOKUP(A1040,'Order Shipping'!$A$2:$C$2000,3,FALSE())</f>
        <v>2.8</v>
      </c>
      <c r="E1040" s="32" t="n">
        <f aca="false">VLOOKUP($A1040,'Order Sales'!$A$2:$G$2154,E$1,FALSE())</f>
        <v>43</v>
      </c>
      <c r="F1040" s="32" t="n">
        <f aca="false">VLOOKUP($A1040,'Order Sales'!$A$2:$G$2154,F$1,FALSE())</f>
        <v>89.17</v>
      </c>
      <c r="G1040" s="32" t="str">
        <f aca="false">VLOOKUP($A1040,'Order Sales'!$A$2:$G$2154,G$1,FALSE())</f>
        <v>Corporate</v>
      </c>
    </row>
    <row r="1041" customFormat="false" ht="14.25" hidden="false" customHeight="false" outlineLevel="0" collapsed="false">
      <c r="A1041" s="1" t="n">
        <v>1984</v>
      </c>
      <c r="B1041" s="30" t="n">
        <v>43112</v>
      </c>
      <c r="C1041" s="30" t="n">
        <v>44163</v>
      </c>
      <c r="D1041" s="31" t="n">
        <f aca="false">VLOOKUP(A1041,'Order Shipping'!$A$2:$C$2000,3,FALSE())</f>
        <v>2.1</v>
      </c>
      <c r="E1041" s="32" t="n">
        <f aca="false">VLOOKUP($A1041,'Order Sales'!$A$2:$G$2154,E$1,FALSE())</f>
        <v>23</v>
      </c>
      <c r="F1041" s="32" t="n">
        <f aca="false">VLOOKUP($A1041,'Order Sales'!$A$2:$G$2154,F$1,FALSE())</f>
        <v>41.72</v>
      </c>
      <c r="G1041" s="32" t="str">
        <f aca="false">VLOOKUP($A1041,'Order Sales'!$A$2:$G$2154,G$1,FALSE())</f>
        <v>Home Office</v>
      </c>
    </row>
    <row r="1042" customFormat="false" ht="14.25" hidden="false" customHeight="false" outlineLevel="0" collapsed="false">
      <c r="A1042" s="1" t="n">
        <v>1055</v>
      </c>
      <c r="B1042" s="30" t="n">
        <v>43360</v>
      </c>
      <c r="C1042" s="30" t="n">
        <v>44164</v>
      </c>
      <c r="D1042" s="31" t="n">
        <f aca="false">VLOOKUP(A1042,'Order Shipping'!$A$2:$C$2000,3,FALSE())</f>
        <v>15</v>
      </c>
      <c r="E1042" s="32" t="n">
        <f aca="false">VLOOKUP($A1042,'Order Sales'!$A$2:$G$2154,E$1,FALSE())</f>
        <v>48</v>
      </c>
      <c r="F1042" s="32" t="n">
        <f aca="false">VLOOKUP($A1042,'Order Sales'!$A$2:$G$2154,F$1,FALSE())</f>
        <v>5714.34</v>
      </c>
      <c r="G1042" s="32" t="str">
        <f aca="false">VLOOKUP($A1042,'Order Sales'!$A$2:$G$2154,G$1,FALSE())</f>
        <v>Consumer</v>
      </c>
    </row>
    <row r="1043" customFormat="false" ht="14.25" hidden="false" customHeight="false" outlineLevel="0" collapsed="false">
      <c r="A1043" s="1" t="n">
        <v>1642</v>
      </c>
      <c r="B1043" s="30" t="n">
        <v>43359</v>
      </c>
      <c r="C1043" s="30" t="n">
        <v>44165</v>
      </c>
      <c r="D1043" s="31" t="n">
        <f aca="false">VLOOKUP(A1043,'Order Shipping'!$A$2:$C$2000,3,FALSE())</f>
        <v>15.4</v>
      </c>
      <c r="E1043" s="32" t="n">
        <f aca="false">VLOOKUP($A1043,'Order Sales'!$A$2:$G$2154,E$1,FALSE())</f>
        <v>31</v>
      </c>
      <c r="F1043" s="32" t="n">
        <f aca="false">VLOOKUP($A1043,'Order Sales'!$A$2:$G$2154,F$1,FALSE())</f>
        <v>845.24</v>
      </c>
      <c r="G1043" s="32" t="str">
        <f aca="false">VLOOKUP($A1043,'Order Sales'!$A$2:$G$2154,G$1,FALSE())</f>
        <v>Home Office</v>
      </c>
    </row>
    <row r="1044" customFormat="false" ht="14.25" hidden="false" customHeight="false" outlineLevel="0" collapsed="false">
      <c r="A1044" s="1" t="n">
        <v>1095</v>
      </c>
      <c r="B1044" s="30" t="n">
        <v>43388</v>
      </c>
      <c r="C1044" s="30" t="n">
        <v>44166</v>
      </c>
      <c r="D1044" s="31" t="n">
        <f aca="false">VLOOKUP(A1044,'Order Shipping'!$A$2:$C$2000,3,FALSE())</f>
        <v>9.6</v>
      </c>
      <c r="E1044" s="32" t="n">
        <f aca="false">VLOOKUP($A1044,'Order Sales'!$A$2:$G$2154,E$1,FALSE())</f>
        <v>37</v>
      </c>
      <c r="F1044" s="32" t="n">
        <f aca="false">VLOOKUP($A1044,'Order Sales'!$A$2:$G$2154,F$1,FALSE())</f>
        <v>2293.24</v>
      </c>
      <c r="G1044" s="32" t="str">
        <f aca="false">VLOOKUP($A1044,'Order Sales'!$A$2:$G$2154,G$1,FALSE())</f>
        <v>Home Office</v>
      </c>
    </row>
    <row r="1045" customFormat="false" ht="14.25" hidden="false" customHeight="false" outlineLevel="0" collapsed="false">
      <c r="A1045" s="1" t="n">
        <v>2375</v>
      </c>
      <c r="B1045" s="30" t="n">
        <v>43450</v>
      </c>
      <c r="C1045" s="30" t="n">
        <v>44167</v>
      </c>
      <c r="D1045" s="31" t="n">
        <f aca="false">VLOOKUP(A1045,'Order Shipping'!$A$2:$C$2000,3,FALSE())</f>
        <v>6.7</v>
      </c>
      <c r="E1045" s="32" t="n">
        <f aca="false">VLOOKUP($A1045,'Order Sales'!$A$2:$G$2154,E$1,FALSE())</f>
        <v>39</v>
      </c>
      <c r="F1045" s="32" t="n">
        <f aca="false">VLOOKUP($A1045,'Order Sales'!$A$2:$G$2154,F$1,FALSE())</f>
        <v>508.81</v>
      </c>
      <c r="G1045" s="32" t="str">
        <f aca="false">VLOOKUP($A1045,'Order Sales'!$A$2:$G$2154,G$1,FALSE())</f>
        <v>Home Office</v>
      </c>
    </row>
    <row r="1046" customFormat="false" ht="14.25" hidden="false" customHeight="false" outlineLevel="0" collapsed="false">
      <c r="A1046" s="1" t="n">
        <v>1693</v>
      </c>
      <c r="B1046" s="30" t="n">
        <v>43150</v>
      </c>
      <c r="C1046" s="30" t="n">
        <v>44168</v>
      </c>
      <c r="D1046" s="31" t="n">
        <f aca="false">VLOOKUP(A1046,'Order Shipping'!$A$2:$C$2000,3,FALSE())</f>
        <v>2.1</v>
      </c>
      <c r="E1046" s="32" t="n">
        <f aca="false">VLOOKUP($A1046,'Order Sales'!$A$2:$G$2154,E$1,FALSE())</f>
        <v>39</v>
      </c>
      <c r="F1046" s="32" t="n">
        <f aca="false">VLOOKUP($A1046,'Order Sales'!$A$2:$G$2154,F$1,FALSE())</f>
        <v>575.81</v>
      </c>
      <c r="G1046" s="32" t="str">
        <f aca="false">VLOOKUP($A1046,'Order Sales'!$A$2:$G$2154,G$1,FALSE())</f>
        <v>Consumer</v>
      </c>
    </row>
    <row r="1047" customFormat="false" ht="14.25" hidden="false" customHeight="false" outlineLevel="0" collapsed="false">
      <c r="A1047" s="1" t="n">
        <v>1275</v>
      </c>
      <c r="B1047" s="30" t="n">
        <v>43329</v>
      </c>
      <c r="C1047" s="30" t="n">
        <v>44169</v>
      </c>
      <c r="D1047" s="31" t="n">
        <f aca="false">VLOOKUP(A1047,'Order Shipping'!$A$2:$C$2000,3,FALSE())</f>
        <v>5.7</v>
      </c>
      <c r="E1047" s="32" t="n">
        <f aca="false">VLOOKUP($A1047,'Order Sales'!$A$2:$G$2154,E$1,FALSE())</f>
        <v>44</v>
      </c>
      <c r="F1047" s="32" t="n">
        <f aca="false">VLOOKUP($A1047,'Order Sales'!$A$2:$G$2154,F$1,FALSE())</f>
        <v>2592.01</v>
      </c>
      <c r="G1047" s="32" t="str">
        <f aca="false">VLOOKUP($A1047,'Order Sales'!$A$2:$G$2154,G$1,FALSE())</f>
        <v>Small Business</v>
      </c>
    </row>
    <row r="1048" customFormat="false" ht="14.25" hidden="false" customHeight="false" outlineLevel="0" collapsed="false">
      <c r="A1048" s="1" t="n">
        <v>1576</v>
      </c>
      <c r="B1048" s="30" t="n">
        <v>43367</v>
      </c>
      <c r="C1048" s="30" t="n">
        <v>44170</v>
      </c>
      <c r="D1048" s="31" t="n">
        <f aca="false">VLOOKUP(A1048,'Order Shipping'!$A$2:$C$2000,3,FALSE())</f>
        <v>4.5</v>
      </c>
      <c r="E1048" s="32" t="n">
        <f aca="false">VLOOKUP($A1048,'Order Sales'!$A$2:$G$2154,E$1,FALSE())</f>
        <v>33</v>
      </c>
      <c r="F1048" s="32" t="n">
        <f aca="false">VLOOKUP($A1048,'Order Sales'!$A$2:$G$2154,F$1,FALSE())</f>
        <v>5727.64</v>
      </c>
      <c r="G1048" s="32" t="str">
        <f aca="false">VLOOKUP($A1048,'Order Sales'!$A$2:$G$2154,G$1,FALSE())</f>
        <v>Corporate</v>
      </c>
    </row>
    <row r="1049" customFormat="false" ht="14.25" hidden="false" customHeight="false" outlineLevel="0" collapsed="false">
      <c r="A1049" s="1" t="n">
        <v>2281</v>
      </c>
      <c r="B1049" s="30" t="n">
        <v>43453</v>
      </c>
      <c r="C1049" s="30" t="n">
        <v>44171</v>
      </c>
      <c r="D1049" s="31" t="n">
        <f aca="false">VLOOKUP(A1049,'Order Shipping'!$A$2:$C$2000,3,FALSE())</f>
        <v>0.5</v>
      </c>
      <c r="E1049" s="32" t="n">
        <f aca="false">VLOOKUP($A1049,'Order Sales'!$A$2:$G$2154,E$1,FALSE())</f>
        <v>10</v>
      </c>
      <c r="F1049" s="32" t="n">
        <f aca="false">VLOOKUP($A1049,'Order Sales'!$A$2:$G$2154,F$1,FALSE())</f>
        <v>74.92</v>
      </c>
      <c r="G1049" s="32" t="str">
        <f aca="false">VLOOKUP($A1049,'Order Sales'!$A$2:$G$2154,G$1,FALSE())</f>
        <v>Small Business</v>
      </c>
    </row>
    <row r="1050" customFormat="false" ht="14.25" hidden="false" customHeight="false" outlineLevel="0" collapsed="false">
      <c r="A1050" s="1" t="n">
        <v>1712</v>
      </c>
      <c r="B1050" s="30" t="n">
        <v>43123</v>
      </c>
      <c r="C1050" s="30" t="n">
        <v>44172</v>
      </c>
      <c r="D1050" s="31" t="n">
        <f aca="false">VLOOKUP(A1050,'Order Shipping'!$A$2:$C$2000,3,FALSE())</f>
        <v>7.5</v>
      </c>
      <c r="E1050" s="32" t="n">
        <f aca="false">VLOOKUP($A1050,'Order Sales'!$A$2:$G$2154,E$1,FALSE())</f>
        <v>44</v>
      </c>
      <c r="F1050" s="32" t="n">
        <f aca="false">VLOOKUP($A1050,'Order Sales'!$A$2:$G$2154,F$1,FALSE())</f>
        <v>530.19</v>
      </c>
      <c r="G1050" s="32" t="str">
        <f aca="false">VLOOKUP($A1050,'Order Sales'!$A$2:$G$2154,G$1,FALSE())</f>
        <v>Small Business</v>
      </c>
    </row>
    <row r="1051" customFormat="false" ht="14.25" hidden="false" customHeight="false" outlineLevel="0" collapsed="false">
      <c r="A1051" s="1" t="n">
        <v>1267</v>
      </c>
      <c r="B1051" s="30" t="n">
        <v>43128</v>
      </c>
      <c r="C1051" s="30" t="n">
        <v>44173</v>
      </c>
      <c r="D1051" s="31" t="n">
        <f aca="false">VLOOKUP(A1051,'Order Shipping'!$A$2:$C$2000,3,FALSE())</f>
        <v>8.2</v>
      </c>
      <c r="E1051" s="32" t="n">
        <f aca="false">VLOOKUP($A1051,'Order Sales'!$A$2:$G$2154,E$1,FALSE())</f>
        <v>3</v>
      </c>
      <c r="F1051" s="32" t="n">
        <f aca="false">VLOOKUP($A1051,'Order Sales'!$A$2:$G$2154,F$1,FALSE())</f>
        <v>331.59</v>
      </c>
      <c r="G1051" s="32" t="str">
        <f aca="false">VLOOKUP($A1051,'Order Sales'!$A$2:$G$2154,G$1,FALSE())</f>
        <v>Corporate</v>
      </c>
    </row>
    <row r="1052" customFormat="false" ht="14.25" hidden="false" customHeight="false" outlineLevel="0" collapsed="false">
      <c r="A1052" s="1" t="n">
        <v>1888</v>
      </c>
      <c r="B1052" s="30" t="n">
        <v>43239</v>
      </c>
      <c r="C1052" s="30" t="n">
        <v>44174</v>
      </c>
      <c r="D1052" s="31" t="n">
        <f aca="false">VLOOKUP(A1052,'Order Shipping'!$A$2:$C$2000,3,FALSE())</f>
        <v>9.6</v>
      </c>
      <c r="E1052" s="32" t="n">
        <f aca="false">VLOOKUP($A1052,'Order Sales'!$A$2:$G$2154,E$1,FALSE())</f>
        <v>11</v>
      </c>
      <c r="F1052" s="32" t="n">
        <f aca="false">VLOOKUP($A1052,'Order Sales'!$A$2:$G$2154,F$1,FALSE())</f>
        <v>1235.78</v>
      </c>
      <c r="G1052" s="32" t="str">
        <f aca="false">VLOOKUP($A1052,'Order Sales'!$A$2:$G$2154,G$1,FALSE())</f>
        <v>Home Office</v>
      </c>
    </row>
    <row r="1053" customFormat="false" ht="14.25" hidden="false" customHeight="false" outlineLevel="0" collapsed="false">
      <c r="A1053" s="1" t="n">
        <v>1326</v>
      </c>
      <c r="B1053" s="30" t="n">
        <v>43346</v>
      </c>
      <c r="C1053" s="30" t="n">
        <v>44175</v>
      </c>
      <c r="D1053" s="31" t="n">
        <f aca="false">VLOOKUP(A1053,'Order Shipping'!$A$2:$C$2000,3,FALSE())</f>
        <v>5.2</v>
      </c>
      <c r="E1053" s="32" t="n">
        <f aca="false">VLOOKUP($A1053,'Order Sales'!$A$2:$G$2154,E$1,FALSE())</f>
        <v>37</v>
      </c>
      <c r="F1053" s="32" t="n">
        <f aca="false">VLOOKUP($A1053,'Order Sales'!$A$2:$G$2154,F$1,FALSE())</f>
        <v>3115.86</v>
      </c>
      <c r="G1053" s="32" t="str">
        <f aca="false">VLOOKUP($A1053,'Order Sales'!$A$2:$G$2154,G$1,FALSE())</f>
        <v>Corporate</v>
      </c>
    </row>
    <row r="1054" customFormat="false" ht="14.25" hidden="false" customHeight="false" outlineLevel="0" collapsed="false">
      <c r="A1054" s="1" t="n">
        <v>2002</v>
      </c>
      <c r="B1054" s="30" t="n">
        <v>43283</v>
      </c>
      <c r="C1054" s="30" t="n">
        <v>44176</v>
      </c>
      <c r="D1054" s="31" t="n">
        <f aca="false">VLOOKUP(A1054,'Order Shipping'!$A$2:$C$2000,3,FALSE())</f>
        <v>3.2</v>
      </c>
      <c r="E1054" s="32" t="n">
        <f aca="false">VLOOKUP($A1054,'Order Sales'!$A$2:$G$2154,E$1,FALSE())</f>
        <v>40</v>
      </c>
      <c r="F1054" s="32" t="n">
        <f aca="false">VLOOKUP($A1054,'Order Sales'!$A$2:$G$2154,F$1,FALSE())</f>
        <v>1580.81</v>
      </c>
      <c r="G1054" s="32" t="str">
        <f aca="false">VLOOKUP($A1054,'Order Sales'!$A$2:$G$2154,G$1,FALSE())</f>
        <v>Corporate</v>
      </c>
    </row>
    <row r="1055" customFormat="false" ht="14.25" hidden="false" customHeight="false" outlineLevel="0" collapsed="false">
      <c r="A1055" s="1" t="n">
        <v>2253</v>
      </c>
      <c r="B1055" s="30" t="n">
        <v>43154</v>
      </c>
      <c r="C1055" s="30" t="n">
        <v>44177</v>
      </c>
      <c r="D1055" s="31" t="n">
        <f aca="false">VLOOKUP(A1055,'Order Shipping'!$A$2:$C$2000,3,FALSE())</f>
        <v>3.6</v>
      </c>
      <c r="E1055" s="32" t="n">
        <f aca="false">VLOOKUP($A1055,'Order Sales'!$A$2:$G$2154,E$1,FALSE())</f>
        <v>27</v>
      </c>
      <c r="F1055" s="32" t="n">
        <f aca="false">VLOOKUP($A1055,'Order Sales'!$A$2:$G$2154,F$1,FALSE())</f>
        <v>326.4</v>
      </c>
      <c r="G1055" s="32" t="str">
        <f aca="false">VLOOKUP($A1055,'Order Sales'!$A$2:$G$2154,G$1,FALSE())</f>
        <v>Home Office</v>
      </c>
    </row>
    <row r="1056" customFormat="false" ht="14.25" hidden="false" customHeight="false" outlineLevel="0" collapsed="false">
      <c r="A1056" s="1" t="n">
        <v>1542</v>
      </c>
      <c r="B1056" s="30" t="n">
        <v>43463</v>
      </c>
      <c r="C1056" s="30" t="n">
        <v>44178</v>
      </c>
      <c r="D1056" s="31" t="n">
        <f aca="false">VLOOKUP(A1056,'Order Shipping'!$A$2:$C$2000,3,FALSE())</f>
        <v>1.6</v>
      </c>
      <c r="E1056" s="32" t="n">
        <f aca="false">VLOOKUP($A1056,'Order Sales'!$A$2:$G$2154,E$1,FALSE())</f>
        <v>29</v>
      </c>
      <c r="F1056" s="32" t="n">
        <f aca="false">VLOOKUP($A1056,'Order Sales'!$A$2:$G$2154,F$1,FALSE())</f>
        <v>912.44</v>
      </c>
      <c r="G1056" s="32" t="str">
        <f aca="false">VLOOKUP($A1056,'Order Sales'!$A$2:$G$2154,G$1,FALSE())</f>
        <v>Corporate</v>
      </c>
    </row>
    <row r="1057" customFormat="false" ht="14.25" hidden="false" customHeight="false" outlineLevel="0" collapsed="false">
      <c r="A1057" s="1" t="n">
        <v>1194</v>
      </c>
      <c r="B1057" s="30" t="n">
        <v>43350</v>
      </c>
      <c r="C1057" s="30" t="n">
        <v>44179</v>
      </c>
      <c r="D1057" s="31" t="n">
        <f aca="false">VLOOKUP(A1057,'Order Shipping'!$A$2:$C$2000,3,FALSE())</f>
        <v>5.7</v>
      </c>
      <c r="E1057" s="32" t="n">
        <f aca="false">VLOOKUP($A1057,'Order Sales'!$A$2:$G$2154,E$1,FALSE())</f>
        <v>6</v>
      </c>
      <c r="F1057" s="32" t="n">
        <f aca="false">VLOOKUP($A1057,'Order Sales'!$A$2:$G$2154,F$1,FALSE())</f>
        <v>29.23</v>
      </c>
      <c r="G1057" s="32" t="str">
        <f aca="false">VLOOKUP($A1057,'Order Sales'!$A$2:$G$2154,G$1,FALSE())</f>
        <v>Corporate</v>
      </c>
    </row>
    <row r="1058" customFormat="false" ht="14.25" hidden="false" customHeight="false" outlineLevel="0" collapsed="false">
      <c r="A1058" s="1" t="n">
        <v>2954</v>
      </c>
      <c r="B1058" s="30" t="n">
        <v>43258</v>
      </c>
      <c r="C1058" s="30" t="n">
        <v>44180</v>
      </c>
      <c r="D1058" s="31" t="n">
        <f aca="false">VLOOKUP(A1058,'Order Shipping'!$A$2:$C$2000,3,FALSE())</f>
        <v>1.1</v>
      </c>
      <c r="E1058" s="32" t="n">
        <f aca="false">VLOOKUP($A1058,'Order Sales'!$A$2:$G$2154,E$1,FALSE())</f>
        <v>24</v>
      </c>
      <c r="F1058" s="32" t="n">
        <f aca="false">VLOOKUP($A1058,'Order Sales'!$A$2:$G$2154,F$1,FALSE())</f>
        <v>1938.36</v>
      </c>
      <c r="G1058" s="32" t="str">
        <f aca="false">VLOOKUP($A1058,'Order Sales'!$A$2:$G$2154,G$1,FALSE())</f>
        <v>Small Business</v>
      </c>
    </row>
    <row r="1059" customFormat="false" ht="14.25" hidden="false" customHeight="false" outlineLevel="0" collapsed="false">
      <c r="A1059" s="1" t="n">
        <v>2017</v>
      </c>
      <c r="B1059" s="30" t="n">
        <v>43429</v>
      </c>
      <c r="C1059" s="30" t="n">
        <v>44181</v>
      </c>
      <c r="D1059" s="31" t="n">
        <f aca="false">VLOOKUP(A1059,'Order Shipping'!$A$2:$C$2000,3,FALSE())</f>
        <v>25.2</v>
      </c>
      <c r="E1059" s="32" t="n">
        <f aca="false">VLOOKUP($A1059,'Order Sales'!$A$2:$G$2154,E$1,FALSE())</f>
        <v>9</v>
      </c>
      <c r="F1059" s="32" t="n">
        <f aca="false">VLOOKUP($A1059,'Order Sales'!$A$2:$G$2154,F$1,FALSE())</f>
        <v>1815.47</v>
      </c>
      <c r="G1059" s="32" t="str">
        <f aca="false">VLOOKUP($A1059,'Order Sales'!$A$2:$G$2154,G$1,FALSE())</f>
        <v>Home Office</v>
      </c>
    </row>
    <row r="1060" customFormat="false" ht="14.25" hidden="false" customHeight="false" outlineLevel="0" collapsed="false">
      <c r="A1060" s="1" t="n">
        <v>2360</v>
      </c>
      <c r="B1060" s="30" t="n">
        <v>43188</v>
      </c>
      <c r="C1060" s="30" t="n">
        <v>44182</v>
      </c>
      <c r="D1060" s="31" t="n">
        <f aca="false">VLOOKUP(A1060,'Order Shipping'!$A$2:$C$2000,3,FALSE())</f>
        <v>0.5</v>
      </c>
      <c r="E1060" s="32" t="n">
        <f aca="false">VLOOKUP($A1060,'Order Sales'!$A$2:$G$2154,E$1,FALSE())</f>
        <v>7</v>
      </c>
      <c r="F1060" s="32" t="n">
        <f aca="false">VLOOKUP($A1060,'Order Sales'!$A$2:$G$2154,F$1,FALSE())</f>
        <v>25.51</v>
      </c>
      <c r="G1060" s="32" t="str">
        <f aca="false">VLOOKUP($A1060,'Order Sales'!$A$2:$G$2154,G$1,FALSE())</f>
        <v>Corporate</v>
      </c>
    </row>
    <row r="1061" customFormat="false" ht="14.25" hidden="false" customHeight="false" outlineLevel="0" collapsed="false">
      <c r="A1061" s="1" t="n">
        <v>2918</v>
      </c>
      <c r="B1061" s="30" t="n">
        <v>43269</v>
      </c>
      <c r="C1061" s="30" t="n">
        <v>44183</v>
      </c>
      <c r="D1061" s="31" t="n">
        <f aca="false">VLOOKUP(A1061,'Order Shipping'!$A$2:$C$2000,3,FALSE())</f>
        <v>8.5</v>
      </c>
      <c r="E1061" s="32" t="n">
        <f aca="false">VLOOKUP($A1061,'Order Sales'!$A$2:$G$2154,E$1,FALSE())</f>
        <v>44</v>
      </c>
      <c r="F1061" s="32" t="n">
        <f aca="false">VLOOKUP($A1061,'Order Sales'!$A$2:$G$2154,F$1,FALSE())</f>
        <v>473.71</v>
      </c>
      <c r="G1061" s="32" t="str">
        <f aca="false">VLOOKUP($A1061,'Order Sales'!$A$2:$G$2154,G$1,FALSE())</f>
        <v>Small Business</v>
      </c>
    </row>
    <row r="1062" customFormat="false" ht="14.25" hidden="false" customHeight="false" outlineLevel="0" collapsed="false">
      <c r="A1062" s="1" t="n">
        <v>1282</v>
      </c>
      <c r="B1062" s="30" t="n">
        <v>43247</v>
      </c>
      <c r="C1062" s="30" t="n">
        <v>44184</v>
      </c>
      <c r="D1062" s="31" t="n">
        <f aca="false">VLOOKUP(A1062,'Order Shipping'!$A$2:$C$2000,3,FALSE())</f>
        <v>0.5</v>
      </c>
      <c r="E1062" s="32" t="n">
        <f aca="false">VLOOKUP($A1062,'Order Sales'!$A$2:$G$2154,E$1,FALSE())</f>
        <v>41</v>
      </c>
      <c r="F1062" s="32" t="n">
        <f aca="false">VLOOKUP($A1062,'Order Sales'!$A$2:$G$2154,F$1,FALSE())</f>
        <v>184.2</v>
      </c>
      <c r="G1062" s="32" t="str">
        <f aca="false">VLOOKUP($A1062,'Order Sales'!$A$2:$G$2154,G$1,FALSE())</f>
        <v>Corporate</v>
      </c>
    </row>
    <row r="1063" customFormat="false" ht="14.25" hidden="false" customHeight="false" outlineLevel="0" collapsed="false">
      <c r="A1063" s="1" t="n">
        <v>2535</v>
      </c>
      <c r="B1063" s="30" t="n">
        <v>43142</v>
      </c>
      <c r="C1063" s="30" t="n">
        <v>44185</v>
      </c>
      <c r="D1063" s="31" t="n">
        <f aca="false">VLOOKUP(A1063,'Order Shipping'!$A$2:$C$2000,3,FALSE())</f>
        <v>49.4</v>
      </c>
      <c r="E1063" s="32" t="n">
        <f aca="false">VLOOKUP($A1063,'Order Sales'!$A$2:$G$2154,E$1,FALSE())</f>
        <v>35</v>
      </c>
      <c r="F1063" s="32" t="n">
        <f aca="false">VLOOKUP($A1063,'Order Sales'!$A$2:$G$2154,F$1,FALSE())</f>
        <v>5786.45</v>
      </c>
      <c r="G1063" s="32" t="str">
        <f aca="false">VLOOKUP($A1063,'Order Sales'!$A$2:$G$2154,G$1,FALSE())</f>
        <v>Home Office</v>
      </c>
    </row>
    <row r="1064" customFormat="false" ht="14.25" hidden="false" customHeight="false" outlineLevel="0" collapsed="false">
      <c r="A1064" s="1" t="n">
        <v>1288</v>
      </c>
      <c r="B1064" s="30" t="n">
        <v>43252</v>
      </c>
      <c r="C1064" s="30" t="n">
        <v>44186</v>
      </c>
      <c r="D1064" s="31" t="n">
        <f aca="false">VLOOKUP(A1064,'Order Shipping'!$A$2:$C$2000,3,FALSE())</f>
        <v>9.6</v>
      </c>
      <c r="E1064" s="32" t="n">
        <f aca="false">VLOOKUP($A1064,'Order Sales'!$A$2:$G$2154,E$1,FALSE())</f>
        <v>13</v>
      </c>
      <c r="F1064" s="32" t="n">
        <f aca="false">VLOOKUP($A1064,'Order Sales'!$A$2:$G$2154,F$1,FALSE())</f>
        <v>826.33</v>
      </c>
      <c r="G1064" s="32" t="str">
        <f aca="false">VLOOKUP($A1064,'Order Sales'!$A$2:$G$2154,G$1,FALSE())</f>
        <v>Corporate</v>
      </c>
    </row>
    <row r="1065" customFormat="false" ht="14.25" hidden="false" customHeight="false" outlineLevel="0" collapsed="false">
      <c r="A1065" s="1" t="n">
        <v>2180</v>
      </c>
      <c r="B1065" s="30" t="n">
        <v>43162</v>
      </c>
      <c r="C1065" s="30" t="n">
        <v>44187</v>
      </c>
      <c r="D1065" s="31" t="n">
        <f aca="false">VLOOKUP(A1065,'Order Shipping'!$A$2:$C$2000,3,FALSE())</f>
        <v>46.4</v>
      </c>
      <c r="E1065" s="32" t="n">
        <f aca="false">VLOOKUP($A1065,'Order Sales'!$A$2:$G$2154,E$1,FALSE())</f>
        <v>50</v>
      </c>
      <c r="F1065" s="32" t="n">
        <f aca="false">VLOOKUP($A1065,'Order Sales'!$A$2:$G$2154,F$1,FALSE())</f>
        <v>12055.05</v>
      </c>
      <c r="G1065" s="32" t="str">
        <f aca="false">VLOOKUP($A1065,'Order Sales'!$A$2:$G$2154,G$1,FALSE())</f>
        <v>Corporate</v>
      </c>
    </row>
    <row r="1066" customFormat="false" ht="14.25" hidden="false" customHeight="false" outlineLevel="0" collapsed="false">
      <c r="A1066" s="1" t="n">
        <v>2318</v>
      </c>
      <c r="B1066" s="30" t="n">
        <v>43233</v>
      </c>
      <c r="C1066" s="30" t="n">
        <v>44188</v>
      </c>
      <c r="D1066" s="31" t="n">
        <f aca="false">VLOOKUP(A1066,'Order Shipping'!$A$2:$C$2000,3,FALSE())</f>
        <v>6.2</v>
      </c>
      <c r="E1066" s="32" t="n">
        <f aca="false">VLOOKUP($A1066,'Order Sales'!$A$2:$G$2154,E$1,FALSE())</f>
        <v>9</v>
      </c>
      <c r="F1066" s="32" t="n">
        <f aca="false">VLOOKUP($A1066,'Order Sales'!$A$2:$G$2154,F$1,FALSE())</f>
        <v>84.8</v>
      </c>
      <c r="G1066" s="32" t="str">
        <f aca="false">VLOOKUP($A1066,'Order Sales'!$A$2:$G$2154,G$1,FALSE())</f>
        <v>Small Business</v>
      </c>
    </row>
    <row r="1067" customFormat="false" ht="14.25" hidden="false" customHeight="false" outlineLevel="0" collapsed="false">
      <c r="A1067" s="1" t="n">
        <v>1734</v>
      </c>
      <c r="B1067" s="30" t="n">
        <v>43119</v>
      </c>
      <c r="C1067" s="30" t="n">
        <v>44189</v>
      </c>
      <c r="D1067" s="31" t="n">
        <f aca="false">VLOOKUP(A1067,'Order Shipping'!$A$2:$C$2000,3,FALSE())</f>
        <v>21.4</v>
      </c>
      <c r="E1067" s="32" t="n">
        <f aca="false">VLOOKUP($A1067,'Order Sales'!$A$2:$G$2154,E$1,FALSE())</f>
        <v>5</v>
      </c>
      <c r="F1067" s="32" t="n">
        <f aca="false">VLOOKUP($A1067,'Order Sales'!$A$2:$G$2154,F$1,FALSE())</f>
        <v>540.13</v>
      </c>
      <c r="G1067" s="32" t="str">
        <f aca="false">VLOOKUP($A1067,'Order Sales'!$A$2:$G$2154,G$1,FALSE())</f>
        <v>Consumer</v>
      </c>
    </row>
    <row r="1068" customFormat="false" ht="14.25" hidden="false" customHeight="false" outlineLevel="0" collapsed="false">
      <c r="A1068" s="1" t="n">
        <v>1150</v>
      </c>
      <c r="B1068" s="30" t="n">
        <v>43433</v>
      </c>
      <c r="C1068" s="30" t="n">
        <v>44190</v>
      </c>
      <c r="D1068" s="31" t="n">
        <f aca="false">VLOOKUP(A1068,'Order Shipping'!$A$2:$C$2000,3,FALSE())</f>
        <v>3.2</v>
      </c>
      <c r="E1068" s="32" t="n">
        <f aca="false">VLOOKUP($A1068,'Order Sales'!$A$2:$G$2154,E$1,FALSE())</f>
        <v>40</v>
      </c>
      <c r="F1068" s="32" t="n">
        <f aca="false">VLOOKUP($A1068,'Order Sales'!$A$2:$G$2154,F$1,FALSE())</f>
        <v>1888.6</v>
      </c>
      <c r="G1068" s="32" t="str">
        <f aca="false">VLOOKUP($A1068,'Order Sales'!$A$2:$G$2154,G$1,FALSE())</f>
        <v>Small Business</v>
      </c>
    </row>
    <row r="1069" customFormat="false" ht="14.25" hidden="false" customHeight="false" outlineLevel="0" collapsed="false">
      <c r="A1069" s="1" t="n">
        <v>1134</v>
      </c>
      <c r="B1069" s="30" t="n">
        <v>43153</v>
      </c>
      <c r="C1069" s="30" t="n">
        <v>44191</v>
      </c>
      <c r="D1069" s="31" t="n">
        <f aca="false">VLOOKUP(A1069,'Order Shipping'!$A$2:$C$2000,3,FALSE())</f>
        <v>1.6</v>
      </c>
      <c r="E1069" s="32" t="n">
        <f aca="false">VLOOKUP($A1069,'Order Sales'!$A$2:$G$2154,E$1,FALSE())</f>
        <v>27</v>
      </c>
      <c r="F1069" s="32" t="n">
        <f aca="false">VLOOKUP($A1069,'Order Sales'!$A$2:$G$2154,F$1,FALSE())</f>
        <v>378.37</v>
      </c>
      <c r="G1069" s="32" t="str">
        <f aca="false">VLOOKUP($A1069,'Order Sales'!$A$2:$G$2154,G$1,FALSE())</f>
        <v>Consumer</v>
      </c>
    </row>
    <row r="1070" customFormat="false" ht="14.25" hidden="false" customHeight="false" outlineLevel="0" collapsed="false">
      <c r="A1070" s="1" t="n">
        <v>1901</v>
      </c>
      <c r="B1070" s="30" t="n">
        <v>43254</v>
      </c>
      <c r="C1070" s="30" t="n">
        <v>44192</v>
      </c>
      <c r="D1070" s="31" t="n">
        <f aca="false">VLOOKUP(A1070,'Order Shipping'!$A$2:$C$2000,3,FALSE())</f>
        <v>12</v>
      </c>
      <c r="E1070" s="32" t="n">
        <f aca="false">VLOOKUP($A1070,'Order Sales'!$A$2:$G$2154,E$1,FALSE())</f>
        <v>3</v>
      </c>
      <c r="F1070" s="32" t="n">
        <f aca="false">VLOOKUP($A1070,'Order Sales'!$A$2:$G$2154,F$1,FALSE())</f>
        <v>79.23</v>
      </c>
      <c r="G1070" s="32" t="str">
        <f aca="false">VLOOKUP($A1070,'Order Sales'!$A$2:$G$2154,G$1,FALSE())</f>
        <v>Small Business</v>
      </c>
    </row>
    <row r="1071" customFormat="false" ht="14.25" hidden="false" customHeight="false" outlineLevel="0" collapsed="false">
      <c r="A1071" s="1" t="n">
        <v>2831</v>
      </c>
      <c r="B1071" s="30" t="n">
        <v>43405</v>
      </c>
      <c r="C1071" s="30" t="n">
        <v>44193</v>
      </c>
      <c r="D1071" s="31" t="n">
        <f aca="false">VLOOKUP(A1071,'Order Shipping'!$A$2:$C$2000,3,FALSE())</f>
        <v>5.1</v>
      </c>
      <c r="E1071" s="32" t="n">
        <f aca="false">VLOOKUP($A1071,'Order Sales'!$A$2:$G$2154,E$1,FALSE())</f>
        <v>20</v>
      </c>
      <c r="F1071" s="32" t="n">
        <f aca="false">VLOOKUP($A1071,'Order Sales'!$A$2:$G$2154,F$1,FALSE())</f>
        <v>56.39</v>
      </c>
      <c r="G1071" s="32" t="str">
        <f aca="false">VLOOKUP($A1071,'Order Sales'!$A$2:$G$2154,G$1,FALSE())</f>
        <v>Home Office</v>
      </c>
    </row>
    <row r="1072" customFormat="false" ht="14.25" hidden="false" customHeight="false" outlineLevel="0" collapsed="false">
      <c r="A1072" s="1" t="n">
        <v>1067</v>
      </c>
      <c r="B1072" s="30" t="n">
        <v>43354</v>
      </c>
      <c r="C1072" s="30" t="n">
        <v>44194</v>
      </c>
      <c r="D1072" s="31" t="n">
        <f aca="false">VLOOKUP(A1072,'Order Shipping'!$A$2:$C$2000,3,FALSE())</f>
        <v>0.9</v>
      </c>
      <c r="E1072" s="32" t="n">
        <f aca="false">VLOOKUP($A1072,'Order Sales'!$A$2:$G$2154,E$1,FALSE())</f>
        <v>26</v>
      </c>
      <c r="F1072" s="32" t="n">
        <f aca="false">VLOOKUP($A1072,'Order Sales'!$A$2:$G$2154,F$1,FALSE())</f>
        <v>143.01</v>
      </c>
      <c r="G1072" s="32" t="str">
        <f aca="false">VLOOKUP($A1072,'Order Sales'!$A$2:$G$2154,G$1,FALSE())</f>
        <v>Small Business</v>
      </c>
    </row>
    <row r="1073" customFormat="false" ht="14.25" hidden="false" customHeight="false" outlineLevel="0" collapsed="false">
      <c r="A1073" s="1" t="n">
        <v>1643</v>
      </c>
      <c r="B1073" s="30" t="n">
        <v>43441</v>
      </c>
      <c r="C1073" s="30" t="n">
        <v>44195</v>
      </c>
      <c r="D1073" s="31" t="n">
        <f aca="false">VLOOKUP(A1073,'Order Shipping'!$A$2:$C$2000,3,FALSE())</f>
        <v>9.6</v>
      </c>
      <c r="E1073" s="32" t="n">
        <f aca="false">VLOOKUP($A1073,'Order Sales'!$A$2:$G$2154,E$1,FALSE())</f>
        <v>8</v>
      </c>
      <c r="F1073" s="32" t="n">
        <f aca="false">VLOOKUP($A1073,'Order Sales'!$A$2:$G$2154,F$1,FALSE())</f>
        <v>207.7</v>
      </c>
      <c r="G1073" s="32" t="str">
        <f aca="false">VLOOKUP($A1073,'Order Sales'!$A$2:$G$2154,G$1,FALSE())</f>
        <v>Consumer</v>
      </c>
    </row>
    <row r="1074" customFormat="false" ht="14.25" hidden="false" customHeight="false" outlineLevel="0" collapsed="false">
      <c r="A1074" s="1" t="n">
        <v>1368</v>
      </c>
      <c r="B1074" s="30" t="n">
        <v>43259</v>
      </c>
      <c r="C1074" s="30" t="n">
        <v>44196</v>
      </c>
      <c r="D1074" s="31" t="n">
        <f aca="false">VLOOKUP(A1074,'Order Shipping'!$A$2:$C$2000,3,FALSE())</f>
        <v>3.9</v>
      </c>
      <c r="E1074" s="32" t="n">
        <f aca="false">VLOOKUP($A1074,'Order Sales'!$A$2:$G$2154,E$1,FALSE())</f>
        <v>21</v>
      </c>
      <c r="F1074" s="32" t="n">
        <f aca="false">VLOOKUP($A1074,'Order Sales'!$A$2:$G$2154,F$1,FALSE())</f>
        <v>122.55</v>
      </c>
      <c r="G1074" s="32" t="str">
        <f aca="false">VLOOKUP($A1074,'Order Sales'!$A$2:$G$2154,G$1,FALSE())</f>
        <v>Corporate</v>
      </c>
    </row>
    <row r="1075" customFormat="false" ht="14.25" hidden="false" customHeight="false" outlineLevel="0" collapsed="false">
      <c r="A1075" s="1" t="n">
        <v>2620</v>
      </c>
      <c r="B1075" s="30" t="n">
        <v>43373</v>
      </c>
      <c r="C1075" s="30" t="n">
        <v>44197</v>
      </c>
      <c r="D1075" s="31" t="n">
        <f aca="false">VLOOKUP(A1075,'Order Shipping'!$A$2:$C$2000,3,FALSE())</f>
        <v>9.7</v>
      </c>
      <c r="E1075" s="32" t="n">
        <f aca="false">VLOOKUP($A1075,'Order Sales'!$A$2:$G$2154,E$1,FALSE())</f>
        <v>38</v>
      </c>
      <c r="F1075" s="32" t="n">
        <f aca="false">VLOOKUP($A1075,'Order Sales'!$A$2:$G$2154,F$1,FALSE())</f>
        <v>760.05</v>
      </c>
      <c r="G1075" s="32" t="str">
        <f aca="false">VLOOKUP($A1075,'Order Sales'!$A$2:$G$2154,G$1,FALSE())</f>
        <v>Home Office</v>
      </c>
    </row>
    <row r="1076" customFormat="false" ht="14.25" hidden="false" customHeight="false" outlineLevel="0" collapsed="false">
      <c r="A1076" s="1" t="n">
        <v>2517</v>
      </c>
      <c r="B1076" s="30" t="n">
        <v>43136</v>
      </c>
      <c r="C1076" s="30" t="n">
        <v>44198</v>
      </c>
      <c r="D1076" s="31" t="n">
        <f aca="false">VLOOKUP(A1076,'Order Shipping'!$A$2:$C$2000,3,FALSE())</f>
        <v>6.2</v>
      </c>
      <c r="E1076" s="32" t="n">
        <f aca="false">VLOOKUP($A1076,'Order Sales'!$A$2:$G$2154,E$1,FALSE())</f>
        <v>32</v>
      </c>
      <c r="F1076" s="32" t="n">
        <f aca="false">VLOOKUP($A1076,'Order Sales'!$A$2:$G$2154,F$1,FALSE())</f>
        <v>688.58</v>
      </c>
      <c r="G1076" s="32" t="str">
        <f aca="false">VLOOKUP($A1076,'Order Sales'!$A$2:$G$2154,G$1,FALSE())</f>
        <v>Consumer</v>
      </c>
    </row>
    <row r="1077" customFormat="false" ht="14.25" hidden="false" customHeight="false" outlineLevel="0" collapsed="false">
      <c r="A1077" s="1" t="n">
        <v>1302</v>
      </c>
      <c r="B1077" s="30" t="n">
        <v>43439</v>
      </c>
      <c r="C1077" s="30" t="n">
        <v>44199</v>
      </c>
      <c r="D1077" s="31" t="n">
        <f aca="false">VLOOKUP(A1077,'Order Shipping'!$A$2:$C$2000,3,FALSE())</f>
        <v>37.5</v>
      </c>
      <c r="E1077" s="32" t="n">
        <f aca="false">VLOOKUP($A1077,'Order Sales'!$A$2:$G$2154,E$1,FALSE())</f>
        <v>18</v>
      </c>
      <c r="F1077" s="32" t="n">
        <f aca="false">VLOOKUP($A1077,'Order Sales'!$A$2:$G$2154,F$1,FALSE())</f>
        <v>1854.42</v>
      </c>
      <c r="G1077" s="32" t="str">
        <f aca="false">VLOOKUP($A1077,'Order Sales'!$A$2:$G$2154,G$1,FALSE())</f>
        <v>Consumer</v>
      </c>
    </row>
    <row r="1078" customFormat="false" ht="14.25" hidden="false" customHeight="false" outlineLevel="0" collapsed="false">
      <c r="A1078" s="1" t="n">
        <v>1849</v>
      </c>
      <c r="B1078" s="30" t="n">
        <v>43211</v>
      </c>
      <c r="C1078" s="30" t="n">
        <v>44200</v>
      </c>
      <c r="D1078" s="31" t="n">
        <f aca="false">VLOOKUP(A1078,'Order Shipping'!$A$2:$C$2000,3,FALSE())</f>
        <v>5.1</v>
      </c>
      <c r="E1078" s="32" t="n">
        <f aca="false">VLOOKUP($A1078,'Order Sales'!$A$2:$G$2154,E$1,FALSE())</f>
        <v>18</v>
      </c>
      <c r="F1078" s="32" t="n">
        <f aca="false">VLOOKUP($A1078,'Order Sales'!$A$2:$G$2154,F$1,FALSE())</f>
        <v>364.54</v>
      </c>
      <c r="G1078" s="32" t="str">
        <f aca="false">VLOOKUP($A1078,'Order Sales'!$A$2:$G$2154,G$1,FALSE())</f>
        <v>Corporate</v>
      </c>
    </row>
    <row r="1079" customFormat="false" ht="14.25" hidden="false" customHeight="false" outlineLevel="0" collapsed="false">
      <c r="A1079" s="1" t="n">
        <v>2229</v>
      </c>
      <c r="B1079" s="30" t="n">
        <v>43413</v>
      </c>
      <c r="C1079" s="30" t="n">
        <v>44201</v>
      </c>
      <c r="D1079" s="31" t="n">
        <f aca="false">VLOOKUP(A1079,'Order Shipping'!$A$2:$C$2000,3,FALSE())</f>
        <v>10.1</v>
      </c>
      <c r="E1079" s="32" t="n">
        <f aca="false">VLOOKUP($A1079,'Order Sales'!$A$2:$G$2154,E$1,FALSE())</f>
        <v>40</v>
      </c>
      <c r="F1079" s="32" t="n">
        <f aca="false">VLOOKUP($A1079,'Order Sales'!$A$2:$G$2154,F$1,FALSE())</f>
        <v>727.09</v>
      </c>
      <c r="G1079" s="32" t="str">
        <f aca="false">VLOOKUP($A1079,'Order Sales'!$A$2:$G$2154,G$1,FALSE())</f>
        <v>Home Office</v>
      </c>
    </row>
    <row r="1080" customFormat="false" ht="14.25" hidden="false" customHeight="false" outlineLevel="0" collapsed="false">
      <c r="A1080" s="1" t="n">
        <v>2230</v>
      </c>
      <c r="B1080" s="30" t="n">
        <v>43413</v>
      </c>
      <c r="C1080" s="30" t="n">
        <v>44202</v>
      </c>
      <c r="D1080" s="31" t="n">
        <f aca="false">VLOOKUP(A1080,'Order Shipping'!$A$2:$C$2000,3,FALSE())</f>
        <v>37.5</v>
      </c>
      <c r="E1080" s="32" t="n">
        <f aca="false">VLOOKUP($A1080,'Order Sales'!$A$2:$G$2154,E$1,FALSE())</f>
        <v>38</v>
      </c>
      <c r="F1080" s="32" t="n">
        <f aca="false">VLOOKUP($A1080,'Order Sales'!$A$2:$G$2154,F$1,FALSE())</f>
        <v>5538.61</v>
      </c>
      <c r="G1080" s="32" t="str">
        <f aca="false">VLOOKUP($A1080,'Order Sales'!$A$2:$G$2154,G$1,FALSE())</f>
        <v>Home Office</v>
      </c>
    </row>
    <row r="1081" customFormat="false" ht="14.25" hidden="false" customHeight="false" outlineLevel="0" collapsed="false">
      <c r="A1081" s="1" t="n">
        <v>2711</v>
      </c>
      <c r="B1081" s="30" t="n">
        <v>43149</v>
      </c>
      <c r="C1081" s="30" t="n">
        <v>44203</v>
      </c>
      <c r="D1081" s="31" t="n">
        <f aca="false">VLOOKUP(A1081,'Order Shipping'!$A$2:$C$2000,3,FALSE())</f>
        <v>7.7</v>
      </c>
      <c r="E1081" s="32" t="n">
        <f aca="false">VLOOKUP($A1081,'Order Sales'!$A$2:$G$2154,E$1,FALSE())</f>
        <v>13</v>
      </c>
      <c r="F1081" s="32" t="n">
        <f aca="false">VLOOKUP($A1081,'Order Sales'!$A$2:$G$2154,F$1,FALSE())</f>
        <v>1399.43</v>
      </c>
      <c r="G1081" s="32" t="str">
        <f aca="false">VLOOKUP($A1081,'Order Sales'!$A$2:$G$2154,G$1,FALSE())</f>
        <v>Small Business</v>
      </c>
    </row>
    <row r="1082" customFormat="false" ht="14.25" hidden="false" customHeight="false" outlineLevel="0" collapsed="false">
      <c r="A1082" s="1" t="n">
        <v>1202</v>
      </c>
      <c r="B1082" s="30" t="n">
        <v>43339</v>
      </c>
      <c r="C1082" s="30" t="n">
        <v>44204</v>
      </c>
      <c r="D1082" s="31" t="n">
        <f aca="false">VLOOKUP(A1082,'Order Shipping'!$A$2:$C$2000,3,FALSE())</f>
        <v>6.5</v>
      </c>
      <c r="E1082" s="32" t="n">
        <f aca="false">VLOOKUP($A1082,'Order Sales'!$A$2:$G$2154,E$1,FALSE())</f>
        <v>43</v>
      </c>
      <c r="F1082" s="32" t="n">
        <f aca="false">VLOOKUP($A1082,'Order Sales'!$A$2:$G$2154,F$1,FALSE())</f>
        <v>342.68</v>
      </c>
      <c r="G1082" s="32" t="str">
        <f aca="false">VLOOKUP($A1082,'Order Sales'!$A$2:$G$2154,G$1,FALSE())</f>
        <v>Home Office</v>
      </c>
    </row>
    <row r="1083" customFormat="false" ht="14.25" hidden="false" customHeight="false" outlineLevel="0" collapsed="false">
      <c r="A1083" s="1" t="n">
        <v>1770</v>
      </c>
      <c r="B1083" s="30" t="n">
        <v>43200</v>
      </c>
      <c r="C1083" s="30" t="n">
        <v>44205</v>
      </c>
      <c r="D1083" s="31" t="n">
        <f aca="false">VLOOKUP(A1083,'Order Shipping'!$A$2:$C$2000,3,FALSE())</f>
        <v>12</v>
      </c>
      <c r="E1083" s="32" t="n">
        <f aca="false">VLOOKUP($A1083,'Order Sales'!$A$2:$G$2154,E$1,FALSE())</f>
        <v>8</v>
      </c>
      <c r="F1083" s="32" t="n">
        <f aca="false">VLOOKUP($A1083,'Order Sales'!$A$2:$G$2154,F$1,FALSE())</f>
        <v>193.06</v>
      </c>
      <c r="G1083" s="32" t="str">
        <f aca="false">VLOOKUP($A1083,'Order Sales'!$A$2:$G$2154,G$1,FALSE())</f>
        <v>Small Business</v>
      </c>
    </row>
    <row r="1084" customFormat="false" ht="14.25" hidden="false" customHeight="false" outlineLevel="0" collapsed="false">
      <c r="A1084" s="1" t="n">
        <v>2494</v>
      </c>
      <c r="B1084" s="30" t="n">
        <v>43332</v>
      </c>
      <c r="C1084" s="30" t="n">
        <v>44206</v>
      </c>
      <c r="D1084" s="31" t="n">
        <f aca="false">VLOOKUP(A1084,'Order Shipping'!$A$2:$C$2000,3,FALSE())</f>
        <v>5.9</v>
      </c>
      <c r="E1084" s="32" t="n">
        <f aca="false">VLOOKUP($A1084,'Order Sales'!$A$2:$G$2154,E$1,FALSE())</f>
        <v>23</v>
      </c>
      <c r="F1084" s="32" t="n">
        <f aca="false">VLOOKUP($A1084,'Order Sales'!$A$2:$G$2154,F$1,FALSE())</f>
        <v>1409.05</v>
      </c>
      <c r="G1084" s="32" t="str">
        <f aca="false">VLOOKUP($A1084,'Order Sales'!$A$2:$G$2154,G$1,FALSE())</f>
        <v>Small Business</v>
      </c>
    </row>
    <row r="1085" customFormat="false" ht="14.25" hidden="false" customHeight="false" outlineLevel="0" collapsed="false">
      <c r="A1085" s="1" t="n">
        <v>2700</v>
      </c>
      <c r="B1085" s="30" t="n">
        <v>43403</v>
      </c>
      <c r="C1085" s="30" t="n">
        <v>44207</v>
      </c>
      <c r="D1085" s="31" t="n">
        <f aca="false">VLOOKUP(A1085,'Order Shipping'!$A$2:$C$2000,3,FALSE())</f>
        <v>2.6</v>
      </c>
      <c r="E1085" s="32" t="n">
        <f aca="false">VLOOKUP($A1085,'Order Sales'!$A$2:$G$2154,E$1,FALSE())</f>
        <v>14</v>
      </c>
      <c r="F1085" s="32" t="n">
        <f aca="false">VLOOKUP($A1085,'Order Sales'!$A$2:$G$2154,F$1,FALSE())</f>
        <v>40.55</v>
      </c>
      <c r="G1085" s="32" t="str">
        <f aca="false">VLOOKUP($A1085,'Order Sales'!$A$2:$G$2154,G$1,FALSE())</f>
        <v>Corporate</v>
      </c>
    </row>
    <row r="1086" customFormat="false" ht="14.25" hidden="false" customHeight="false" outlineLevel="0" collapsed="false">
      <c r="A1086" s="1" t="n">
        <v>2791</v>
      </c>
      <c r="B1086" s="30" t="n">
        <v>43319</v>
      </c>
      <c r="C1086" s="30" t="n">
        <v>44208</v>
      </c>
      <c r="D1086" s="31" t="n">
        <f aca="false">VLOOKUP(A1086,'Order Shipping'!$A$2:$C$2000,3,FALSE())</f>
        <v>18.7</v>
      </c>
      <c r="E1086" s="32" t="n">
        <f aca="false">VLOOKUP($A1086,'Order Sales'!$A$2:$G$2154,E$1,FALSE())</f>
        <v>43</v>
      </c>
      <c r="F1086" s="32" t="n">
        <f aca="false">VLOOKUP($A1086,'Order Sales'!$A$2:$G$2154,F$1,FALSE())</f>
        <v>1904.46</v>
      </c>
      <c r="G1086" s="32" t="str">
        <f aca="false">VLOOKUP($A1086,'Order Sales'!$A$2:$G$2154,G$1,FALSE())</f>
        <v>Consumer</v>
      </c>
    </row>
    <row r="1087" customFormat="false" ht="14.25" hidden="false" customHeight="false" outlineLevel="0" collapsed="false">
      <c r="A1087" s="1" t="n">
        <v>2197</v>
      </c>
      <c r="B1087" s="30" t="n">
        <v>43186</v>
      </c>
      <c r="C1087" s="30" t="n">
        <v>44209</v>
      </c>
      <c r="D1087" s="31" t="n">
        <f aca="false">VLOOKUP(A1087,'Order Shipping'!$A$2:$C$2000,3,FALSE())</f>
        <v>16.2</v>
      </c>
      <c r="E1087" s="32" t="n">
        <f aca="false">VLOOKUP($A1087,'Order Sales'!$A$2:$G$2154,E$1,FALSE())</f>
        <v>45</v>
      </c>
      <c r="F1087" s="32" t="n">
        <f aca="false">VLOOKUP($A1087,'Order Sales'!$A$2:$G$2154,F$1,FALSE())</f>
        <v>1111.54</v>
      </c>
      <c r="G1087" s="32" t="str">
        <f aca="false">VLOOKUP($A1087,'Order Sales'!$A$2:$G$2154,G$1,FALSE())</f>
        <v>Home Office</v>
      </c>
    </row>
    <row r="1088" customFormat="false" ht="14.25" hidden="false" customHeight="false" outlineLevel="0" collapsed="false">
      <c r="A1088" s="1" t="n">
        <v>2177</v>
      </c>
      <c r="B1088" s="30" t="n">
        <v>43292</v>
      </c>
      <c r="C1088" s="30" t="n">
        <v>44210</v>
      </c>
      <c r="D1088" s="31" t="n">
        <f aca="false">VLOOKUP(A1088,'Order Shipping'!$A$2:$C$2000,3,FALSE())</f>
        <v>8.4</v>
      </c>
      <c r="E1088" s="32" t="n">
        <f aca="false">VLOOKUP($A1088,'Order Sales'!$A$2:$G$2154,E$1,FALSE())</f>
        <v>23</v>
      </c>
      <c r="F1088" s="32" t="n">
        <f aca="false">VLOOKUP($A1088,'Order Sales'!$A$2:$G$2154,F$1,FALSE())</f>
        <v>159.76</v>
      </c>
      <c r="G1088" s="32" t="str">
        <f aca="false">VLOOKUP($A1088,'Order Sales'!$A$2:$G$2154,G$1,FALSE())</f>
        <v>Consumer</v>
      </c>
    </row>
    <row r="1089" customFormat="false" ht="14.25" hidden="false" customHeight="false" outlineLevel="0" collapsed="false">
      <c r="A1089" s="1" t="n">
        <v>2972</v>
      </c>
      <c r="B1089" s="30" t="n">
        <v>43368</v>
      </c>
      <c r="C1089" s="30" t="n">
        <v>44211</v>
      </c>
      <c r="D1089" s="31" t="n">
        <f aca="false">VLOOKUP(A1089,'Order Shipping'!$A$2:$C$2000,3,FALSE())</f>
        <v>3.1</v>
      </c>
      <c r="E1089" s="32" t="n">
        <f aca="false">VLOOKUP($A1089,'Order Sales'!$A$2:$G$2154,E$1,FALSE())</f>
        <v>48</v>
      </c>
      <c r="F1089" s="32" t="n">
        <f aca="false">VLOOKUP($A1089,'Order Sales'!$A$2:$G$2154,F$1,FALSE())</f>
        <v>438.86</v>
      </c>
      <c r="G1089" s="32" t="str">
        <f aca="false">VLOOKUP($A1089,'Order Sales'!$A$2:$G$2154,G$1,FALSE())</f>
        <v>Home Office</v>
      </c>
    </row>
    <row r="1090" customFormat="false" ht="14.25" hidden="false" customHeight="false" outlineLevel="0" collapsed="false">
      <c r="A1090" s="1" t="n">
        <v>2009</v>
      </c>
      <c r="B1090" s="30" t="n">
        <v>43440</v>
      </c>
      <c r="C1090" s="30" t="n">
        <v>44212</v>
      </c>
      <c r="D1090" s="31" t="n">
        <f aca="false">VLOOKUP(A1090,'Order Shipping'!$A$2:$C$2000,3,FALSE())</f>
        <v>17.8</v>
      </c>
      <c r="E1090" s="32" t="n">
        <f aca="false">VLOOKUP($A1090,'Order Sales'!$A$2:$G$2154,E$1,FALSE())</f>
        <v>39</v>
      </c>
      <c r="F1090" s="32" t="n">
        <f aca="false">VLOOKUP($A1090,'Order Sales'!$A$2:$G$2154,F$1,FALSE())</f>
        <v>20907.74</v>
      </c>
      <c r="G1090" s="32" t="str">
        <f aca="false">VLOOKUP($A1090,'Order Sales'!$A$2:$G$2154,G$1,FALSE())</f>
        <v>Corporate</v>
      </c>
    </row>
    <row r="1091" customFormat="false" ht="14.25" hidden="false" customHeight="false" outlineLevel="0" collapsed="false">
      <c r="A1091" s="1" t="n">
        <v>2529</v>
      </c>
      <c r="B1091" s="30" t="n">
        <v>43110</v>
      </c>
      <c r="C1091" s="30" t="n">
        <v>44213</v>
      </c>
      <c r="D1091" s="31" t="n">
        <f aca="false">VLOOKUP(A1091,'Order Shipping'!$A$2:$C$2000,3,FALSE())</f>
        <v>2.1</v>
      </c>
      <c r="E1091" s="32" t="n">
        <f aca="false">VLOOKUP($A1091,'Order Sales'!$A$2:$G$2154,E$1,FALSE())</f>
        <v>41</v>
      </c>
      <c r="F1091" s="32" t="n">
        <f aca="false">VLOOKUP($A1091,'Order Sales'!$A$2:$G$2154,F$1,FALSE())</f>
        <v>1731.59</v>
      </c>
      <c r="G1091" s="32" t="str">
        <f aca="false">VLOOKUP($A1091,'Order Sales'!$A$2:$G$2154,G$1,FALSE())</f>
        <v>Home Office</v>
      </c>
    </row>
    <row r="1092" customFormat="false" ht="14.25" hidden="false" customHeight="false" outlineLevel="0" collapsed="false">
      <c r="A1092" s="1" t="n">
        <v>1312</v>
      </c>
      <c r="B1092" s="30" t="n">
        <v>43303</v>
      </c>
      <c r="C1092" s="30" t="n">
        <v>44214</v>
      </c>
      <c r="D1092" s="31" t="n">
        <f aca="false">VLOOKUP(A1092,'Order Shipping'!$A$2:$C$2000,3,FALSE())</f>
        <v>8.3</v>
      </c>
      <c r="E1092" s="32" t="n">
        <f aca="false">VLOOKUP($A1092,'Order Sales'!$A$2:$G$2154,E$1,FALSE())</f>
        <v>14</v>
      </c>
      <c r="F1092" s="32" t="n">
        <f aca="false">VLOOKUP($A1092,'Order Sales'!$A$2:$G$2154,F$1,FALSE())</f>
        <v>89.98</v>
      </c>
      <c r="G1092" s="32" t="str">
        <f aca="false">VLOOKUP($A1092,'Order Sales'!$A$2:$G$2154,G$1,FALSE())</f>
        <v>Consumer</v>
      </c>
    </row>
    <row r="1093" customFormat="false" ht="14.25" hidden="false" customHeight="false" outlineLevel="0" collapsed="false">
      <c r="A1093" s="1" t="n">
        <v>2018</v>
      </c>
      <c r="B1093" s="30" t="n">
        <v>43429</v>
      </c>
      <c r="C1093" s="30" t="n">
        <v>44215</v>
      </c>
      <c r="D1093" s="31" t="n">
        <f aca="false">VLOOKUP(A1093,'Order Shipping'!$A$2:$C$2000,3,FALSE())</f>
        <v>10.4</v>
      </c>
      <c r="E1093" s="32" t="n">
        <f aca="false">VLOOKUP($A1093,'Order Sales'!$A$2:$G$2154,E$1,FALSE())</f>
        <v>28</v>
      </c>
      <c r="F1093" s="32" t="n">
        <f aca="false">VLOOKUP($A1093,'Order Sales'!$A$2:$G$2154,F$1,FALSE())</f>
        <v>461.57</v>
      </c>
      <c r="G1093" s="32" t="str">
        <f aca="false">VLOOKUP($A1093,'Order Sales'!$A$2:$G$2154,G$1,FALSE())</f>
        <v>Home Office</v>
      </c>
    </row>
    <row r="1094" customFormat="false" ht="14.25" hidden="false" customHeight="false" outlineLevel="0" collapsed="false">
      <c r="A1094" s="1" t="n">
        <v>2410</v>
      </c>
      <c r="B1094" s="30" t="n">
        <v>43345</v>
      </c>
      <c r="C1094" s="30" t="n">
        <v>44216</v>
      </c>
      <c r="D1094" s="31" t="n">
        <f aca="false">VLOOKUP(A1094,'Order Shipping'!$A$2:$C$2000,3,FALSE())</f>
        <v>6.6</v>
      </c>
      <c r="E1094" s="32" t="n">
        <f aca="false">VLOOKUP($A1094,'Order Sales'!$A$2:$G$2154,E$1,FALSE())</f>
        <v>45</v>
      </c>
      <c r="F1094" s="32" t="n">
        <f aca="false">VLOOKUP($A1094,'Order Sales'!$A$2:$G$2154,F$1,FALSE())</f>
        <v>544.08</v>
      </c>
      <c r="G1094" s="32" t="str">
        <f aca="false">VLOOKUP($A1094,'Order Sales'!$A$2:$G$2154,G$1,FALSE())</f>
        <v>Home Office</v>
      </c>
    </row>
    <row r="1095" customFormat="false" ht="14.25" hidden="false" customHeight="false" outlineLevel="0" collapsed="false">
      <c r="A1095" s="1" t="n">
        <v>1829</v>
      </c>
      <c r="B1095" s="30" t="n">
        <v>43124</v>
      </c>
      <c r="C1095" s="30" t="n">
        <v>44217</v>
      </c>
      <c r="D1095" s="31" t="n">
        <f aca="false">VLOOKUP(A1095,'Order Shipping'!$A$2:$C$2000,3,FALSE())</f>
        <v>10.5</v>
      </c>
      <c r="E1095" s="32" t="n">
        <f aca="false">VLOOKUP($A1095,'Order Sales'!$A$2:$G$2154,E$1,FALSE())</f>
        <v>18</v>
      </c>
      <c r="F1095" s="32" t="n">
        <f aca="false">VLOOKUP($A1095,'Order Sales'!$A$2:$G$2154,F$1,FALSE())</f>
        <v>741.57</v>
      </c>
      <c r="G1095" s="32" t="str">
        <f aca="false">VLOOKUP($A1095,'Order Sales'!$A$2:$G$2154,G$1,FALSE())</f>
        <v>Consumer</v>
      </c>
    </row>
    <row r="1096" customFormat="false" ht="14.25" hidden="false" customHeight="false" outlineLevel="0" collapsed="false">
      <c r="A1096" s="1" t="n">
        <v>1250</v>
      </c>
      <c r="B1096" s="30" t="n">
        <v>43275</v>
      </c>
      <c r="C1096" s="30" t="n">
        <v>44218</v>
      </c>
      <c r="D1096" s="31" t="n">
        <f aca="false">VLOOKUP(A1096,'Order Shipping'!$A$2:$C$2000,3,FALSE())</f>
        <v>21.4</v>
      </c>
      <c r="E1096" s="32" t="n">
        <f aca="false">VLOOKUP($A1096,'Order Sales'!$A$2:$G$2154,E$1,FALSE())</f>
        <v>47</v>
      </c>
      <c r="F1096" s="32" t="n">
        <f aca="false">VLOOKUP($A1096,'Order Sales'!$A$2:$G$2154,F$1,FALSE())</f>
        <v>3131.17</v>
      </c>
      <c r="G1096" s="32" t="str">
        <f aca="false">VLOOKUP($A1096,'Order Sales'!$A$2:$G$2154,G$1,FALSE())</f>
        <v>Corporate</v>
      </c>
    </row>
    <row r="1097" customFormat="false" ht="14.25" hidden="false" customHeight="false" outlineLevel="0" collapsed="false">
      <c r="A1097" s="1" t="n">
        <v>1292</v>
      </c>
      <c r="B1097" s="30" t="n">
        <v>43442</v>
      </c>
      <c r="C1097" s="30" t="n">
        <v>44219</v>
      </c>
      <c r="D1097" s="31" t="n">
        <f aca="false">VLOOKUP(A1097,'Order Shipping'!$A$2:$C$2000,3,FALSE())</f>
        <v>3</v>
      </c>
      <c r="E1097" s="32" t="n">
        <f aca="false">VLOOKUP($A1097,'Order Sales'!$A$2:$G$2154,E$1,FALSE())</f>
        <v>36</v>
      </c>
      <c r="F1097" s="32" t="n">
        <f aca="false">VLOOKUP($A1097,'Order Sales'!$A$2:$G$2154,F$1,FALSE())</f>
        <v>287.35</v>
      </c>
      <c r="G1097" s="32" t="str">
        <f aca="false">VLOOKUP($A1097,'Order Sales'!$A$2:$G$2154,G$1,FALSE())</f>
        <v>Consumer</v>
      </c>
    </row>
    <row r="1098" customFormat="false" ht="14.25" hidden="false" customHeight="false" outlineLevel="0" collapsed="false">
      <c r="A1098" s="1" t="n">
        <v>2625</v>
      </c>
      <c r="B1098" s="30" t="n">
        <v>43143</v>
      </c>
      <c r="C1098" s="30" t="n">
        <v>44220</v>
      </c>
      <c r="D1098" s="31" t="n">
        <f aca="false">VLOOKUP(A1098,'Order Shipping'!$A$2:$C$2000,3,FALSE())</f>
        <v>1.5</v>
      </c>
      <c r="E1098" s="32" t="n">
        <f aca="false">VLOOKUP($A1098,'Order Sales'!$A$2:$G$2154,E$1,FALSE())</f>
        <v>8</v>
      </c>
      <c r="F1098" s="32" t="n">
        <f aca="false">VLOOKUP($A1098,'Order Sales'!$A$2:$G$2154,F$1,FALSE())</f>
        <v>52.47</v>
      </c>
      <c r="G1098" s="32" t="str">
        <f aca="false">VLOOKUP($A1098,'Order Sales'!$A$2:$G$2154,G$1,FALSE())</f>
        <v>Corporate</v>
      </c>
    </row>
    <row r="1099" customFormat="false" ht="14.25" hidden="false" customHeight="false" outlineLevel="0" collapsed="false">
      <c r="A1099" s="1" t="n">
        <v>1148</v>
      </c>
      <c r="B1099" s="30" t="n">
        <v>43240</v>
      </c>
      <c r="C1099" s="30" t="n">
        <v>44221</v>
      </c>
      <c r="D1099" s="31" t="n">
        <f aca="false">VLOOKUP(A1099,'Order Shipping'!$A$2:$C$2000,3,FALSE())</f>
        <v>9.6</v>
      </c>
      <c r="E1099" s="32" t="n">
        <f aca="false">VLOOKUP($A1099,'Order Sales'!$A$2:$G$2154,E$1,FALSE())</f>
        <v>12</v>
      </c>
      <c r="F1099" s="32" t="n">
        <f aca="false">VLOOKUP($A1099,'Order Sales'!$A$2:$G$2154,F$1,FALSE())</f>
        <v>335.37</v>
      </c>
      <c r="G1099" s="32" t="str">
        <f aca="false">VLOOKUP($A1099,'Order Sales'!$A$2:$G$2154,G$1,FALSE())</f>
        <v>Consumer</v>
      </c>
    </row>
    <row r="1100" customFormat="false" ht="14.25" hidden="false" customHeight="false" outlineLevel="0" collapsed="false">
      <c r="A1100" s="1" t="n">
        <v>1139</v>
      </c>
      <c r="B1100" s="30" t="n">
        <v>43261</v>
      </c>
      <c r="C1100" s="30" t="n">
        <v>44222</v>
      </c>
      <c r="D1100" s="31" t="n">
        <f aca="false">VLOOKUP(A1100,'Order Shipping'!$A$2:$C$2000,3,FALSE())</f>
        <v>2.1</v>
      </c>
      <c r="E1100" s="32" t="n">
        <f aca="false">VLOOKUP($A1100,'Order Sales'!$A$2:$G$2154,E$1,FALSE())</f>
        <v>22</v>
      </c>
      <c r="F1100" s="32" t="n">
        <f aca="false">VLOOKUP($A1100,'Order Sales'!$A$2:$G$2154,F$1,FALSE())</f>
        <v>691.29</v>
      </c>
      <c r="G1100" s="32" t="str">
        <f aca="false">VLOOKUP($A1100,'Order Sales'!$A$2:$G$2154,G$1,FALSE())</f>
        <v>Home Office</v>
      </c>
    </row>
    <row r="1101" customFormat="false" ht="14.25" hidden="false" customHeight="false" outlineLevel="0" collapsed="false">
      <c r="A1101" s="1" t="n">
        <v>1293</v>
      </c>
      <c r="B1101" s="30" t="n">
        <v>43260</v>
      </c>
      <c r="C1101" s="30" t="n">
        <v>44223</v>
      </c>
      <c r="D1101" s="31" t="n">
        <f aca="false">VLOOKUP(A1101,'Order Shipping'!$A$2:$C$2000,3,FALSE())</f>
        <v>6.7</v>
      </c>
      <c r="E1101" s="32" t="n">
        <f aca="false">VLOOKUP($A1101,'Order Sales'!$A$2:$G$2154,E$1,FALSE())</f>
        <v>23</v>
      </c>
      <c r="F1101" s="32" t="n">
        <f aca="false">VLOOKUP($A1101,'Order Sales'!$A$2:$G$2154,F$1,FALSE())</f>
        <v>315.55</v>
      </c>
      <c r="G1101" s="32" t="str">
        <f aca="false">VLOOKUP($A1101,'Order Sales'!$A$2:$G$2154,G$1,FALSE())</f>
        <v>Small Business</v>
      </c>
    </row>
    <row r="1102" customFormat="false" ht="14.25" hidden="false" customHeight="false" outlineLevel="0" collapsed="false">
      <c r="A1102" s="1" t="n">
        <v>1717</v>
      </c>
      <c r="B1102" s="30" t="n">
        <v>43131</v>
      </c>
      <c r="C1102" s="30" t="n">
        <v>44224</v>
      </c>
      <c r="D1102" s="31" t="n">
        <f aca="false">VLOOKUP(A1102,'Order Shipping'!$A$2:$C$2000,3,FALSE())</f>
        <v>9.6</v>
      </c>
      <c r="E1102" s="32" t="n">
        <f aca="false">VLOOKUP($A1102,'Order Sales'!$A$2:$G$2154,E$1,FALSE())</f>
        <v>2</v>
      </c>
      <c r="F1102" s="32" t="n">
        <f aca="false">VLOOKUP($A1102,'Order Sales'!$A$2:$G$2154,F$1,FALSE())</f>
        <v>134.04</v>
      </c>
      <c r="G1102" s="32" t="str">
        <f aca="false">VLOOKUP($A1102,'Order Sales'!$A$2:$G$2154,G$1,FALSE())</f>
        <v>Consumer</v>
      </c>
    </row>
    <row r="1103" customFormat="false" ht="14.25" hidden="false" customHeight="false" outlineLevel="0" collapsed="false">
      <c r="A1103" s="1" t="n">
        <v>1513</v>
      </c>
      <c r="B1103" s="30" t="n">
        <v>43200</v>
      </c>
      <c r="C1103" s="30" t="n">
        <v>44225</v>
      </c>
      <c r="D1103" s="31" t="n">
        <f aca="false">VLOOKUP(A1103,'Order Shipping'!$A$2:$C$2000,3,FALSE())</f>
        <v>2.3</v>
      </c>
      <c r="E1103" s="32" t="n">
        <f aca="false">VLOOKUP($A1103,'Order Sales'!$A$2:$G$2154,E$1,FALSE())</f>
        <v>4</v>
      </c>
      <c r="F1103" s="32" t="n">
        <f aca="false">VLOOKUP($A1103,'Order Sales'!$A$2:$G$2154,F$1,FALSE())</f>
        <v>30.01</v>
      </c>
      <c r="G1103" s="32" t="str">
        <f aca="false">VLOOKUP($A1103,'Order Sales'!$A$2:$G$2154,G$1,FALSE())</f>
        <v>Home Office</v>
      </c>
    </row>
    <row r="1104" customFormat="false" ht="14.25" hidden="false" customHeight="false" outlineLevel="0" collapsed="false">
      <c r="A1104" s="1" t="n">
        <v>1721</v>
      </c>
      <c r="B1104" s="30" t="n">
        <v>43448</v>
      </c>
      <c r="C1104" s="30" t="n">
        <v>44226</v>
      </c>
      <c r="D1104" s="31" t="n">
        <f aca="false">VLOOKUP(A1104,'Order Shipping'!$A$2:$C$2000,3,FALSE())</f>
        <v>79.6</v>
      </c>
      <c r="E1104" s="32" t="n">
        <f aca="false">VLOOKUP($A1104,'Order Sales'!$A$2:$G$2154,E$1,FALSE())</f>
        <v>21</v>
      </c>
      <c r="F1104" s="32" t="n">
        <f aca="false">VLOOKUP($A1104,'Order Sales'!$A$2:$G$2154,F$1,FALSE())</f>
        <v>2182.08</v>
      </c>
      <c r="G1104" s="32" t="str">
        <f aca="false">VLOOKUP($A1104,'Order Sales'!$A$2:$G$2154,G$1,FALSE())</f>
        <v>Small Business</v>
      </c>
    </row>
    <row r="1105" customFormat="false" ht="14.25" hidden="false" customHeight="false" outlineLevel="0" collapsed="false">
      <c r="A1105" s="1" t="n">
        <v>2957</v>
      </c>
      <c r="B1105" s="30" t="n">
        <v>43261</v>
      </c>
      <c r="C1105" s="30" t="n">
        <v>44227</v>
      </c>
      <c r="D1105" s="31" t="n">
        <f aca="false">VLOOKUP(A1105,'Order Shipping'!$A$2:$C$2000,3,FALSE())</f>
        <v>10.8</v>
      </c>
      <c r="E1105" s="32" t="n">
        <f aca="false">VLOOKUP($A1105,'Order Sales'!$A$2:$G$2154,E$1,FALSE())</f>
        <v>20</v>
      </c>
      <c r="F1105" s="32" t="n">
        <f aca="false">VLOOKUP($A1105,'Order Sales'!$A$2:$G$2154,F$1,FALSE())</f>
        <v>147.63</v>
      </c>
      <c r="G1105" s="32" t="str">
        <f aca="false">VLOOKUP($A1105,'Order Sales'!$A$2:$G$2154,G$1,FALSE())</f>
        <v>Small Business</v>
      </c>
    </row>
    <row r="1106" customFormat="false" ht="14.25" hidden="false" customHeight="false" outlineLevel="0" collapsed="false">
      <c r="A1106" s="1" t="n">
        <v>2139</v>
      </c>
      <c r="B1106" s="30" t="n">
        <v>43397</v>
      </c>
      <c r="C1106" s="30" t="n">
        <v>44228</v>
      </c>
      <c r="D1106" s="31" t="n">
        <f aca="false">VLOOKUP(A1106,'Order Shipping'!$A$2:$C$2000,3,FALSE())</f>
        <v>4.3</v>
      </c>
      <c r="E1106" s="32" t="n">
        <f aca="false">VLOOKUP($A1106,'Order Sales'!$A$2:$G$2154,E$1,FALSE())</f>
        <v>27</v>
      </c>
      <c r="F1106" s="32" t="n">
        <f aca="false">VLOOKUP($A1106,'Order Sales'!$A$2:$G$2154,F$1,FALSE())</f>
        <v>1627.61</v>
      </c>
      <c r="G1106" s="32" t="str">
        <f aca="false">VLOOKUP($A1106,'Order Sales'!$A$2:$G$2154,G$1,FALSE())</f>
        <v>Small Business</v>
      </c>
    </row>
    <row r="1107" customFormat="false" ht="14.25" hidden="false" customHeight="false" outlineLevel="0" collapsed="false">
      <c r="A1107" s="1" t="n">
        <v>1332</v>
      </c>
      <c r="B1107" s="30" t="n">
        <v>43273</v>
      </c>
      <c r="C1107" s="30" t="n">
        <v>44229</v>
      </c>
      <c r="D1107" s="31" t="n">
        <f aca="false">VLOOKUP(A1107,'Order Shipping'!$A$2:$C$2000,3,FALSE())</f>
        <v>15.5</v>
      </c>
      <c r="E1107" s="32" t="n">
        <f aca="false">VLOOKUP($A1107,'Order Sales'!$A$2:$G$2154,E$1,FALSE())</f>
        <v>10</v>
      </c>
      <c r="F1107" s="32" t="n">
        <f aca="false">VLOOKUP($A1107,'Order Sales'!$A$2:$G$2154,F$1,FALSE())</f>
        <v>821.05</v>
      </c>
      <c r="G1107" s="32" t="str">
        <f aca="false">VLOOKUP($A1107,'Order Sales'!$A$2:$G$2154,G$1,FALSE())</f>
        <v>Corporate</v>
      </c>
    </row>
    <row r="1108" customFormat="false" ht="14.25" hidden="false" customHeight="false" outlineLevel="0" collapsed="false">
      <c r="A1108" s="1" t="n">
        <v>1137</v>
      </c>
      <c r="B1108" s="30" t="n">
        <v>43174</v>
      </c>
      <c r="C1108" s="30" t="n">
        <v>44230</v>
      </c>
      <c r="D1108" s="31" t="n">
        <f aca="false">VLOOKUP(A1108,'Order Shipping'!$A$2:$C$2000,3,FALSE())</f>
        <v>12</v>
      </c>
      <c r="E1108" s="32" t="n">
        <f aca="false">VLOOKUP($A1108,'Order Sales'!$A$2:$G$2154,E$1,FALSE())</f>
        <v>24</v>
      </c>
      <c r="F1108" s="32" t="n">
        <f aca="false">VLOOKUP($A1108,'Order Sales'!$A$2:$G$2154,F$1,FALSE())</f>
        <v>396.67</v>
      </c>
      <c r="G1108" s="32" t="str">
        <f aca="false">VLOOKUP($A1108,'Order Sales'!$A$2:$G$2154,G$1,FALSE())</f>
        <v>Small Business</v>
      </c>
    </row>
    <row r="1109" customFormat="false" ht="14.25" hidden="false" customHeight="false" outlineLevel="0" collapsed="false">
      <c r="A1109" s="1" t="n">
        <v>1068</v>
      </c>
      <c r="B1109" s="30" t="n">
        <v>43354</v>
      </c>
      <c r="C1109" s="30" t="n">
        <v>44231</v>
      </c>
      <c r="D1109" s="31" t="n">
        <f aca="false">VLOOKUP(A1109,'Order Shipping'!$A$2:$C$2000,3,FALSE())</f>
        <v>5.6</v>
      </c>
      <c r="E1109" s="32" t="n">
        <f aca="false">VLOOKUP($A1109,'Order Sales'!$A$2:$G$2154,E$1,FALSE())</f>
        <v>10</v>
      </c>
      <c r="F1109" s="32" t="n">
        <f aca="false">VLOOKUP($A1109,'Order Sales'!$A$2:$G$2154,F$1,FALSE())</f>
        <v>562.47</v>
      </c>
      <c r="G1109" s="32" t="str">
        <f aca="false">VLOOKUP($A1109,'Order Sales'!$A$2:$G$2154,G$1,FALSE())</f>
        <v>Small Business</v>
      </c>
    </row>
    <row r="1110" customFormat="false" ht="14.25" hidden="false" customHeight="false" outlineLevel="0" collapsed="false">
      <c r="A1110" s="1" t="n">
        <v>1458</v>
      </c>
      <c r="B1110" s="30" t="n">
        <v>43383</v>
      </c>
      <c r="C1110" s="30" t="n">
        <v>44232</v>
      </c>
      <c r="D1110" s="31" t="n">
        <f aca="false">VLOOKUP(A1110,'Order Shipping'!$A$2:$C$2000,3,FALSE())</f>
        <v>2.1</v>
      </c>
      <c r="E1110" s="32" t="n">
        <f aca="false">VLOOKUP($A1110,'Order Sales'!$A$2:$G$2154,E$1,FALSE())</f>
        <v>46</v>
      </c>
      <c r="F1110" s="32" t="n">
        <f aca="false">VLOOKUP($A1110,'Order Sales'!$A$2:$G$2154,F$1,FALSE())</f>
        <v>2039.2</v>
      </c>
      <c r="G1110" s="32" t="str">
        <f aca="false">VLOOKUP($A1110,'Order Sales'!$A$2:$G$2154,G$1,FALSE())</f>
        <v>Consumer</v>
      </c>
    </row>
    <row r="1111" customFormat="false" ht="14.25" hidden="false" customHeight="false" outlineLevel="0" collapsed="false">
      <c r="A1111" s="1" t="n">
        <v>1708</v>
      </c>
      <c r="B1111" s="30" t="n">
        <v>43129</v>
      </c>
      <c r="C1111" s="30" t="n">
        <v>44233</v>
      </c>
      <c r="D1111" s="31" t="n">
        <f aca="false">VLOOKUP(A1111,'Order Shipping'!$A$2:$C$2000,3,FALSE())</f>
        <v>5.6</v>
      </c>
      <c r="E1111" s="32" t="n">
        <f aca="false">VLOOKUP($A1111,'Order Sales'!$A$2:$G$2154,E$1,FALSE())</f>
        <v>9</v>
      </c>
      <c r="F1111" s="32" t="n">
        <f aca="false">VLOOKUP($A1111,'Order Sales'!$A$2:$G$2154,F$1,FALSE())</f>
        <v>76.18</v>
      </c>
      <c r="G1111" s="32" t="str">
        <f aca="false">VLOOKUP($A1111,'Order Sales'!$A$2:$G$2154,G$1,FALSE())</f>
        <v>Home Office</v>
      </c>
    </row>
    <row r="1112" customFormat="false" ht="14.25" hidden="false" customHeight="false" outlineLevel="0" collapsed="false">
      <c r="A1112" s="1" t="n">
        <v>2200</v>
      </c>
      <c r="B1112" s="30" t="n">
        <v>43317</v>
      </c>
      <c r="C1112" s="30" t="n">
        <v>44234</v>
      </c>
      <c r="D1112" s="31" t="n">
        <f aca="false">VLOOKUP(A1112,'Order Shipping'!$A$2:$C$2000,3,FALSE())</f>
        <v>4.6</v>
      </c>
      <c r="E1112" s="32" t="n">
        <f aca="false">VLOOKUP($A1112,'Order Sales'!$A$2:$G$2154,E$1,FALSE())</f>
        <v>7</v>
      </c>
      <c r="F1112" s="32" t="n">
        <f aca="false">VLOOKUP($A1112,'Order Sales'!$A$2:$G$2154,F$1,FALSE())</f>
        <v>41.74</v>
      </c>
      <c r="G1112" s="32" t="str">
        <f aca="false">VLOOKUP($A1112,'Order Sales'!$A$2:$G$2154,G$1,FALSE())</f>
        <v>Consumer</v>
      </c>
    </row>
    <row r="1113" customFormat="false" ht="14.25" hidden="false" customHeight="false" outlineLevel="0" collapsed="false">
      <c r="A1113" s="1" t="n">
        <v>2206</v>
      </c>
      <c r="B1113" s="30" t="n">
        <v>43148</v>
      </c>
      <c r="C1113" s="30" t="n">
        <v>44235</v>
      </c>
      <c r="D1113" s="31" t="n">
        <f aca="false">VLOOKUP(A1113,'Order Shipping'!$A$2:$C$2000,3,FALSE())</f>
        <v>7</v>
      </c>
      <c r="E1113" s="32" t="n">
        <f aca="false">VLOOKUP($A1113,'Order Sales'!$A$2:$G$2154,E$1,FALSE())</f>
        <v>8</v>
      </c>
      <c r="F1113" s="32" t="n">
        <f aca="false">VLOOKUP($A1113,'Order Sales'!$A$2:$G$2154,F$1,FALSE())</f>
        <v>74.44</v>
      </c>
      <c r="G1113" s="32" t="str">
        <f aca="false">VLOOKUP($A1113,'Order Sales'!$A$2:$G$2154,G$1,FALSE())</f>
        <v>Small Business</v>
      </c>
    </row>
    <row r="1114" customFormat="false" ht="14.25" hidden="false" customHeight="false" outlineLevel="0" collapsed="false">
      <c r="A1114" s="1" t="n">
        <v>2933</v>
      </c>
      <c r="B1114" s="30" t="n">
        <v>43138</v>
      </c>
      <c r="C1114" s="30" t="n">
        <v>44236</v>
      </c>
      <c r="D1114" s="31" t="n">
        <f aca="false">VLOOKUP(A1114,'Order Shipping'!$A$2:$C$2000,3,FALSE())</f>
        <v>9</v>
      </c>
      <c r="E1114" s="32" t="n">
        <f aca="false">VLOOKUP($A1114,'Order Sales'!$A$2:$G$2154,E$1,FALSE())</f>
        <v>50</v>
      </c>
      <c r="F1114" s="32" t="n">
        <f aca="false">VLOOKUP($A1114,'Order Sales'!$A$2:$G$2154,F$1,FALSE())</f>
        <v>367.29</v>
      </c>
      <c r="G1114" s="32" t="str">
        <f aca="false">VLOOKUP($A1114,'Order Sales'!$A$2:$G$2154,G$1,FALSE())</f>
        <v>Corporate</v>
      </c>
    </row>
    <row r="1115" customFormat="false" ht="14.25" hidden="false" customHeight="false" outlineLevel="0" collapsed="false">
      <c r="A1115" s="1" t="n">
        <v>1892</v>
      </c>
      <c r="B1115" s="30" t="n">
        <v>43146</v>
      </c>
      <c r="C1115" s="30" t="n">
        <v>44237</v>
      </c>
      <c r="D1115" s="31" t="n">
        <f aca="false">VLOOKUP(A1115,'Order Shipping'!$A$2:$C$2000,3,FALSE())</f>
        <v>5.8</v>
      </c>
      <c r="E1115" s="32" t="n">
        <f aca="false">VLOOKUP($A1115,'Order Sales'!$A$2:$G$2154,E$1,FALSE())</f>
        <v>2</v>
      </c>
      <c r="F1115" s="32" t="n">
        <f aca="false">VLOOKUP($A1115,'Order Sales'!$A$2:$G$2154,F$1,FALSE())</f>
        <v>28.7</v>
      </c>
      <c r="G1115" s="32" t="str">
        <f aca="false">VLOOKUP($A1115,'Order Sales'!$A$2:$G$2154,G$1,FALSE())</f>
        <v>Home Office</v>
      </c>
    </row>
    <row r="1116" customFormat="false" ht="14.25" hidden="false" customHeight="false" outlineLevel="0" collapsed="false">
      <c r="A1116" s="1" t="n">
        <v>2218</v>
      </c>
      <c r="B1116" s="30" t="n">
        <v>43266</v>
      </c>
      <c r="C1116" s="30" t="n">
        <v>44238</v>
      </c>
      <c r="D1116" s="31" t="n">
        <f aca="false">VLOOKUP(A1116,'Order Shipping'!$A$2:$C$2000,3,FALSE())</f>
        <v>1.2</v>
      </c>
      <c r="E1116" s="32" t="n">
        <f aca="false">VLOOKUP($A1116,'Order Sales'!$A$2:$G$2154,E$1,FALSE())</f>
        <v>43</v>
      </c>
      <c r="F1116" s="32" t="n">
        <f aca="false">VLOOKUP($A1116,'Order Sales'!$A$2:$G$2154,F$1,FALSE())</f>
        <v>143.73</v>
      </c>
      <c r="G1116" s="32" t="str">
        <f aca="false">VLOOKUP($A1116,'Order Sales'!$A$2:$G$2154,G$1,FALSE())</f>
        <v>Home Office</v>
      </c>
    </row>
    <row r="1117" customFormat="false" ht="14.25" hidden="false" customHeight="false" outlineLevel="0" collapsed="false">
      <c r="A1117" s="1" t="n">
        <v>2580</v>
      </c>
      <c r="B1117" s="30" t="n">
        <v>43424</v>
      </c>
      <c r="C1117" s="30" t="n">
        <v>44239</v>
      </c>
      <c r="D1117" s="31" t="n">
        <f aca="false">VLOOKUP(A1117,'Order Shipping'!$A$2:$C$2000,3,FALSE())</f>
        <v>5.7</v>
      </c>
      <c r="E1117" s="32" t="n">
        <f aca="false">VLOOKUP($A1117,'Order Sales'!$A$2:$G$2154,E$1,FALSE())</f>
        <v>40</v>
      </c>
      <c r="F1117" s="32" t="n">
        <f aca="false">VLOOKUP($A1117,'Order Sales'!$A$2:$G$2154,F$1,FALSE())</f>
        <v>109.3</v>
      </c>
      <c r="G1117" s="32" t="str">
        <f aca="false">VLOOKUP($A1117,'Order Sales'!$A$2:$G$2154,G$1,FALSE())</f>
        <v>Consumer</v>
      </c>
    </row>
    <row r="1118" customFormat="false" ht="14.25" hidden="false" customHeight="false" outlineLevel="0" collapsed="false">
      <c r="A1118" s="1" t="n">
        <v>1585</v>
      </c>
      <c r="B1118" s="30" t="n">
        <v>43357</v>
      </c>
      <c r="C1118" s="30" t="n">
        <v>44240</v>
      </c>
      <c r="D1118" s="31" t="n">
        <f aca="false">VLOOKUP(A1118,'Order Shipping'!$A$2:$C$2000,3,FALSE())</f>
        <v>21.4</v>
      </c>
      <c r="E1118" s="32" t="n">
        <f aca="false">VLOOKUP($A1118,'Order Sales'!$A$2:$G$2154,E$1,FALSE())</f>
        <v>18</v>
      </c>
      <c r="F1118" s="32" t="n">
        <f aca="false">VLOOKUP($A1118,'Order Sales'!$A$2:$G$2154,F$1,FALSE())</f>
        <v>989.78</v>
      </c>
      <c r="G1118" s="32" t="str">
        <f aca="false">VLOOKUP($A1118,'Order Sales'!$A$2:$G$2154,G$1,FALSE())</f>
        <v>Corporate</v>
      </c>
    </row>
    <row r="1119" customFormat="false" ht="14.25" hidden="false" customHeight="false" outlineLevel="0" collapsed="false">
      <c r="A1119" s="1" t="n">
        <v>1955</v>
      </c>
      <c r="B1119" s="30" t="n">
        <v>43191</v>
      </c>
      <c r="C1119" s="30" t="n">
        <v>44241</v>
      </c>
      <c r="D1119" s="31" t="n">
        <f aca="false">VLOOKUP(A1119,'Order Shipping'!$A$2:$C$2000,3,FALSE())</f>
        <v>5</v>
      </c>
      <c r="E1119" s="32" t="n">
        <f aca="false">VLOOKUP($A1119,'Order Sales'!$A$2:$G$2154,E$1,FALSE())</f>
        <v>46</v>
      </c>
      <c r="F1119" s="32" t="n">
        <f aca="false">VLOOKUP($A1119,'Order Sales'!$A$2:$G$2154,F$1,FALSE())</f>
        <v>521.63</v>
      </c>
      <c r="G1119" s="32" t="str">
        <f aca="false">VLOOKUP($A1119,'Order Sales'!$A$2:$G$2154,G$1,FALSE())</f>
        <v>Corporate</v>
      </c>
    </row>
    <row r="1120" customFormat="false" ht="14.25" hidden="false" customHeight="false" outlineLevel="0" collapsed="false">
      <c r="A1120" s="1" t="n">
        <v>1564</v>
      </c>
      <c r="B1120" s="30" t="n">
        <v>43357</v>
      </c>
      <c r="C1120" s="30" t="n">
        <v>44242</v>
      </c>
      <c r="D1120" s="31" t="n">
        <f aca="false">VLOOKUP(A1120,'Order Shipping'!$A$2:$C$2000,3,FALSE())</f>
        <v>5.4</v>
      </c>
      <c r="E1120" s="32" t="n">
        <f aca="false">VLOOKUP($A1120,'Order Sales'!$A$2:$G$2154,E$1,FALSE())</f>
        <v>28</v>
      </c>
      <c r="F1120" s="32" t="n">
        <f aca="false">VLOOKUP($A1120,'Order Sales'!$A$2:$G$2154,F$1,FALSE())</f>
        <v>408.52</v>
      </c>
      <c r="G1120" s="32" t="str">
        <f aca="false">VLOOKUP($A1120,'Order Sales'!$A$2:$G$2154,G$1,FALSE())</f>
        <v>Consumer</v>
      </c>
    </row>
    <row r="1121" customFormat="false" ht="14.25" hidden="false" customHeight="false" outlineLevel="0" collapsed="false">
      <c r="A1121" s="1" t="n">
        <v>2030</v>
      </c>
      <c r="B1121" s="30" t="n">
        <v>43198</v>
      </c>
      <c r="C1121" s="30" t="n">
        <v>44243</v>
      </c>
      <c r="D1121" s="31" t="n">
        <f aca="false">VLOOKUP(A1121,'Order Shipping'!$A$2:$C$2000,3,FALSE())</f>
        <v>1.2</v>
      </c>
      <c r="E1121" s="32" t="n">
        <f aca="false">VLOOKUP($A1121,'Order Sales'!$A$2:$G$2154,E$1,FALSE())</f>
        <v>21</v>
      </c>
      <c r="F1121" s="32" t="n">
        <f aca="false">VLOOKUP($A1121,'Order Sales'!$A$2:$G$2154,F$1,FALSE())</f>
        <v>51.37</v>
      </c>
      <c r="G1121" s="32" t="str">
        <f aca="false">VLOOKUP($A1121,'Order Sales'!$A$2:$G$2154,G$1,FALSE())</f>
        <v>Small Business</v>
      </c>
    </row>
    <row r="1122" customFormat="false" ht="14.25" hidden="false" customHeight="false" outlineLevel="0" collapsed="false">
      <c r="A1122" s="1" t="n">
        <v>2039</v>
      </c>
      <c r="B1122" s="30" t="n">
        <v>43400</v>
      </c>
      <c r="C1122" s="30" t="n">
        <v>44244</v>
      </c>
      <c r="D1122" s="31" t="n">
        <f aca="false">VLOOKUP(A1122,'Order Shipping'!$A$2:$C$2000,3,FALSE())</f>
        <v>13.5</v>
      </c>
      <c r="E1122" s="32" t="n">
        <f aca="false">VLOOKUP($A1122,'Order Sales'!$A$2:$G$2154,E$1,FALSE())</f>
        <v>49</v>
      </c>
      <c r="F1122" s="32" t="n">
        <f aca="false">VLOOKUP($A1122,'Order Sales'!$A$2:$G$2154,F$1,FALSE())</f>
        <v>1621.05</v>
      </c>
      <c r="G1122" s="32" t="str">
        <f aca="false">VLOOKUP($A1122,'Order Sales'!$A$2:$G$2154,G$1,FALSE())</f>
        <v>Small Business</v>
      </c>
    </row>
    <row r="1123" customFormat="false" ht="14.25" hidden="false" customHeight="false" outlineLevel="0" collapsed="false">
      <c r="A1123" s="1" t="n">
        <v>2655</v>
      </c>
      <c r="B1123" s="30" t="n">
        <v>43250</v>
      </c>
      <c r="C1123" s="30" t="n">
        <v>44245</v>
      </c>
      <c r="D1123" s="31" t="n">
        <f aca="false">VLOOKUP(A1123,'Order Shipping'!$A$2:$C$2000,3,FALSE())</f>
        <v>29.7</v>
      </c>
      <c r="E1123" s="32" t="n">
        <f aca="false">VLOOKUP($A1123,'Order Sales'!$A$2:$G$2154,E$1,FALSE())</f>
        <v>3</v>
      </c>
      <c r="F1123" s="32" t="n">
        <f aca="false">VLOOKUP($A1123,'Order Sales'!$A$2:$G$2154,F$1,FALSE())</f>
        <v>78.58</v>
      </c>
      <c r="G1123" s="32" t="str">
        <f aca="false">VLOOKUP($A1123,'Order Sales'!$A$2:$G$2154,G$1,FALSE())</f>
        <v>Small Business</v>
      </c>
    </row>
    <row r="1124" customFormat="false" ht="14.25" hidden="false" customHeight="false" outlineLevel="0" collapsed="false">
      <c r="A1124" s="1" t="n">
        <v>2261</v>
      </c>
      <c r="B1124" s="30" t="n">
        <v>43440</v>
      </c>
      <c r="C1124" s="30" t="n">
        <v>44246</v>
      </c>
      <c r="D1124" s="31" t="n">
        <f aca="false">VLOOKUP(A1124,'Order Shipping'!$A$2:$C$2000,3,FALSE())</f>
        <v>6.6</v>
      </c>
      <c r="E1124" s="32" t="n">
        <f aca="false">VLOOKUP($A1124,'Order Sales'!$A$2:$G$2154,E$1,FALSE())</f>
        <v>45</v>
      </c>
      <c r="F1124" s="32" t="n">
        <f aca="false">VLOOKUP($A1124,'Order Sales'!$A$2:$G$2154,F$1,FALSE())</f>
        <v>365.29</v>
      </c>
      <c r="G1124" s="32" t="str">
        <f aca="false">VLOOKUP($A1124,'Order Sales'!$A$2:$G$2154,G$1,FALSE())</f>
        <v>Small Business</v>
      </c>
    </row>
    <row r="1125" customFormat="false" ht="14.25" hidden="false" customHeight="false" outlineLevel="0" collapsed="false">
      <c r="A1125" s="1" t="n">
        <v>2237</v>
      </c>
      <c r="B1125" s="30" t="n">
        <v>43190</v>
      </c>
      <c r="C1125" s="30" t="n">
        <v>44247</v>
      </c>
      <c r="D1125" s="31" t="n">
        <f aca="false">VLOOKUP(A1125,'Order Shipping'!$A$2:$C$2000,3,FALSE())</f>
        <v>5.1</v>
      </c>
      <c r="E1125" s="32" t="n">
        <f aca="false">VLOOKUP($A1125,'Order Sales'!$A$2:$G$2154,E$1,FALSE())</f>
        <v>47</v>
      </c>
      <c r="F1125" s="32" t="n">
        <f aca="false">VLOOKUP($A1125,'Order Sales'!$A$2:$G$2154,F$1,FALSE())</f>
        <v>542.68</v>
      </c>
      <c r="G1125" s="32" t="str">
        <f aca="false">VLOOKUP($A1125,'Order Sales'!$A$2:$G$2154,G$1,FALSE())</f>
        <v>Home Office</v>
      </c>
    </row>
    <row r="1126" customFormat="false" ht="14.25" hidden="false" customHeight="false" outlineLevel="0" collapsed="false">
      <c r="A1126" s="1" t="n">
        <v>2153</v>
      </c>
      <c r="B1126" s="30" t="n">
        <v>43228</v>
      </c>
      <c r="C1126" s="30" t="n">
        <v>44248</v>
      </c>
      <c r="D1126" s="31" t="n">
        <f aca="false">VLOOKUP(A1126,'Order Shipping'!$A$2:$C$2000,3,FALSE())</f>
        <v>5.1</v>
      </c>
      <c r="E1126" s="32" t="n">
        <f aca="false">VLOOKUP($A1126,'Order Sales'!$A$2:$G$2154,E$1,FALSE())</f>
        <v>16</v>
      </c>
      <c r="F1126" s="32" t="n">
        <f aca="false">VLOOKUP($A1126,'Order Sales'!$A$2:$G$2154,F$1,FALSE())</f>
        <v>34.61</v>
      </c>
      <c r="G1126" s="32" t="str">
        <f aca="false">VLOOKUP($A1126,'Order Sales'!$A$2:$G$2154,G$1,FALSE())</f>
        <v>Small Business</v>
      </c>
    </row>
    <row r="1127" customFormat="false" ht="14.25" hidden="false" customHeight="false" outlineLevel="0" collapsed="false">
      <c r="A1127" s="1" t="n">
        <v>2943</v>
      </c>
      <c r="B1127" s="30" t="n">
        <v>43365</v>
      </c>
      <c r="C1127" s="30" t="n">
        <v>44249</v>
      </c>
      <c r="D1127" s="31" t="n">
        <f aca="false">VLOOKUP(A1127,'Order Shipping'!$A$2:$C$2000,3,FALSE())</f>
        <v>8.4</v>
      </c>
      <c r="E1127" s="32" t="n">
        <f aca="false">VLOOKUP($A1127,'Order Sales'!$A$2:$G$2154,E$1,FALSE())</f>
        <v>14</v>
      </c>
      <c r="F1127" s="32" t="n">
        <f aca="false">VLOOKUP($A1127,'Order Sales'!$A$2:$G$2154,F$1,FALSE())</f>
        <v>98.51</v>
      </c>
      <c r="G1127" s="32" t="str">
        <f aca="false">VLOOKUP($A1127,'Order Sales'!$A$2:$G$2154,G$1,FALSE())</f>
        <v>Home Office</v>
      </c>
    </row>
    <row r="1128" customFormat="false" ht="14.25" hidden="false" customHeight="false" outlineLevel="0" collapsed="false">
      <c r="A1128" s="1" t="n">
        <v>2092</v>
      </c>
      <c r="B1128" s="30" t="n">
        <v>43176</v>
      </c>
      <c r="C1128" s="30" t="n">
        <v>44250</v>
      </c>
      <c r="D1128" s="31" t="n">
        <f aca="false">VLOOKUP(A1128,'Order Shipping'!$A$2:$C$2000,3,FALSE())</f>
        <v>1.3</v>
      </c>
      <c r="E1128" s="32" t="n">
        <f aca="false">VLOOKUP($A1128,'Order Sales'!$A$2:$G$2154,E$1,FALSE())</f>
        <v>47</v>
      </c>
      <c r="F1128" s="32" t="n">
        <f aca="false">VLOOKUP($A1128,'Order Sales'!$A$2:$G$2154,F$1,FALSE())</f>
        <v>1384.6</v>
      </c>
      <c r="G1128" s="32" t="str">
        <f aca="false">VLOOKUP($A1128,'Order Sales'!$A$2:$G$2154,G$1,FALSE())</f>
        <v>Home Office</v>
      </c>
    </row>
    <row r="1129" customFormat="false" ht="14.25" hidden="false" customHeight="false" outlineLevel="0" collapsed="false">
      <c r="A1129" s="1" t="n">
        <v>2533</v>
      </c>
      <c r="B1129" s="30" t="n">
        <v>43332</v>
      </c>
      <c r="C1129" s="30" t="n">
        <v>44251</v>
      </c>
      <c r="D1129" s="31" t="n">
        <f aca="false">VLOOKUP(A1129,'Order Shipping'!$A$2:$C$2000,3,FALSE())</f>
        <v>1.6</v>
      </c>
      <c r="E1129" s="32" t="n">
        <f aca="false">VLOOKUP($A1129,'Order Sales'!$A$2:$G$2154,E$1,FALSE())</f>
        <v>23</v>
      </c>
      <c r="F1129" s="32" t="n">
        <f aca="false">VLOOKUP($A1129,'Order Sales'!$A$2:$G$2154,F$1,FALSE())</f>
        <v>90.38</v>
      </c>
      <c r="G1129" s="32" t="str">
        <f aca="false">VLOOKUP($A1129,'Order Sales'!$A$2:$G$2154,G$1,FALSE())</f>
        <v>Consumer</v>
      </c>
    </row>
    <row r="1130" customFormat="false" ht="14.25" hidden="false" customHeight="false" outlineLevel="0" collapsed="false">
      <c r="A1130" s="1" t="n">
        <v>2044</v>
      </c>
      <c r="B1130" s="30" t="n">
        <v>43366</v>
      </c>
      <c r="C1130" s="30" t="n">
        <v>44252</v>
      </c>
      <c r="D1130" s="31" t="n">
        <f aca="false">VLOOKUP(A1130,'Order Shipping'!$A$2:$C$2000,3,FALSE())</f>
        <v>9.6</v>
      </c>
      <c r="E1130" s="32" t="n">
        <f aca="false">VLOOKUP($A1130,'Order Sales'!$A$2:$G$2154,E$1,FALSE())</f>
        <v>35</v>
      </c>
      <c r="F1130" s="32" t="n">
        <f aca="false">VLOOKUP($A1130,'Order Sales'!$A$2:$G$2154,F$1,FALSE())</f>
        <v>631.64</v>
      </c>
      <c r="G1130" s="32" t="str">
        <f aca="false">VLOOKUP($A1130,'Order Sales'!$A$2:$G$2154,G$1,FALSE())</f>
        <v>Home Office</v>
      </c>
    </row>
    <row r="1131" customFormat="false" ht="14.25" hidden="false" customHeight="false" outlineLevel="0" collapsed="false">
      <c r="A1131" s="1" t="n">
        <v>2502</v>
      </c>
      <c r="B1131" s="30" t="n">
        <v>43366</v>
      </c>
      <c r="C1131" s="30" t="n">
        <v>44253</v>
      </c>
      <c r="D1131" s="31" t="n">
        <f aca="false">VLOOKUP(A1131,'Order Shipping'!$A$2:$C$2000,3,FALSE())</f>
        <v>11</v>
      </c>
      <c r="E1131" s="32" t="n">
        <f aca="false">VLOOKUP($A1131,'Order Sales'!$A$2:$G$2154,E$1,FALSE())</f>
        <v>28</v>
      </c>
      <c r="F1131" s="32" t="n">
        <f aca="false">VLOOKUP($A1131,'Order Sales'!$A$2:$G$2154,F$1,FALSE())</f>
        <v>1292.93</v>
      </c>
      <c r="G1131" s="32" t="str">
        <f aca="false">VLOOKUP($A1131,'Order Sales'!$A$2:$G$2154,G$1,FALSE())</f>
        <v>Consumer</v>
      </c>
    </row>
    <row r="1132" customFormat="false" ht="14.25" hidden="false" customHeight="false" outlineLevel="0" collapsed="false">
      <c r="A1132" s="1" t="n">
        <v>2425</v>
      </c>
      <c r="B1132" s="30" t="n">
        <v>43241</v>
      </c>
      <c r="C1132" s="30" t="n">
        <v>44254</v>
      </c>
      <c r="D1132" s="31" t="n">
        <f aca="false">VLOOKUP(A1132,'Order Shipping'!$A$2:$C$2000,3,FALSE())</f>
        <v>7.8</v>
      </c>
      <c r="E1132" s="32" t="n">
        <f aca="false">VLOOKUP($A1132,'Order Sales'!$A$2:$G$2154,E$1,FALSE())</f>
        <v>46</v>
      </c>
      <c r="F1132" s="32" t="n">
        <f aca="false">VLOOKUP($A1132,'Order Sales'!$A$2:$G$2154,F$1,FALSE())</f>
        <v>693.64</v>
      </c>
      <c r="G1132" s="32" t="str">
        <f aca="false">VLOOKUP($A1132,'Order Sales'!$A$2:$G$2154,G$1,FALSE())</f>
        <v>Corporate</v>
      </c>
    </row>
    <row r="1133" customFormat="false" ht="14.25" hidden="false" customHeight="false" outlineLevel="0" collapsed="false">
      <c r="A1133" s="1" t="n">
        <v>2381</v>
      </c>
      <c r="B1133" s="30" t="n">
        <v>43222</v>
      </c>
      <c r="C1133" s="30" t="n">
        <v>44255</v>
      </c>
      <c r="D1133" s="31" t="n">
        <f aca="false">VLOOKUP(A1133,'Order Shipping'!$A$2:$C$2000,3,FALSE())</f>
        <v>1.4</v>
      </c>
      <c r="E1133" s="32" t="n">
        <f aca="false">VLOOKUP($A1133,'Order Sales'!$A$2:$G$2154,E$1,FALSE())</f>
        <v>24</v>
      </c>
      <c r="F1133" s="32" t="n">
        <f aca="false">VLOOKUP($A1133,'Order Sales'!$A$2:$G$2154,F$1,FALSE())</f>
        <v>44.78</v>
      </c>
      <c r="G1133" s="32" t="str">
        <f aca="false">VLOOKUP($A1133,'Order Sales'!$A$2:$G$2154,G$1,FALSE())</f>
        <v>Consumer</v>
      </c>
    </row>
    <row r="1134" customFormat="false" ht="14.25" hidden="false" customHeight="false" outlineLevel="0" collapsed="false">
      <c r="A1134" s="1" t="n">
        <v>2997</v>
      </c>
      <c r="B1134" s="30" t="n">
        <v>43272</v>
      </c>
      <c r="C1134" s="30" t="n">
        <v>44256</v>
      </c>
      <c r="D1134" s="31" t="n">
        <f aca="false">VLOOKUP(A1134,'Order Shipping'!$A$2:$C$2000,3,FALSE())</f>
        <v>5.3</v>
      </c>
      <c r="E1134" s="32" t="n">
        <f aca="false">VLOOKUP($A1134,'Order Sales'!$A$2:$G$2154,E$1,FALSE())</f>
        <v>2</v>
      </c>
      <c r="F1134" s="32" t="n">
        <f aca="false">VLOOKUP($A1134,'Order Sales'!$A$2:$G$2154,F$1,FALSE())</f>
        <v>31.01</v>
      </c>
      <c r="G1134" s="32" t="str">
        <f aca="false">VLOOKUP($A1134,'Order Sales'!$A$2:$G$2154,G$1,FALSE())</f>
        <v>Consumer</v>
      </c>
    </row>
    <row r="1135" customFormat="false" ht="14.25" hidden="false" customHeight="false" outlineLevel="0" collapsed="false">
      <c r="A1135" s="1" t="n">
        <v>2802</v>
      </c>
      <c r="B1135" s="30" t="n">
        <v>43310</v>
      </c>
      <c r="C1135" s="30" t="n">
        <v>44257</v>
      </c>
      <c r="D1135" s="31" t="n">
        <f aca="false">VLOOKUP(A1135,'Order Shipping'!$A$2:$C$2000,3,FALSE())</f>
        <v>19.1</v>
      </c>
      <c r="E1135" s="32" t="n">
        <f aca="false">VLOOKUP($A1135,'Order Sales'!$A$2:$G$2154,E$1,FALSE())</f>
        <v>41</v>
      </c>
      <c r="F1135" s="32" t="n">
        <f aca="false">VLOOKUP($A1135,'Order Sales'!$A$2:$G$2154,F$1,FALSE())</f>
        <v>10776.07</v>
      </c>
      <c r="G1135" s="32" t="str">
        <f aca="false">VLOOKUP($A1135,'Order Sales'!$A$2:$G$2154,G$1,FALSE())</f>
        <v>Corporate</v>
      </c>
    </row>
    <row r="1136" customFormat="false" ht="14.25" hidden="false" customHeight="false" outlineLevel="0" collapsed="false">
      <c r="A1136" s="1" t="n">
        <v>2600</v>
      </c>
      <c r="B1136" s="30" t="n">
        <v>43200</v>
      </c>
      <c r="C1136" s="30" t="n">
        <v>44258</v>
      </c>
      <c r="D1136" s="31" t="n">
        <f aca="false">VLOOKUP(A1136,'Order Shipping'!$A$2:$C$2000,3,FALSE())</f>
        <v>9.6</v>
      </c>
      <c r="E1136" s="32" t="n">
        <f aca="false">VLOOKUP($A1136,'Order Sales'!$A$2:$G$2154,E$1,FALSE())</f>
        <v>41</v>
      </c>
      <c r="F1136" s="32" t="n">
        <f aca="false">VLOOKUP($A1136,'Order Sales'!$A$2:$G$2154,F$1,FALSE())</f>
        <v>758.45</v>
      </c>
      <c r="G1136" s="32" t="str">
        <f aca="false">VLOOKUP($A1136,'Order Sales'!$A$2:$G$2154,G$1,FALSE())</f>
        <v>Home Office</v>
      </c>
    </row>
    <row r="1137" customFormat="false" ht="14.25" hidden="false" customHeight="false" outlineLevel="0" collapsed="false">
      <c r="A1137" s="1" t="n">
        <v>2366</v>
      </c>
      <c r="B1137" s="30" t="n">
        <v>43345</v>
      </c>
      <c r="C1137" s="30" t="n">
        <v>44259</v>
      </c>
      <c r="D1137" s="31" t="n">
        <f aca="false">VLOOKUP(A1137,'Order Shipping'!$A$2:$C$2000,3,FALSE())</f>
        <v>21.3</v>
      </c>
      <c r="E1137" s="32" t="n">
        <f aca="false">VLOOKUP($A1137,'Order Sales'!$A$2:$G$2154,E$1,FALSE())</f>
        <v>49</v>
      </c>
      <c r="F1137" s="32" t="n">
        <f aca="false">VLOOKUP($A1137,'Order Sales'!$A$2:$G$2154,F$1,FALSE())</f>
        <v>3962.12</v>
      </c>
      <c r="G1137" s="32" t="str">
        <f aca="false">VLOOKUP($A1137,'Order Sales'!$A$2:$G$2154,G$1,FALSE())</f>
        <v>Corporate</v>
      </c>
    </row>
    <row r="1138" customFormat="false" ht="14.25" hidden="false" customHeight="false" outlineLevel="0" collapsed="false">
      <c r="A1138" s="1" t="n">
        <v>2201</v>
      </c>
      <c r="B1138" s="30" t="n">
        <v>43317</v>
      </c>
      <c r="C1138" s="30" t="n">
        <v>44260</v>
      </c>
      <c r="D1138" s="31" t="n">
        <f aca="false">VLOOKUP(A1138,'Order Shipping'!$A$2:$C$2000,3,FALSE())</f>
        <v>6.4</v>
      </c>
      <c r="E1138" s="32" t="n">
        <f aca="false">VLOOKUP($A1138,'Order Sales'!$A$2:$G$2154,E$1,FALSE())</f>
        <v>6</v>
      </c>
      <c r="F1138" s="32" t="n">
        <f aca="false">VLOOKUP($A1138,'Order Sales'!$A$2:$G$2154,F$1,FALSE())</f>
        <v>66.37</v>
      </c>
      <c r="G1138" s="32" t="str">
        <f aca="false">VLOOKUP($A1138,'Order Sales'!$A$2:$G$2154,G$1,FALSE())</f>
        <v>Consumer</v>
      </c>
    </row>
    <row r="1139" customFormat="false" ht="14.25" hidden="false" customHeight="false" outlineLevel="0" collapsed="false">
      <c r="A1139" s="1" t="n">
        <v>2094</v>
      </c>
      <c r="B1139" s="30" t="n">
        <v>43357</v>
      </c>
      <c r="C1139" s="30" t="n">
        <v>44261</v>
      </c>
      <c r="D1139" s="31" t="n">
        <f aca="false">VLOOKUP(A1139,'Order Shipping'!$A$2:$C$2000,3,FALSE())</f>
        <v>1.8</v>
      </c>
      <c r="E1139" s="32" t="n">
        <f aca="false">VLOOKUP($A1139,'Order Sales'!$A$2:$G$2154,E$1,FALSE())</f>
        <v>23</v>
      </c>
      <c r="F1139" s="32" t="n">
        <f aca="false">VLOOKUP($A1139,'Order Sales'!$A$2:$G$2154,F$1,FALSE())</f>
        <v>178.48</v>
      </c>
      <c r="G1139" s="32" t="str">
        <f aca="false">VLOOKUP($A1139,'Order Sales'!$A$2:$G$2154,G$1,FALSE())</f>
        <v>Corporate</v>
      </c>
    </row>
    <row r="1140" customFormat="false" ht="14.25" hidden="false" customHeight="false" outlineLevel="0" collapsed="false">
      <c r="A1140" s="1" t="n">
        <v>1197</v>
      </c>
      <c r="B1140" s="30" t="n">
        <v>43457</v>
      </c>
      <c r="C1140" s="30" t="n">
        <v>44262</v>
      </c>
      <c r="D1140" s="31" t="n">
        <f aca="false">VLOOKUP(A1140,'Order Shipping'!$A$2:$C$2000,3,FALSE())</f>
        <v>7.1</v>
      </c>
      <c r="E1140" s="32" t="n">
        <f aca="false">VLOOKUP($A1140,'Order Sales'!$A$2:$G$2154,E$1,FALSE())</f>
        <v>18</v>
      </c>
      <c r="F1140" s="32" t="n">
        <f aca="false">VLOOKUP($A1140,'Order Sales'!$A$2:$G$2154,F$1,FALSE())</f>
        <v>416.79</v>
      </c>
      <c r="G1140" s="32" t="str">
        <f aca="false">VLOOKUP($A1140,'Order Sales'!$A$2:$G$2154,G$1,FALSE())</f>
        <v>Small Business</v>
      </c>
    </row>
    <row r="1141" customFormat="false" ht="14.25" hidden="false" customHeight="false" outlineLevel="0" collapsed="false">
      <c r="A1141" s="1" t="n">
        <v>1720</v>
      </c>
      <c r="B1141" s="30" t="n">
        <v>43463</v>
      </c>
      <c r="C1141" s="30" t="n">
        <v>44263</v>
      </c>
      <c r="D1141" s="31" t="n">
        <f aca="false">VLOOKUP(A1141,'Order Shipping'!$A$2:$C$2000,3,FALSE())</f>
        <v>8</v>
      </c>
      <c r="E1141" s="32" t="n">
        <f aca="false">VLOOKUP($A1141,'Order Sales'!$A$2:$G$2154,E$1,FALSE())</f>
        <v>39</v>
      </c>
      <c r="F1141" s="32" t="n">
        <f aca="false">VLOOKUP($A1141,'Order Sales'!$A$2:$G$2154,F$1,FALSE())</f>
        <v>223.98</v>
      </c>
      <c r="G1141" s="32" t="str">
        <f aca="false">VLOOKUP($A1141,'Order Sales'!$A$2:$G$2154,G$1,FALSE())</f>
        <v>Corporate</v>
      </c>
    </row>
    <row r="1142" customFormat="false" ht="14.25" hidden="false" customHeight="false" outlineLevel="0" collapsed="false">
      <c r="A1142" s="1" t="n">
        <v>1749</v>
      </c>
      <c r="B1142" s="30" t="n">
        <v>43454</v>
      </c>
      <c r="C1142" s="30" t="n">
        <v>44264</v>
      </c>
      <c r="D1142" s="31" t="n">
        <f aca="false">VLOOKUP(A1142,'Order Shipping'!$A$2:$C$2000,3,FALSE())</f>
        <v>37.5</v>
      </c>
      <c r="E1142" s="32" t="n">
        <f aca="false">VLOOKUP($A1142,'Order Sales'!$A$2:$G$2154,E$1,FALSE())</f>
        <v>29</v>
      </c>
      <c r="F1142" s="32" t="n">
        <f aca="false">VLOOKUP($A1142,'Order Sales'!$A$2:$G$2154,F$1,FALSE())</f>
        <v>1879.04</v>
      </c>
      <c r="G1142" s="32" t="str">
        <f aca="false">VLOOKUP($A1142,'Order Sales'!$A$2:$G$2154,G$1,FALSE())</f>
        <v>Corporate</v>
      </c>
    </row>
    <row r="1143" customFormat="false" ht="14.25" hidden="false" customHeight="false" outlineLevel="0" collapsed="false">
      <c r="A1143" s="1" t="n">
        <v>1704</v>
      </c>
      <c r="B1143" s="30" t="n">
        <v>43132</v>
      </c>
      <c r="C1143" s="30" t="n">
        <v>44265</v>
      </c>
      <c r="D1143" s="31" t="n">
        <f aca="false">VLOOKUP(A1143,'Order Shipping'!$A$2:$C$2000,3,FALSE())</f>
        <v>9.8</v>
      </c>
      <c r="E1143" s="32" t="n">
        <f aca="false">VLOOKUP($A1143,'Order Sales'!$A$2:$G$2154,E$1,FALSE())</f>
        <v>3</v>
      </c>
      <c r="F1143" s="32" t="n">
        <f aca="false">VLOOKUP($A1143,'Order Sales'!$A$2:$G$2154,F$1,FALSE())</f>
        <v>140.71</v>
      </c>
      <c r="G1143" s="32" t="str">
        <f aca="false">VLOOKUP($A1143,'Order Sales'!$A$2:$G$2154,G$1,FALSE())</f>
        <v>Home Office</v>
      </c>
    </row>
    <row r="1144" customFormat="false" ht="14.25" hidden="false" customHeight="false" outlineLevel="0" collapsed="false">
      <c r="A1144" s="1" t="n">
        <v>1179</v>
      </c>
      <c r="B1144" s="30" t="n">
        <v>43175</v>
      </c>
      <c r="C1144" s="30" t="n">
        <v>44266</v>
      </c>
      <c r="D1144" s="31" t="n">
        <f aca="false">VLOOKUP(A1144,'Order Shipping'!$A$2:$C$2000,3,FALSE())</f>
        <v>26.2</v>
      </c>
      <c r="E1144" s="32" t="n">
        <f aca="false">VLOOKUP($A1144,'Order Sales'!$A$2:$G$2154,E$1,FALSE())</f>
        <v>2</v>
      </c>
      <c r="F1144" s="32" t="n">
        <f aca="false">VLOOKUP($A1144,'Order Sales'!$A$2:$G$2154,F$1,FALSE())</f>
        <v>947.96</v>
      </c>
      <c r="G1144" s="32" t="str">
        <f aca="false">VLOOKUP($A1144,'Order Sales'!$A$2:$G$2154,G$1,FALSE())</f>
        <v>Small Business</v>
      </c>
    </row>
    <row r="1145" customFormat="false" ht="14.25" hidden="false" customHeight="false" outlineLevel="0" collapsed="false">
      <c r="A1145" s="1" t="n">
        <v>2560</v>
      </c>
      <c r="B1145" s="30" t="n">
        <v>43443</v>
      </c>
      <c r="C1145" s="30" t="n">
        <v>44267</v>
      </c>
      <c r="D1145" s="31" t="n">
        <f aca="false">VLOOKUP(A1145,'Order Shipping'!$A$2:$C$2000,3,FALSE())</f>
        <v>5.8</v>
      </c>
      <c r="E1145" s="32" t="n">
        <f aca="false">VLOOKUP($A1145,'Order Sales'!$A$2:$G$2154,E$1,FALSE())</f>
        <v>31</v>
      </c>
      <c r="F1145" s="32" t="n">
        <f aca="false">VLOOKUP($A1145,'Order Sales'!$A$2:$G$2154,F$1,FALSE())</f>
        <v>200.23</v>
      </c>
      <c r="G1145" s="32" t="str">
        <f aca="false">VLOOKUP($A1145,'Order Sales'!$A$2:$G$2154,G$1,FALSE())</f>
        <v>Home Office</v>
      </c>
    </row>
    <row r="1146" customFormat="false" ht="14.25" hidden="false" customHeight="false" outlineLevel="0" collapsed="false">
      <c r="A1146" s="1" t="n">
        <v>1060</v>
      </c>
      <c r="B1146" s="30" t="n">
        <v>43326</v>
      </c>
      <c r="C1146" s="30" t="n">
        <v>44268</v>
      </c>
      <c r="D1146" s="31" t="n">
        <f aca="false">VLOOKUP(A1146,'Order Shipping'!$A$2:$C$2000,3,FALSE())</f>
        <v>44.6</v>
      </c>
      <c r="E1146" s="32" t="n">
        <f aca="false">VLOOKUP($A1146,'Order Sales'!$A$2:$G$2154,E$1,FALSE())</f>
        <v>44</v>
      </c>
      <c r="F1146" s="32" t="n">
        <f aca="false">VLOOKUP($A1146,'Order Sales'!$A$2:$G$2154,F$1,FALSE())</f>
        <v>4848.13</v>
      </c>
      <c r="G1146" s="32" t="str">
        <f aca="false">VLOOKUP($A1146,'Order Sales'!$A$2:$G$2154,G$1,FALSE())</f>
        <v>Small Business</v>
      </c>
    </row>
    <row r="1147" customFormat="false" ht="14.25" hidden="false" customHeight="false" outlineLevel="0" collapsed="false">
      <c r="A1147" s="1" t="n">
        <v>2217</v>
      </c>
      <c r="B1147" s="30" t="n">
        <v>43341</v>
      </c>
      <c r="C1147" s="30" t="n">
        <v>44269</v>
      </c>
      <c r="D1147" s="31" t="n">
        <f aca="false">VLOOKUP(A1147,'Order Shipping'!$A$2:$C$2000,3,FALSE())</f>
        <v>9.6</v>
      </c>
      <c r="E1147" s="32" t="n">
        <f aca="false">VLOOKUP($A1147,'Order Sales'!$A$2:$G$2154,E$1,FALSE())</f>
        <v>28</v>
      </c>
      <c r="F1147" s="32" t="n">
        <f aca="false">VLOOKUP($A1147,'Order Sales'!$A$2:$G$2154,F$1,FALSE())</f>
        <v>1596.25</v>
      </c>
      <c r="G1147" s="32" t="str">
        <f aca="false">VLOOKUP($A1147,'Order Sales'!$A$2:$G$2154,G$1,FALSE())</f>
        <v>Corporate</v>
      </c>
    </row>
    <row r="1148" customFormat="false" ht="14.25" hidden="false" customHeight="false" outlineLevel="0" collapsed="false">
      <c r="A1148" s="1" t="n">
        <v>2821</v>
      </c>
      <c r="B1148" s="30" t="n">
        <v>43290</v>
      </c>
      <c r="C1148" s="30" t="n">
        <v>44270</v>
      </c>
      <c r="D1148" s="31" t="n">
        <f aca="false">VLOOKUP(A1148,'Order Shipping'!$A$2:$C$2000,3,FALSE())</f>
        <v>6.9</v>
      </c>
      <c r="E1148" s="32" t="n">
        <f aca="false">VLOOKUP($A1148,'Order Sales'!$A$2:$G$2154,E$1,FALSE())</f>
        <v>24</v>
      </c>
      <c r="F1148" s="32" t="n">
        <f aca="false">VLOOKUP($A1148,'Order Sales'!$A$2:$G$2154,F$1,FALSE())</f>
        <v>368.35</v>
      </c>
      <c r="G1148" s="32" t="str">
        <f aca="false">VLOOKUP($A1148,'Order Sales'!$A$2:$G$2154,G$1,FALSE())</f>
        <v>Home Office</v>
      </c>
    </row>
    <row r="1149" customFormat="false" ht="14.25" hidden="false" customHeight="false" outlineLevel="0" collapsed="false">
      <c r="A1149" s="1" t="n">
        <v>1347</v>
      </c>
      <c r="B1149" s="30" t="n">
        <v>43425</v>
      </c>
      <c r="C1149" s="30" t="n">
        <v>44271</v>
      </c>
      <c r="D1149" s="31" t="n">
        <f aca="false">VLOOKUP(A1149,'Order Shipping'!$A$2:$C$2000,3,FALSE())</f>
        <v>62.8</v>
      </c>
      <c r="E1149" s="32" t="n">
        <f aca="false">VLOOKUP($A1149,'Order Sales'!$A$2:$G$2154,E$1,FALSE())</f>
        <v>45</v>
      </c>
      <c r="F1149" s="32" t="n">
        <f aca="false">VLOOKUP($A1149,'Order Sales'!$A$2:$G$2154,F$1,FALSE())</f>
        <v>5543.76</v>
      </c>
      <c r="G1149" s="32" t="str">
        <f aca="false">VLOOKUP($A1149,'Order Sales'!$A$2:$G$2154,G$1,FALSE())</f>
        <v>Consumer</v>
      </c>
    </row>
    <row r="1150" customFormat="false" ht="14.25" hidden="false" customHeight="false" outlineLevel="0" collapsed="false">
      <c r="A1150" s="1" t="n">
        <v>1695</v>
      </c>
      <c r="B1150" s="30" t="n">
        <v>43240</v>
      </c>
      <c r="C1150" s="30" t="n">
        <v>44272</v>
      </c>
      <c r="D1150" s="31" t="n">
        <f aca="false">VLOOKUP(A1150,'Order Shipping'!$A$2:$C$2000,3,FALSE())</f>
        <v>3.2</v>
      </c>
      <c r="E1150" s="32" t="n">
        <f aca="false">VLOOKUP($A1150,'Order Sales'!$A$2:$G$2154,E$1,FALSE())</f>
        <v>7</v>
      </c>
      <c r="F1150" s="32" t="n">
        <f aca="false">VLOOKUP($A1150,'Order Sales'!$A$2:$G$2154,F$1,FALSE())</f>
        <v>203.01</v>
      </c>
      <c r="G1150" s="32" t="str">
        <f aca="false">VLOOKUP($A1150,'Order Sales'!$A$2:$G$2154,G$1,FALSE())</f>
        <v>Home Office</v>
      </c>
    </row>
    <row r="1151" customFormat="false" ht="14.25" hidden="false" customHeight="false" outlineLevel="0" collapsed="false">
      <c r="A1151" s="1" t="n">
        <v>1373</v>
      </c>
      <c r="B1151" s="30" t="n">
        <v>43280</v>
      </c>
      <c r="C1151" s="30" t="n">
        <v>44273</v>
      </c>
      <c r="D1151" s="31" t="n">
        <f aca="false">VLOOKUP(A1151,'Order Shipping'!$A$2:$C$2000,3,FALSE())</f>
        <v>6.6</v>
      </c>
      <c r="E1151" s="32" t="n">
        <f aca="false">VLOOKUP($A1151,'Order Sales'!$A$2:$G$2154,E$1,FALSE())</f>
        <v>15</v>
      </c>
      <c r="F1151" s="32" t="n">
        <f aca="false">VLOOKUP($A1151,'Order Sales'!$A$2:$G$2154,F$1,FALSE())</f>
        <v>149.87</v>
      </c>
      <c r="G1151" s="32" t="str">
        <f aca="false">VLOOKUP($A1151,'Order Sales'!$A$2:$G$2154,G$1,FALSE())</f>
        <v>Corporate</v>
      </c>
    </row>
    <row r="1152" customFormat="false" ht="14.25" hidden="false" customHeight="false" outlineLevel="0" collapsed="false">
      <c r="A1152" s="1" t="n">
        <v>1116</v>
      </c>
      <c r="B1152" s="30" t="n">
        <v>43464</v>
      </c>
      <c r="C1152" s="30" t="n">
        <v>44274</v>
      </c>
      <c r="D1152" s="31" t="n">
        <f aca="false">VLOOKUP(A1152,'Order Shipping'!$A$2:$C$2000,3,FALSE())</f>
        <v>19.1</v>
      </c>
      <c r="E1152" s="32" t="n">
        <f aca="false">VLOOKUP($A1152,'Order Sales'!$A$2:$G$2154,E$1,FALSE())</f>
        <v>45</v>
      </c>
      <c r="F1152" s="32" t="n">
        <f aca="false">VLOOKUP($A1152,'Order Sales'!$A$2:$G$2154,F$1,FALSE())</f>
        <v>12340.3</v>
      </c>
      <c r="G1152" s="32" t="str">
        <f aca="false">VLOOKUP($A1152,'Order Sales'!$A$2:$G$2154,G$1,FALSE())</f>
        <v>Home Office</v>
      </c>
    </row>
    <row r="1153" customFormat="false" ht="14.25" hidden="false" customHeight="false" outlineLevel="0" collapsed="false">
      <c r="A1153" s="1" t="n">
        <v>1372</v>
      </c>
      <c r="B1153" s="30" t="n">
        <v>43341</v>
      </c>
      <c r="C1153" s="30" t="n">
        <v>44275</v>
      </c>
      <c r="D1153" s="31" t="n">
        <f aca="false">VLOOKUP(A1153,'Order Shipping'!$A$2:$C$2000,3,FALSE())</f>
        <v>5.1</v>
      </c>
      <c r="E1153" s="32" t="n">
        <f aca="false">VLOOKUP($A1153,'Order Sales'!$A$2:$G$2154,E$1,FALSE())</f>
        <v>25</v>
      </c>
      <c r="F1153" s="32" t="n">
        <f aca="false">VLOOKUP($A1153,'Order Sales'!$A$2:$G$2154,F$1,FALSE())</f>
        <v>295.86</v>
      </c>
      <c r="G1153" s="32" t="str">
        <f aca="false">VLOOKUP($A1153,'Order Sales'!$A$2:$G$2154,G$1,FALSE())</f>
        <v>Corporate</v>
      </c>
    </row>
    <row r="1154" customFormat="false" ht="14.25" hidden="false" customHeight="false" outlineLevel="0" collapsed="false">
      <c r="A1154" s="1" t="n">
        <v>1387</v>
      </c>
      <c r="B1154" s="30" t="n">
        <v>43135</v>
      </c>
      <c r="C1154" s="30" t="n">
        <v>44276</v>
      </c>
      <c r="D1154" s="31" t="n">
        <f aca="false">VLOOKUP(A1154,'Order Shipping'!$A$2:$C$2000,3,FALSE())</f>
        <v>9.2</v>
      </c>
      <c r="E1154" s="32" t="n">
        <f aca="false">VLOOKUP($A1154,'Order Sales'!$A$2:$G$2154,E$1,FALSE())</f>
        <v>17</v>
      </c>
      <c r="F1154" s="32" t="n">
        <f aca="false">VLOOKUP($A1154,'Order Sales'!$A$2:$G$2154,F$1,FALSE())</f>
        <v>469.31</v>
      </c>
      <c r="G1154" s="32" t="str">
        <f aca="false">VLOOKUP($A1154,'Order Sales'!$A$2:$G$2154,G$1,FALSE())</f>
        <v>Home Office</v>
      </c>
    </row>
    <row r="1155" customFormat="false" ht="14.25" hidden="false" customHeight="false" outlineLevel="0" collapsed="false">
      <c r="A1155" s="1" t="n">
        <v>1895</v>
      </c>
      <c r="B1155" s="30" t="n">
        <v>43434</v>
      </c>
      <c r="C1155" s="30" t="n">
        <v>44277</v>
      </c>
      <c r="D1155" s="31" t="n">
        <f aca="false">VLOOKUP(A1155,'Order Shipping'!$A$2:$C$2000,3,FALSE())</f>
        <v>32.1</v>
      </c>
      <c r="E1155" s="32" t="n">
        <f aca="false">VLOOKUP($A1155,'Order Sales'!$A$2:$G$2154,E$1,FALSE())</f>
        <v>29</v>
      </c>
      <c r="F1155" s="32" t="n">
        <f aca="false">VLOOKUP($A1155,'Order Sales'!$A$2:$G$2154,F$1,FALSE())</f>
        <v>3771.27</v>
      </c>
      <c r="G1155" s="32" t="str">
        <f aca="false">VLOOKUP($A1155,'Order Sales'!$A$2:$G$2154,G$1,FALSE())</f>
        <v>Home Office</v>
      </c>
    </row>
    <row r="1156" customFormat="false" ht="14.25" hidden="false" customHeight="false" outlineLevel="0" collapsed="false">
      <c r="A1156" s="1" t="n">
        <v>2454</v>
      </c>
      <c r="B1156" s="30" t="n">
        <v>43440</v>
      </c>
      <c r="C1156" s="30" t="n">
        <v>44278</v>
      </c>
      <c r="D1156" s="31" t="n">
        <f aca="false">VLOOKUP(A1156,'Order Shipping'!$A$2:$C$2000,3,FALSE())</f>
        <v>7.2</v>
      </c>
      <c r="E1156" s="32" t="n">
        <f aca="false">VLOOKUP($A1156,'Order Sales'!$A$2:$G$2154,E$1,FALSE())</f>
        <v>24</v>
      </c>
      <c r="F1156" s="32" t="n">
        <f aca="false">VLOOKUP($A1156,'Order Sales'!$A$2:$G$2154,F$1,FALSE())</f>
        <v>408.94</v>
      </c>
      <c r="G1156" s="32" t="str">
        <f aca="false">VLOOKUP($A1156,'Order Sales'!$A$2:$G$2154,G$1,FALSE())</f>
        <v>Corporate</v>
      </c>
    </row>
    <row r="1157" customFormat="false" ht="14.25" hidden="false" customHeight="false" outlineLevel="0" collapsed="false">
      <c r="A1157" s="1" t="n">
        <v>2413</v>
      </c>
      <c r="B1157" s="30" t="n">
        <v>43328</v>
      </c>
      <c r="C1157" s="30" t="n">
        <v>44279</v>
      </c>
      <c r="D1157" s="31" t="n">
        <f aca="false">VLOOKUP(A1157,'Order Shipping'!$A$2:$C$2000,3,FALSE())</f>
        <v>3.2</v>
      </c>
      <c r="E1157" s="32" t="n">
        <f aca="false">VLOOKUP($A1157,'Order Sales'!$A$2:$G$2154,E$1,FALSE())</f>
        <v>11</v>
      </c>
      <c r="F1157" s="32" t="n">
        <f aca="false">VLOOKUP($A1157,'Order Sales'!$A$2:$G$2154,F$1,FALSE())</f>
        <v>136.23</v>
      </c>
      <c r="G1157" s="32" t="str">
        <f aca="false">VLOOKUP($A1157,'Order Sales'!$A$2:$G$2154,G$1,FALSE())</f>
        <v>Consumer</v>
      </c>
    </row>
    <row r="1158" customFormat="false" ht="14.25" hidden="false" customHeight="false" outlineLevel="0" collapsed="false">
      <c r="A1158" s="1" t="n">
        <v>2899</v>
      </c>
      <c r="B1158" s="30" t="n">
        <v>43309</v>
      </c>
      <c r="C1158" s="30" t="n">
        <v>44280</v>
      </c>
      <c r="D1158" s="31" t="n">
        <f aca="false">VLOOKUP(A1158,'Order Shipping'!$A$2:$C$2000,3,FALSE())</f>
        <v>7.7</v>
      </c>
      <c r="E1158" s="32" t="n">
        <f aca="false">VLOOKUP($A1158,'Order Sales'!$A$2:$G$2154,E$1,FALSE())</f>
        <v>44</v>
      </c>
      <c r="F1158" s="32" t="n">
        <f aca="false">VLOOKUP($A1158,'Order Sales'!$A$2:$G$2154,F$1,FALSE())</f>
        <v>4629.11</v>
      </c>
      <c r="G1158" s="32" t="str">
        <f aca="false">VLOOKUP($A1158,'Order Sales'!$A$2:$G$2154,G$1,FALSE())</f>
        <v>Corporate</v>
      </c>
    </row>
    <row r="1159" customFormat="false" ht="14.25" hidden="false" customHeight="false" outlineLevel="0" collapsed="false">
      <c r="A1159" s="1" t="n">
        <v>1796</v>
      </c>
      <c r="B1159" s="30" t="n">
        <v>43184</v>
      </c>
      <c r="C1159" s="30" t="n">
        <v>44281</v>
      </c>
      <c r="D1159" s="31" t="n">
        <f aca="false">VLOOKUP(A1159,'Order Shipping'!$A$2:$C$2000,3,FALSE())</f>
        <v>0.5</v>
      </c>
      <c r="E1159" s="32" t="n">
        <f aca="false">VLOOKUP($A1159,'Order Sales'!$A$2:$G$2154,E$1,FALSE())</f>
        <v>44</v>
      </c>
      <c r="F1159" s="32" t="n">
        <f aca="false">VLOOKUP($A1159,'Order Sales'!$A$2:$G$2154,F$1,FALSE())</f>
        <v>219.47</v>
      </c>
      <c r="G1159" s="32" t="str">
        <f aca="false">VLOOKUP($A1159,'Order Sales'!$A$2:$G$2154,G$1,FALSE())</f>
        <v>Consumer</v>
      </c>
    </row>
    <row r="1160" customFormat="false" ht="14.25" hidden="false" customHeight="false" outlineLevel="0" collapsed="false">
      <c r="A1160" s="1" t="n">
        <v>1022</v>
      </c>
      <c r="B1160" s="30" t="n">
        <v>43402</v>
      </c>
      <c r="C1160" s="30" t="n">
        <v>44282</v>
      </c>
      <c r="D1160" s="31" t="n">
        <f aca="false">VLOOKUP(A1160,'Order Shipping'!$A$2:$C$2000,3,FALSE())</f>
        <v>5.7</v>
      </c>
      <c r="E1160" s="32" t="n">
        <f aca="false">VLOOKUP($A1160,'Order Sales'!$A$2:$G$2154,E$1,FALSE())</f>
        <v>6</v>
      </c>
      <c r="F1160" s="32" t="n">
        <f aca="false">VLOOKUP($A1160,'Order Sales'!$A$2:$G$2154,F$1,FALSE())</f>
        <v>44.62</v>
      </c>
      <c r="G1160" s="32" t="str">
        <f aca="false">VLOOKUP($A1160,'Order Sales'!$A$2:$G$2154,G$1,FALSE())</f>
        <v>Small Business</v>
      </c>
    </row>
    <row r="1161" customFormat="false" ht="14.25" hidden="false" customHeight="false" outlineLevel="0" collapsed="false">
      <c r="A1161" s="1" t="n">
        <v>1627</v>
      </c>
      <c r="B1161" s="30" t="n">
        <v>43402</v>
      </c>
      <c r="C1161" s="30" t="n">
        <v>44283</v>
      </c>
      <c r="D1161" s="31" t="n">
        <f aca="false">VLOOKUP(A1161,'Order Shipping'!$A$2:$C$2000,3,FALSE())</f>
        <v>5.5</v>
      </c>
      <c r="E1161" s="32" t="n">
        <f aca="false">VLOOKUP($A1161,'Order Sales'!$A$2:$G$2154,E$1,FALSE())</f>
        <v>9</v>
      </c>
      <c r="F1161" s="32" t="n">
        <f aca="false">VLOOKUP($A1161,'Order Sales'!$A$2:$G$2154,F$1,FALSE())</f>
        <v>334.11</v>
      </c>
      <c r="G1161" s="32" t="str">
        <f aca="false">VLOOKUP($A1161,'Order Sales'!$A$2:$G$2154,G$1,FALSE())</f>
        <v>Corporate</v>
      </c>
    </row>
    <row r="1162" customFormat="false" ht="14.25" hidden="false" customHeight="false" outlineLevel="0" collapsed="false">
      <c r="A1162" s="1" t="n">
        <v>1074</v>
      </c>
      <c r="B1162" s="30" t="n">
        <v>43225</v>
      </c>
      <c r="C1162" s="30" t="n">
        <v>44284</v>
      </c>
      <c r="D1162" s="31" t="n">
        <f aca="false">VLOOKUP(A1162,'Order Shipping'!$A$2:$C$2000,3,FALSE())</f>
        <v>1</v>
      </c>
      <c r="E1162" s="32" t="n">
        <f aca="false">VLOOKUP($A1162,'Order Sales'!$A$2:$G$2154,E$1,FALSE())</f>
        <v>23</v>
      </c>
      <c r="F1162" s="32" t="n">
        <f aca="false">VLOOKUP($A1162,'Order Sales'!$A$2:$G$2154,F$1,FALSE())</f>
        <v>71.95</v>
      </c>
      <c r="G1162" s="32" t="str">
        <f aca="false">VLOOKUP($A1162,'Order Sales'!$A$2:$G$2154,G$1,FALSE())</f>
        <v>Home Office</v>
      </c>
    </row>
    <row r="1163" customFormat="false" ht="14.25" hidden="false" customHeight="false" outlineLevel="0" collapsed="false">
      <c r="A1163" s="1" t="n">
        <v>1805</v>
      </c>
      <c r="B1163" s="30" t="n">
        <v>43172</v>
      </c>
      <c r="C1163" s="30" t="n">
        <v>44285</v>
      </c>
      <c r="D1163" s="31" t="n">
        <f aca="false">VLOOKUP(A1163,'Order Shipping'!$A$2:$C$2000,3,FALSE())</f>
        <v>5.3</v>
      </c>
      <c r="E1163" s="32" t="n">
        <f aca="false">VLOOKUP($A1163,'Order Sales'!$A$2:$G$2154,E$1,FALSE())</f>
        <v>32</v>
      </c>
      <c r="F1163" s="32" t="n">
        <f aca="false">VLOOKUP($A1163,'Order Sales'!$A$2:$G$2154,F$1,FALSE())</f>
        <v>288.15</v>
      </c>
      <c r="G1163" s="32" t="str">
        <f aca="false">VLOOKUP($A1163,'Order Sales'!$A$2:$G$2154,G$1,FALSE())</f>
        <v>Corporate</v>
      </c>
    </row>
    <row r="1164" customFormat="false" ht="14.25" hidden="false" customHeight="false" outlineLevel="0" collapsed="false">
      <c r="A1164" s="1" t="n">
        <v>2231</v>
      </c>
      <c r="B1164" s="30" t="n">
        <v>43413</v>
      </c>
      <c r="C1164" s="30" t="n">
        <v>44286</v>
      </c>
      <c r="D1164" s="31" t="n">
        <f aca="false">VLOOKUP(A1164,'Order Shipping'!$A$2:$C$2000,3,FALSE())</f>
        <v>9.6</v>
      </c>
      <c r="E1164" s="32" t="n">
        <f aca="false">VLOOKUP($A1164,'Order Sales'!$A$2:$G$2154,E$1,FALSE())</f>
        <v>21</v>
      </c>
      <c r="F1164" s="32" t="n">
        <f aca="false">VLOOKUP($A1164,'Order Sales'!$A$2:$G$2154,F$1,FALSE())</f>
        <v>2922.95</v>
      </c>
      <c r="G1164" s="32" t="str">
        <f aca="false">VLOOKUP($A1164,'Order Sales'!$A$2:$G$2154,G$1,FALSE())</f>
        <v>Home Office</v>
      </c>
    </row>
    <row r="1165" customFormat="false" ht="14.25" hidden="false" customHeight="false" outlineLevel="0" collapsed="false">
      <c r="A1165" s="1" t="n">
        <v>2310</v>
      </c>
      <c r="B1165" s="30" t="n">
        <v>43381</v>
      </c>
      <c r="C1165" s="30" t="n">
        <v>44287</v>
      </c>
      <c r="D1165" s="31" t="n">
        <f aca="false">VLOOKUP(A1165,'Order Shipping'!$A$2:$C$2000,3,FALSE())</f>
        <v>15.5</v>
      </c>
      <c r="E1165" s="32" t="n">
        <f aca="false">VLOOKUP($A1165,'Order Sales'!$A$2:$G$2154,E$1,FALSE())</f>
        <v>4</v>
      </c>
      <c r="F1165" s="32" t="n">
        <f aca="false">VLOOKUP($A1165,'Order Sales'!$A$2:$G$2154,F$1,FALSE())</f>
        <v>212.63</v>
      </c>
      <c r="G1165" s="32" t="str">
        <f aca="false">VLOOKUP($A1165,'Order Sales'!$A$2:$G$2154,G$1,FALSE())</f>
        <v>Consumer</v>
      </c>
    </row>
    <row r="1166" customFormat="false" ht="14.25" hidden="false" customHeight="false" outlineLevel="0" collapsed="false">
      <c r="A1166" s="1" t="n">
        <v>1991</v>
      </c>
      <c r="B1166" s="30" t="n">
        <v>43206</v>
      </c>
      <c r="C1166" s="30" t="n">
        <v>44288</v>
      </c>
      <c r="D1166" s="31" t="n">
        <f aca="false">VLOOKUP(A1166,'Order Shipping'!$A$2:$C$2000,3,FALSE())</f>
        <v>2.6</v>
      </c>
      <c r="E1166" s="32" t="n">
        <f aca="false">VLOOKUP($A1166,'Order Sales'!$A$2:$G$2154,E$1,FALSE())</f>
        <v>8</v>
      </c>
      <c r="F1166" s="32" t="n">
        <f aca="false">VLOOKUP($A1166,'Order Sales'!$A$2:$G$2154,F$1,FALSE())</f>
        <v>23.94</v>
      </c>
      <c r="G1166" s="32" t="str">
        <f aca="false">VLOOKUP($A1166,'Order Sales'!$A$2:$G$2154,G$1,FALSE())</f>
        <v>Corporate</v>
      </c>
    </row>
    <row r="1167" customFormat="false" ht="14.25" hidden="false" customHeight="false" outlineLevel="0" collapsed="false">
      <c r="A1167" s="1" t="n">
        <v>2508</v>
      </c>
      <c r="B1167" s="30" t="n">
        <v>43144</v>
      </c>
      <c r="C1167" s="30" t="n">
        <v>44289</v>
      </c>
      <c r="D1167" s="31" t="n">
        <f aca="false">VLOOKUP(A1167,'Order Shipping'!$A$2:$C$2000,3,FALSE())</f>
        <v>38.3</v>
      </c>
      <c r="E1167" s="32" t="n">
        <f aca="false">VLOOKUP($A1167,'Order Sales'!$A$2:$G$2154,E$1,FALSE())</f>
        <v>1</v>
      </c>
      <c r="F1167" s="32" t="n">
        <f aca="false">VLOOKUP($A1167,'Order Sales'!$A$2:$G$2154,F$1,FALSE())</f>
        <v>140.46</v>
      </c>
      <c r="G1167" s="32" t="str">
        <f aca="false">VLOOKUP($A1167,'Order Sales'!$A$2:$G$2154,G$1,FALSE())</f>
        <v>Consumer</v>
      </c>
    </row>
    <row r="1168" customFormat="false" ht="14.25" hidden="false" customHeight="false" outlineLevel="0" collapsed="false">
      <c r="A1168" s="1" t="n">
        <v>2643</v>
      </c>
      <c r="B1168" s="30" t="n">
        <v>43121</v>
      </c>
      <c r="C1168" s="30" t="n">
        <v>44290</v>
      </c>
      <c r="D1168" s="31" t="n">
        <f aca="false">VLOOKUP(A1168,'Order Shipping'!$A$2:$C$2000,3,FALSE())</f>
        <v>7.5</v>
      </c>
      <c r="E1168" s="32" t="n">
        <f aca="false">VLOOKUP($A1168,'Order Sales'!$A$2:$G$2154,E$1,FALSE())</f>
        <v>4</v>
      </c>
      <c r="F1168" s="32" t="n">
        <f aca="false">VLOOKUP($A1168,'Order Sales'!$A$2:$G$2154,F$1,FALSE())</f>
        <v>41.47</v>
      </c>
      <c r="G1168" s="32" t="str">
        <f aca="false">VLOOKUP($A1168,'Order Sales'!$A$2:$G$2154,G$1,FALSE())</f>
        <v>Corporate</v>
      </c>
    </row>
    <row r="1169" customFormat="false" ht="14.25" hidden="false" customHeight="false" outlineLevel="0" collapsed="false">
      <c r="A1169" s="1" t="n">
        <v>1348</v>
      </c>
      <c r="B1169" s="30" t="n">
        <v>43425</v>
      </c>
      <c r="C1169" s="30" t="n">
        <v>44291</v>
      </c>
      <c r="D1169" s="31" t="n">
        <f aca="false">VLOOKUP(A1169,'Order Shipping'!$A$2:$C$2000,3,FALSE())</f>
        <v>15</v>
      </c>
      <c r="E1169" s="32" t="n">
        <f aca="false">VLOOKUP($A1169,'Order Sales'!$A$2:$G$2154,E$1,FALSE())</f>
        <v>2</v>
      </c>
      <c r="F1169" s="32" t="n">
        <f aca="false">VLOOKUP($A1169,'Order Sales'!$A$2:$G$2154,F$1,FALSE())</f>
        <v>2199.89</v>
      </c>
      <c r="G1169" s="32" t="str">
        <f aca="false">VLOOKUP($A1169,'Order Sales'!$A$2:$G$2154,G$1,FALSE())</f>
        <v>Consumer</v>
      </c>
    </row>
    <row r="1170" customFormat="false" ht="14.25" hidden="false" customHeight="false" outlineLevel="0" collapsed="false">
      <c r="A1170" s="1" t="n">
        <v>2503</v>
      </c>
      <c r="B1170" s="30" t="n">
        <v>43336</v>
      </c>
      <c r="C1170" s="30" t="n">
        <v>44292</v>
      </c>
      <c r="D1170" s="31" t="n">
        <f aca="false">VLOOKUP(A1170,'Order Shipping'!$A$2:$C$2000,3,FALSE())</f>
        <v>1.1</v>
      </c>
      <c r="E1170" s="32" t="n">
        <f aca="false">VLOOKUP($A1170,'Order Sales'!$A$2:$G$2154,E$1,FALSE())</f>
        <v>39</v>
      </c>
      <c r="F1170" s="32" t="n">
        <f aca="false">VLOOKUP($A1170,'Order Sales'!$A$2:$G$2154,F$1,FALSE())</f>
        <v>728.52</v>
      </c>
      <c r="G1170" s="32" t="str">
        <f aca="false">VLOOKUP($A1170,'Order Sales'!$A$2:$G$2154,G$1,FALSE())</f>
        <v>Small Business</v>
      </c>
    </row>
    <row r="1171" customFormat="false" ht="14.25" hidden="false" customHeight="false" outlineLevel="0" collapsed="false">
      <c r="A1171" s="1" t="n">
        <v>2883</v>
      </c>
      <c r="B1171" s="30" t="n">
        <v>43405</v>
      </c>
      <c r="C1171" s="30" t="n">
        <v>44293</v>
      </c>
      <c r="D1171" s="31" t="n">
        <f aca="false">VLOOKUP(A1171,'Order Shipping'!$A$2:$C$2000,3,FALSE())</f>
        <v>39.2</v>
      </c>
      <c r="E1171" s="32" t="n">
        <f aca="false">VLOOKUP($A1171,'Order Sales'!$A$2:$G$2154,E$1,FALSE())</f>
        <v>19</v>
      </c>
      <c r="F1171" s="32" t="n">
        <f aca="false">VLOOKUP($A1171,'Order Sales'!$A$2:$G$2154,F$1,FALSE())</f>
        <v>1213.59</v>
      </c>
      <c r="G1171" s="32" t="str">
        <f aca="false">VLOOKUP($A1171,'Order Sales'!$A$2:$G$2154,G$1,FALSE())</f>
        <v>Small Business</v>
      </c>
    </row>
    <row r="1172" customFormat="false" ht="14.25" hidden="false" customHeight="false" outlineLevel="0" collapsed="false">
      <c r="A1172" s="1" t="n">
        <v>2302</v>
      </c>
      <c r="B1172" s="30" t="n">
        <v>43305</v>
      </c>
      <c r="C1172" s="30" t="n">
        <v>44294</v>
      </c>
      <c r="D1172" s="31" t="n">
        <f aca="false">VLOOKUP(A1172,'Order Shipping'!$A$2:$C$2000,3,FALSE())</f>
        <v>21.4</v>
      </c>
      <c r="E1172" s="32" t="n">
        <f aca="false">VLOOKUP($A1172,'Order Sales'!$A$2:$G$2154,E$1,FALSE())</f>
        <v>1</v>
      </c>
      <c r="F1172" s="32" t="n">
        <f aca="false">VLOOKUP($A1172,'Order Sales'!$A$2:$G$2154,F$1,FALSE())</f>
        <v>195.17</v>
      </c>
      <c r="G1172" s="32" t="str">
        <f aca="false">VLOOKUP($A1172,'Order Sales'!$A$2:$G$2154,G$1,FALSE())</f>
        <v>Corporate</v>
      </c>
    </row>
    <row r="1173" customFormat="false" ht="14.25" hidden="false" customHeight="false" outlineLevel="0" collapsed="false">
      <c r="A1173" s="1" t="n">
        <v>2889</v>
      </c>
      <c r="B1173" s="30" t="n">
        <v>43336</v>
      </c>
      <c r="C1173" s="30" t="n">
        <v>44295</v>
      </c>
      <c r="D1173" s="31" t="n">
        <f aca="false">VLOOKUP(A1173,'Order Shipping'!$A$2:$C$2000,3,FALSE())</f>
        <v>6.1</v>
      </c>
      <c r="E1173" s="32" t="n">
        <f aca="false">VLOOKUP($A1173,'Order Sales'!$A$2:$G$2154,E$1,FALSE())</f>
        <v>11</v>
      </c>
      <c r="F1173" s="32" t="n">
        <f aca="false">VLOOKUP($A1173,'Order Sales'!$A$2:$G$2154,F$1,FALSE())</f>
        <v>85.88</v>
      </c>
      <c r="G1173" s="32" t="str">
        <f aca="false">VLOOKUP($A1173,'Order Sales'!$A$2:$G$2154,G$1,FALSE())</f>
        <v>Corporate</v>
      </c>
    </row>
    <row r="1174" customFormat="false" ht="14.25" hidden="false" customHeight="false" outlineLevel="0" collapsed="false">
      <c r="A1174" s="1" t="n">
        <v>2737</v>
      </c>
      <c r="B1174" s="30" t="n">
        <v>43408</v>
      </c>
      <c r="C1174" s="30" t="n">
        <v>44296</v>
      </c>
      <c r="D1174" s="31" t="n">
        <f aca="false">VLOOKUP(A1174,'Order Shipping'!$A$2:$C$2000,3,FALSE())</f>
        <v>6.6</v>
      </c>
      <c r="E1174" s="32" t="n">
        <f aca="false">VLOOKUP($A1174,'Order Sales'!$A$2:$G$2154,E$1,FALSE())</f>
        <v>48</v>
      </c>
      <c r="F1174" s="32" t="n">
        <f aca="false">VLOOKUP($A1174,'Order Sales'!$A$2:$G$2154,F$1,FALSE())</f>
        <v>660.47</v>
      </c>
      <c r="G1174" s="32" t="str">
        <f aca="false">VLOOKUP($A1174,'Order Sales'!$A$2:$G$2154,G$1,FALSE())</f>
        <v>Small Business</v>
      </c>
    </row>
    <row r="1175" customFormat="false" ht="14.25" hidden="false" customHeight="false" outlineLevel="0" collapsed="false">
      <c r="A1175" s="1" t="n">
        <v>1886</v>
      </c>
      <c r="B1175" s="30" t="n">
        <v>43425</v>
      </c>
      <c r="C1175" s="30" t="n">
        <v>44297</v>
      </c>
      <c r="D1175" s="31" t="n">
        <f aca="false">VLOOKUP(A1175,'Order Shipping'!$A$2:$C$2000,3,FALSE())</f>
        <v>8.3</v>
      </c>
      <c r="E1175" s="32" t="n">
        <f aca="false">VLOOKUP($A1175,'Order Sales'!$A$2:$G$2154,E$1,FALSE())</f>
        <v>38</v>
      </c>
      <c r="F1175" s="32" t="n">
        <f aca="false">VLOOKUP($A1175,'Order Sales'!$A$2:$G$2154,F$1,FALSE())</f>
        <v>293.06</v>
      </c>
      <c r="G1175" s="32" t="str">
        <f aca="false">VLOOKUP($A1175,'Order Sales'!$A$2:$G$2154,G$1,FALSE())</f>
        <v>Home Office</v>
      </c>
    </row>
    <row r="1176" customFormat="false" ht="14.25" hidden="false" customHeight="false" outlineLevel="0" collapsed="false">
      <c r="A1176" s="1" t="n">
        <v>1220</v>
      </c>
      <c r="B1176" s="30" t="n">
        <v>43220</v>
      </c>
      <c r="C1176" s="30" t="n">
        <v>44298</v>
      </c>
      <c r="D1176" s="31" t="n">
        <f aca="false">VLOOKUP(A1176,'Order Shipping'!$A$2:$C$2000,3,FALSE())</f>
        <v>6.5</v>
      </c>
      <c r="E1176" s="32" t="n">
        <f aca="false">VLOOKUP($A1176,'Order Sales'!$A$2:$G$2154,E$1,FALSE())</f>
        <v>20</v>
      </c>
      <c r="F1176" s="32" t="n">
        <f aca="false">VLOOKUP($A1176,'Order Sales'!$A$2:$G$2154,F$1,FALSE())</f>
        <v>167.42</v>
      </c>
      <c r="G1176" s="32" t="str">
        <f aca="false">VLOOKUP($A1176,'Order Sales'!$A$2:$G$2154,G$1,FALSE())</f>
        <v>Home Office</v>
      </c>
    </row>
    <row r="1177" customFormat="false" ht="14.25" hidden="false" customHeight="false" outlineLevel="0" collapsed="false">
      <c r="A1177" s="1" t="n">
        <v>1993</v>
      </c>
      <c r="B1177" s="30" t="n">
        <v>43463</v>
      </c>
      <c r="C1177" s="30" t="n">
        <v>44299</v>
      </c>
      <c r="D1177" s="31" t="n">
        <f aca="false">VLOOKUP(A1177,'Order Shipping'!$A$2:$C$2000,3,FALSE())</f>
        <v>8.7</v>
      </c>
      <c r="E1177" s="32" t="n">
        <f aca="false">VLOOKUP($A1177,'Order Sales'!$A$2:$G$2154,E$1,FALSE())</f>
        <v>29</v>
      </c>
      <c r="F1177" s="32" t="n">
        <f aca="false">VLOOKUP($A1177,'Order Sales'!$A$2:$G$2154,F$1,FALSE())</f>
        <v>166.77</v>
      </c>
      <c r="G1177" s="32" t="str">
        <f aca="false">VLOOKUP($A1177,'Order Sales'!$A$2:$G$2154,G$1,FALSE())</f>
        <v>Small Business</v>
      </c>
    </row>
    <row r="1178" customFormat="false" ht="14.25" hidden="false" customHeight="false" outlineLevel="0" collapsed="false">
      <c r="A1178" s="1" t="n">
        <v>1444</v>
      </c>
      <c r="B1178" s="30" t="n">
        <v>43398</v>
      </c>
      <c r="C1178" s="30" t="n">
        <v>44300</v>
      </c>
      <c r="D1178" s="31" t="n">
        <f aca="false">VLOOKUP(A1178,'Order Shipping'!$A$2:$C$2000,3,FALSE())</f>
        <v>0.5</v>
      </c>
      <c r="E1178" s="32" t="n">
        <f aca="false">VLOOKUP($A1178,'Order Sales'!$A$2:$G$2154,E$1,FALSE())</f>
        <v>26</v>
      </c>
      <c r="F1178" s="32" t="n">
        <f aca="false">VLOOKUP($A1178,'Order Sales'!$A$2:$G$2154,F$1,FALSE())</f>
        <v>113.45</v>
      </c>
      <c r="G1178" s="32" t="str">
        <f aca="false">VLOOKUP($A1178,'Order Sales'!$A$2:$G$2154,G$1,FALSE())</f>
        <v>Home Office</v>
      </c>
    </row>
    <row r="1179" customFormat="false" ht="14.25" hidden="false" customHeight="false" outlineLevel="0" collapsed="false">
      <c r="A1179" s="1" t="n">
        <v>1640</v>
      </c>
      <c r="B1179" s="30" t="n">
        <v>43378</v>
      </c>
      <c r="C1179" s="30" t="n">
        <v>44301</v>
      </c>
      <c r="D1179" s="31" t="n">
        <f aca="false">VLOOKUP(A1179,'Order Shipping'!$A$2:$C$2000,3,FALSE())</f>
        <v>5.7</v>
      </c>
      <c r="E1179" s="32" t="n">
        <f aca="false">VLOOKUP($A1179,'Order Sales'!$A$2:$G$2154,E$1,FALSE())</f>
        <v>43</v>
      </c>
      <c r="F1179" s="32" t="n">
        <f aca="false">VLOOKUP($A1179,'Order Sales'!$A$2:$G$2154,F$1,FALSE())</f>
        <v>1128.53</v>
      </c>
      <c r="G1179" s="32" t="str">
        <f aca="false">VLOOKUP($A1179,'Order Sales'!$A$2:$G$2154,G$1,FALSE())</f>
        <v>Consumer</v>
      </c>
    </row>
    <row r="1180" customFormat="false" ht="14.25" hidden="false" customHeight="false" outlineLevel="0" collapsed="false">
      <c r="A1180" s="1" t="n">
        <v>2209</v>
      </c>
      <c r="B1180" s="30" t="n">
        <v>43285</v>
      </c>
      <c r="C1180" s="30" t="n">
        <v>44302</v>
      </c>
      <c r="D1180" s="31" t="n">
        <f aca="false">VLOOKUP(A1180,'Order Shipping'!$A$2:$C$2000,3,FALSE())</f>
        <v>5.5</v>
      </c>
      <c r="E1180" s="32" t="n">
        <f aca="false">VLOOKUP($A1180,'Order Sales'!$A$2:$G$2154,E$1,FALSE())</f>
        <v>7</v>
      </c>
      <c r="F1180" s="32" t="n">
        <f aca="false">VLOOKUP($A1180,'Order Sales'!$A$2:$G$2154,F$1,FALSE())</f>
        <v>59.58</v>
      </c>
      <c r="G1180" s="32" t="str">
        <f aca="false">VLOOKUP($A1180,'Order Sales'!$A$2:$G$2154,G$1,FALSE())</f>
        <v>Small Business</v>
      </c>
    </row>
    <row r="1181" customFormat="false" ht="14.25" hidden="false" customHeight="false" outlineLevel="0" collapsed="false">
      <c r="A1181" s="1" t="n">
        <v>1076</v>
      </c>
      <c r="B1181" s="30" t="n">
        <v>43377</v>
      </c>
      <c r="C1181" s="30" t="n">
        <v>44303</v>
      </c>
      <c r="D1181" s="31" t="n">
        <f aca="false">VLOOKUP(A1181,'Order Shipping'!$A$2:$C$2000,3,FALSE())</f>
        <v>4.8</v>
      </c>
      <c r="E1181" s="32" t="n">
        <f aca="false">VLOOKUP($A1181,'Order Sales'!$A$2:$G$2154,E$1,FALSE())</f>
        <v>9</v>
      </c>
      <c r="F1181" s="32" t="n">
        <f aca="false">VLOOKUP($A1181,'Order Sales'!$A$2:$G$2154,F$1,FALSE())</f>
        <v>130.69</v>
      </c>
      <c r="G1181" s="32" t="str">
        <f aca="false">VLOOKUP($A1181,'Order Sales'!$A$2:$G$2154,G$1,FALSE())</f>
        <v>Corporate</v>
      </c>
    </row>
    <row r="1182" customFormat="false" ht="14.25" hidden="false" customHeight="false" outlineLevel="0" collapsed="false">
      <c r="A1182" s="1" t="n">
        <v>1760</v>
      </c>
      <c r="B1182" s="30" t="n">
        <v>43285</v>
      </c>
      <c r="C1182" s="30" t="n">
        <v>44304</v>
      </c>
      <c r="D1182" s="31" t="n">
        <f aca="false">VLOOKUP(A1182,'Order Shipping'!$A$2:$C$2000,3,FALSE())</f>
        <v>0.5</v>
      </c>
      <c r="E1182" s="32" t="n">
        <f aca="false">VLOOKUP($A1182,'Order Sales'!$A$2:$G$2154,E$1,FALSE())</f>
        <v>6</v>
      </c>
      <c r="F1182" s="32" t="n">
        <f aca="false">VLOOKUP($A1182,'Order Sales'!$A$2:$G$2154,F$1,FALSE())</f>
        <v>18.65</v>
      </c>
      <c r="G1182" s="32" t="str">
        <f aca="false">VLOOKUP($A1182,'Order Sales'!$A$2:$G$2154,G$1,FALSE())</f>
        <v>Home Office</v>
      </c>
    </row>
    <row r="1183" customFormat="false" ht="14.25" hidden="false" customHeight="false" outlineLevel="0" collapsed="false">
      <c r="A1183" s="1" t="n">
        <v>1409</v>
      </c>
      <c r="B1183" s="30" t="n">
        <v>43191</v>
      </c>
      <c r="C1183" s="30" t="n">
        <v>44305</v>
      </c>
      <c r="D1183" s="31" t="n">
        <f aca="false">VLOOKUP(A1183,'Order Shipping'!$A$2:$C$2000,3,FALSE())</f>
        <v>5.6</v>
      </c>
      <c r="E1183" s="32" t="n">
        <f aca="false">VLOOKUP($A1183,'Order Sales'!$A$2:$G$2154,E$1,FALSE())</f>
        <v>4</v>
      </c>
      <c r="F1183" s="32" t="n">
        <f aca="false">VLOOKUP($A1183,'Order Sales'!$A$2:$G$2154,F$1,FALSE())</f>
        <v>39.38</v>
      </c>
      <c r="G1183" s="32" t="str">
        <f aca="false">VLOOKUP($A1183,'Order Sales'!$A$2:$G$2154,G$1,FALSE())</f>
        <v>Corporate</v>
      </c>
    </row>
    <row r="1184" customFormat="false" ht="14.25" hidden="false" customHeight="false" outlineLevel="0" collapsed="false">
      <c r="A1184" s="1" t="n">
        <v>2828</v>
      </c>
      <c r="B1184" s="30" t="n">
        <v>43376</v>
      </c>
      <c r="C1184" s="30" t="n">
        <v>44306</v>
      </c>
      <c r="D1184" s="31" t="n">
        <f aca="false">VLOOKUP(A1184,'Order Shipping'!$A$2:$C$2000,3,FALSE())</f>
        <v>2.7</v>
      </c>
      <c r="E1184" s="32" t="n">
        <f aca="false">VLOOKUP($A1184,'Order Sales'!$A$2:$G$2154,E$1,FALSE())</f>
        <v>3</v>
      </c>
      <c r="F1184" s="32" t="n">
        <f aca="false">VLOOKUP($A1184,'Order Sales'!$A$2:$G$2154,F$1,FALSE())</f>
        <v>154.06</v>
      </c>
      <c r="G1184" s="32" t="str">
        <f aca="false">VLOOKUP($A1184,'Order Sales'!$A$2:$G$2154,G$1,FALSE())</f>
        <v>Corporate</v>
      </c>
    </row>
    <row r="1185" customFormat="false" ht="14.25" hidden="false" customHeight="false" outlineLevel="0" collapsed="false">
      <c r="A1185" s="1" t="n">
        <v>1605</v>
      </c>
      <c r="B1185" s="30" t="n">
        <v>43163</v>
      </c>
      <c r="C1185" s="30" t="n">
        <v>44307</v>
      </c>
      <c r="D1185" s="31" t="n">
        <f aca="false">VLOOKUP(A1185,'Order Shipping'!$A$2:$C$2000,3,FALSE())</f>
        <v>21.4</v>
      </c>
      <c r="E1185" s="32" t="n">
        <f aca="false">VLOOKUP($A1185,'Order Sales'!$A$2:$G$2154,E$1,FALSE())</f>
        <v>49</v>
      </c>
      <c r="F1185" s="32" t="n">
        <f aca="false">VLOOKUP($A1185,'Order Sales'!$A$2:$G$2154,F$1,FALSE())</f>
        <v>15351</v>
      </c>
      <c r="G1185" s="32" t="str">
        <f aca="false">VLOOKUP($A1185,'Order Sales'!$A$2:$G$2154,G$1,FALSE())</f>
        <v>Home Office</v>
      </c>
    </row>
    <row r="1186" customFormat="false" ht="14.25" hidden="false" customHeight="false" outlineLevel="0" collapsed="false">
      <c r="A1186" s="1" t="n">
        <v>1519</v>
      </c>
      <c r="B1186" s="30" t="n">
        <v>43227</v>
      </c>
      <c r="C1186" s="30" t="n">
        <v>44308</v>
      </c>
      <c r="D1186" s="31" t="n">
        <f aca="false">VLOOKUP(A1186,'Order Shipping'!$A$2:$C$2000,3,FALSE())</f>
        <v>15.5</v>
      </c>
      <c r="E1186" s="32" t="n">
        <f aca="false">VLOOKUP($A1186,'Order Sales'!$A$2:$G$2154,E$1,FALSE())</f>
        <v>46</v>
      </c>
      <c r="F1186" s="32" t="n">
        <f aca="false">VLOOKUP($A1186,'Order Sales'!$A$2:$G$2154,F$1,FALSE())</f>
        <v>3176.47</v>
      </c>
      <c r="G1186" s="32" t="str">
        <f aca="false">VLOOKUP($A1186,'Order Sales'!$A$2:$G$2154,G$1,FALSE())</f>
        <v>Corporate</v>
      </c>
    </row>
    <row r="1187" customFormat="false" ht="14.25" hidden="false" customHeight="false" outlineLevel="0" collapsed="false">
      <c r="A1187" s="1" t="n">
        <v>1365</v>
      </c>
      <c r="B1187" s="30" t="n">
        <v>43376</v>
      </c>
      <c r="C1187" s="30" t="n">
        <v>44309</v>
      </c>
      <c r="D1187" s="31" t="n">
        <f aca="false">VLOOKUP(A1187,'Order Shipping'!$A$2:$C$2000,3,FALSE())</f>
        <v>4.2</v>
      </c>
      <c r="E1187" s="32" t="n">
        <f aca="false">VLOOKUP($A1187,'Order Sales'!$A$2:$G$2154,E$1,FALSE())</f>
        <v>15</v>
      </c>
      <c r="F1187" s="32" t="n">
        <f aca="false">VLOOKUP($A1187,'Order Sales'!$A$2:$G$2154,F$1,FALSE())</f>
        <v>520.48</v>
      </c>
      <c r="G1187" s="32" t="str">
        <f aca="false">VLOOKUP($A1187,'Order Sales'!$A$2:$G$2154,G$1,FALSE())</f>
        <v>Small Business</v>
      </c>
    </row>
    <row r="1188" customFormat="false" ht="14.25" hidden="false" customHeight="false" outlineLevel="0" collapsed="false">
      <c r="A1188" s="1" t="n">
        <v>2203</v>
      </c>
      <c r="B1188" s="30" t="n">
        <v>43458</v>
      </c>
      <c r="C1188" s="30" t="n">
        <v>44310</v>
      </c>
      <c r="D1188" s="31" t="n">
        <f aca="false">VLOOKUP(A1188,'Order Shipping'!$A$2:$C$2000,3,FALSE())</f>
        <v>48.2</v>
      </c>
      <c r="E1188" s="32" t="n">
        <f aca="false">VLOOKUP($A1188,'Order Sales'!$A$2:$G$2154,E$1,FALSE())</f>
        <v>45</v>
      </c>
      <c r="F1188" s="32" t="n">
        <f aca="false">VLOOKUP($A1188,'Order Sales'!$A$2:$G$2154,F$1,FALSE())</f>
        <v>5102.39</v>
      </c>
      <c r="G1188" s="32" t="str">
        <f aca="false">VLOOKUP($A1188,'Order Sales'!$A$2:$G$2154,G$1,FALSE())</f>
        <v>Consumer</v>
      </c>
    </row>
    <row r="1189" customFormat="false" ht="14.25" hidden="false" customHeight="false" outlineLevel="0" collapsed="false">
      <c r="A1189" s="1" t="n">
        <v>2877</v>
      </c>
      <c r="B1189" s="30" t="n">
        <v>43424</v>
      </c>
      <c r="C1189" s="30" t="n">
        <v>44311</v>
      </c>
      <c r="D1189" s="31" t="n">
        <f aca="false">VLOOKUP(A1189,'Order Shipping'!$A$2:$C$2000,3,FALSE())</f>
        <v>3.2</v>
      </c>
      <c r="E1189" s="32" t="n">
        <f aca="false">VLOOKUP($A1189,'Order Sales'!$A$2:$G$2154,E$1,FALSE())</f>
        <v>6</v>
      </c>
      <c r="F1189" s="32" t="n">
        <f aca="false">VLOOKUP($A1189,'Order Sales'!$A$2:$G$2154,F$1,FALSE())</f>
        <v>188.94</v>
      </c>
      <c r="G1189" s="32" t="str">
        <f aca="false">VLOOKUP($A1189,'Order Sales'!$A$2:$G$2154,G$1,FALSE())</f>
        <v>Small Business</v>
      </c>
    </row>
    <row r="1190" customFormat="false" ht="14.25" hidden="false" customHeight="false" outlineLevel="0" collapsed="false">
      <c r="A1190" s="1" t="n">
        <v>1555</v>
      </c>
      <c r="B1190" s="30" t="n">
        <v>43239</v>
      </c>
      <c r="C1190" s="30" t="n">
        <v>44312</v>
      </c>
      <c r="D1190" s="31" t="n">
        <f aca="false">VLOOKUP(A1190,'Order Shipping'!$A$2:$C$2000,3,FALSE())</f>
        <v>2.7</v>
      </c>
      <c r="E1190" s="32" t="n">
        <f aca="false">VLOOKUP($A1190,'Order Sales'!$A$2:$G$2154,E$1,FALSE())</f>
        <v>41</v>
      </c>
      <c r="F1190" s="32" t="n">
        <f aca="false">VLOOKUP($A1190,'Order Sales'!$A$2:$G$2154,F$1,FALSE())</f>
        <v>4933.01</v>
      </c>
      <c r="G1190" s="32" t="str">
        <f aca="false">VLOOKUP($A1190,'Order Sales'!$A$2:$G$2154,G$1,FALSE())</f>
        <v>Home Office</v>
      </c>
    </row>
    <row r="1191" customFormat="false" ht="14.25" hidden="false" customHeight="false" outlineLevel="0" collapsed="false">
      <c r="A1191" s="1" t="n">
        <v>1670</v>
      </c>
      <c r="B1191" s="30" t="n">
        <v>43421</v>
      </c>
      <c r="C1191" s="30" t="n">
        <v>44313</v>
      </c>
      <c r="D1191" s="31" t="n">
        <f aca="false">VLOOKUP(A1191,'Order Shipping'!$A$2:$C$2000,3,FALSE())</f>
        <v>7</v>
      </c>
      <c r="E1191" s="32" t="n">
        <f aca="false">VLOOKUP($A1191,'Order Sales'!$A$2:$G$2154,E$1,FALSE())</f>
        <v>19</v>
      </c>
      <c r="F1191" s="32" t="n">
        <f aca="false">VLOOKUP($A1191,'Order Sales'!$A$2:$G$2154,F$1,FALSE())</f>
        <v>209.68</v>
      </c>
      <c r="G1191" s="32" t="str">
        <f aca="false">VLOOKUP($A1191,'Order Sales'!$A$2:$G$2154,G$1,FALSE())</f>
        <v>Corporate</v>
      </c>
    </row>
    <row r="1192" customFormat="false" ht="14.25" hidden="false" customHeight="false" outlineLevel="0" collapsed="false">
      <c r="A1192" s="1" t="n">
        <v>1741</v>
      </c>
      <c r="B1192" s="30" t="n">
        <v>43443</v>
      </c>
      <c r="C1192" s="30" t="n">
        <v>44314</v>
      </c>
      <c r="D1192" s="31" t="n">
        <f aca="false">VLOOKUP(A1192,'Order Shipping'!$A$2:$C$2000,3,FALSE())</f>
        <v>7</v>
      </c>
      <c r="E1192" s="32" t="n">
        <f aca="false">VLOOKUP($A1192,'Order Sales'!$A$2:$G$2154,E$1,FALSE())</f>
        <v>4</v>
      </c>
      <c r="F1192" s="32" t="n">
        <f aca="false">VLOOKUP($A1192,'Order Sales'!$A$2:$G$2154,F$1,FALSE())</f>
        <v>72.93</v>
      </c>
      <c r="G1192" s="32" t="str">
        <f aca="false">VLOOKUP($A1192,'Order Sales'!$A$2:$G$2154,G$1,FALSE())</f>
        <v>Home Office</v>
      </c>
    </row>
    <row r="1193" customFormat="false" ht="14.25" hidden="false" customHeight="false" outlineLevel="0" collapsed="false">
      <c r="A1193" s="1" t="n">
        <v>1110</v>
      </c>
      <c r="B1193" s="30" t="n">
        <v>43410</v>
      </c>
      <c r="C1193" s="30" t="n">
        <v>44315</v>
      </c>
      <c r="D1193" s="31" t="n">
        <f aca="false">VLOOKUP(A1193,'Order Shipping'!$A$2:$C$2000,3,FALSE())</f>
        <v>21.4</v>
      </c>
      <c r="E1193" s="32" t="n">
        <f aca="false">VLOOKUP($A1193,'Order Sales'!$A$2:$G$2154,E$1,FALSE())</f>
        <v>41</v>
      </c>
      <c r="F1193" s="32" t="n">
        <f aca="false">VLOOKUP($A1193,'Order Sales'!$A$2:$G$2154,F$1,FALSE())</f>
        <v>7309.94</v>
      </c>
      <c r="G1193" s="32" t="str">
        <f aca="false">VLOOKUP($A1193,'Order Sales'!$A$2:$G$2154,G$1,FALSE())</f>
        <v>Consumer</v>
      </c>
    </row>
    <row r="1194" customFormat="false" ht="14.25" hidden="false" customHeight="false" outlineLevel="0" collapsed="false">
      <c r="A1194" s="1" t="n">
        <v>1085</v>
      </c>
      <c r="B1194" s="30" t="n">
        <v>43220</v>
      </c>
      <c r="C1194" s="30" t="n">
        <v>44316</v>
      </c>
      <c r="D1194" s="31" t="n">
        <f aca="false">VLOOKUP(A1194,'Order Shipping'!$A$2:$C$2000,3,FALSE())</f>
        <v>20.3</v>
      </c>
      <c r="E1194" s="32" t="n">
        <f aca="false">VLOOKUP($A1194,'Order Sales'!$A$2:$G$2154,E$1,FALSE())</f>
        <v>31</v>
      </c>
      <c r="F1194" s="32" t="n">
        <f aca="false">VLOOKUP($A1194,'Order Sales'!$A$2:$G$2154,F$1,FALSE())</f>
        <v>1416.78</v>
      </c>
      <c r="G1194" s="32" t="str">
        <f aca="false">VLOOKUP($A1194,'Order Sales'!$A$2:$G$2154,G$1,FALSE())</f>
        <v>Home Office</v>
      </c>
    </row>
    <row r="1195" customFormat="false" ht="14.25" hidden="false" customHeight="false" outlineLevel="0" collapsed="false">
      <c r="A1195" s="1" t="n">
        <v>1349</v>
      </c>
      <c r="B1195" s="30" t="n">
        <v>43425</v>
      </c>
      <c r="C1195" s="30" t="n">
        <v>44317</v>
      </c>
      <c r="D1195" s="31" t="n">
        <f aca="false">VLOOKUP(A1195,'Order Shipping'!$A$2:$C$2000,3,FALSE())</f>
        <v>15.5</v>
      </c>
      <c r="E1195" s="32" t="n">
        <f aca="false">VLOOKUP($A1195,'Order Sales'!$A$2:$G$2154,E$1,FALSE())</f>
        <v>38</v>
      </c>
      <c r="F1195" s="32" t="n">
        <f aca="false">VLOOKUP($A1195,'Order Sales'!$A$2:$G$2154,F$1,FALSE())</f>
        <v>1796.57</v>
      </c>
      <c r="G1195" s="32" t="str">
        <f aca="false">VLOOKUP($A1195,'Order Sales'!$A$2:$G$2154,G$1,FALSE())</f>
        <v>Consumer</v>
      </c>
    </row>
    <row r="1196" customFormat="false" ht="14.25" hidden="false" customHeight="false" outlineLevel="0" collapsed="false">
      <c r="A1196" s="1" t="n">
        <v>2898</v>
      </c>
      <c r="B1196" s="30" t="n">
        <v>43220</v>
      </c>
      <c r="C1196" s="30" t="n">
        <v>44318</v>
      </c>
      <c r="D1196" s="31" t="n">
        <f aca="false">VLOOKUP(A1196,'Order Shipping'!$A$2:$C$2000,3,FALSE())</f>
        <v>7.5</v>
      </c>
      <c r="E1196" s="32" t="n">
        <f aca="false">VLOOKUP($A1196,'Order Sales'!$A$2:$G$2154,E$1,FALSE())</f>
        <v>33</v>
      </c>
      <c r="F1196" s="32" t="n">
        <f aca="false">VLOOKUP($A1196,'Order Sales'!$A$2:$G$2154,F$1,FALSE())</f>
        <v>219.91</v>
      </c>
      <c r="G1196" s="32" t="str">
        <f aca="false">VLOOKUP($A1196,'Order Sales'!$A$2:$G$2154,G$1,FALSE())</f>
        <v>Corporate</v>
      </c>
    </row>
    <row r="1197" customFormat="false" ht="14.25" hidden="false" customHeight="false" outlineLevel="0" collapsed="false">
      <c r="A1197" s="1" t="n">
        <v>2661</v>
      </c>
      <c r="B1197" s="30" t="n">
        <v>43451</v>
      </c>
      <c r="C1197" s="30" t="n">
        <v>44319</v>
      </c>
      <c r="D1197" s="31" t="n">
        <f aca="false">VLOOKUP(A1197,'Order Shipping'!$A$2:$C$2000,3,FALSE())</f>
        <v>2.1</v>
      </c>
      <c r="E1197" s="32" t="n">
        <f aca="false">VLOOKUP($A1197,'Order Sales'!$A$2:$G$2154,E$1,FALSE())</f>
        <v>16</v>
      </c>
      <c r="F1197" s="32" t="n">
        <f aca="false">VLOOKUP($A1197,'Order Sales'!$A$2:$G$2154,F$1,FALSE())</f>
        <v>64.22</v>
      </c>
      <c r="G1197" s="32" t="str">
        <f aca="false">VLOOKUP($A1197,'Order Sales'!$A$2:$G$2154,G$1,FALSE())</f>
        <v>Corporate</v>
      </c>
    </row>
    <row r="1198" customFormat="false" ht="14.25" hidden="false" customHeight="false" outlineLevel="0" collapsed="false">
      <c r="A1198" s="1" t="n">
        <v>1321</v>
      </c>
      <c r="B1198" s="30" t="n">
        <v>43192</v>
      </c>
      <c r="C1198" s="30" t="n">
        <v>44320</v>
      </c>
      <c r="D1198" s="31" t="n">
        <f aca="false">VLOOKUP(A1198,'Order Shipping'!$A$2:$C$2000,3,FALSE())</f>
        <v>4.3</v>
      </c>
      <c r="E1198" s="32" t="n">
        <f aca="false">VLOOKUP($A1198,'Order Sales'!$A$2:$G$2154,E$1,FALSE())</f>
        <v>21</v>
      </c>
      <c r="F1198" s="32" t="n">
        <f aca="false">VLOOKUP($A1198,'Order Sales'!$A$2:$G$2154,F$1,FALSE())</f>
        <v>1259.24</v>
      </c>
      <c r="G1198" s="32" t="str">
        <f aca="false">VLOOKUP($A1198,'Order Sales'!$A$2:$G$2154,G$1,FALSE())</f>
        <v>Consumer</v>
      </c>
    </row>
    <row r="1199" customFormat="false" ht="14.25" hidden="false" customHeight="false" outlineLevel="0" collapsed="false">
      <c r="A1199" s="1" t="n">
        <v>1186</v>
      </c>
      <c r="B1199" s="30" t="n">
        <v>43222</v>
      </c>
      <c r="C1199" s="30" t="n">
        <v>44321</v>
      </c>
      <c r="D1199" s="31" t="n">
        <f aca="false">VLOOKUP(A1199,'Order Shipping'!$A$2:$C$2000,3,FALSE())</f>
        <v>3.2</v>
      </c>
      <c r="E1199" s="32" t="n">
        <f aca="false">VLOOKUP($A1199,'Order Sales'!$A$2:$G$2154,E$1,FALSE())</f>
        <v>40</v>
      </c>
      <c r="F1199" s="32" t="n">
        <f aca="false">VLOOKUP($A1199,'Order Sales'!$A$2:$G$2154,F$1,FALSE())</f>
        <v>664.6</v>
      </c>
      <c r="G1199" s="32" t="str">
        <f aca="false">VLOOKUP($A1199,'Order Sales'!$A$2:$G$2154,G$1,FALSE())</f>
        <v>Consumer</v>
      </c>
    </row>
    <row r="1200" customFormat="false" ht="14.25" hidden="false" customHeight="false" outlineLevel="0" collapsed="false">
      <c r="A1200" s="1" t="n">
        <v>1947</v>
      </c>
      <c r="B1200" s="30" t="n">
        <v>43117</v>
      </c>
      <c r="C1200" s="30" t="n">
        <v>44322</v>
      </c>
      <c r="D1200" s="31" t="n">
        <f aca="false">VLOOKUP(A1200,'Order Shipping'!$A$2:$C$2000,3,FALSE())</f>
        <v>21.4</v>
      </c>
      <c r="E1200" s="32" t="n">
        <f aca="false">VLOOKUP($A1200,'Order Sales'!$A$2:$G$2154,E$1,FALSE())</f>
        <v>27</v>
      </c>
      <c r="F1200" s="32" t="n">
        <f aca="false">VLOOKUP($A1200,'Order Sales'!$A$2:$G$2154,F$1,FALSE())</f>
        <v>1703.48</v>
      </c>
      <c r="G1200" s="32" t="str">
        <f aca="false">VLOOKUP($A1200,'Order Sales'!$A$2:$G$2154,G$1,FALSE())</f>
        <v>Corporate</v>
      </c>
    </row>
    <row r="1201" customFormat="false" ht="14.25" hidden="false" customHeight="false" outlineLevel="0" collapsed="false">
      <c r="A1201" s="1" t="n">
        <v>2744</v>
      </c>
      <c r="B1201" s="30" t="n">
        <v>43130</v>
      </c>
      <c r="C1201" s="30" t="n">
        <v>44323</v>
      </c>
      <c r="D1201" s="31" t="n">
        <f aca="false">VLOOKUP(A1201,'Order Shipping'!$A$2:$C$2000,3,FALSE())</f>
        <v>5.7</v>
      </c>
      <c r="E1201" s="32" t="n">
        <f aca="false">VLOOKUP($A1201,'Order Sales'!$A$2:$G$2154,E$1,FALSE())</f>
        <v>21</v>
      </c>
      <c r="F1201" s="32" t="n">
        <f aca="false">VLOOKUP($A1201,'Order Sales'!$A$2:$G$2154,F$1,FALSE())</f>
        <v>907.57</v>
      </c>
      <c r="G1201" s="32" t="str">
        <f aca="false">VLOOKUP($A1201,'Order Sales'!$A$2:$G$2154,G$1,FALSE())</f>
        <v>Corporate</v>
      </c>
    </row>
    <row r="1202" customFormat="false" ht="14.25" hidden="false" customHeight="false" outlineLevel="0" collapsed="false">
      <c r="A1202" s="1" t="n">
        <v>1241</v>
      </c>
      <c r="B1202" s="30" t="n">
        <v>43157</v>
      </c>
      <c r="C1202" s="30" t="n">
        <v>44324</v>
      </c>
      <c r="D1202" s="31" t="n">
        <f aca="false">VLOOKUP(A1202,'Order Shipping'!$A$2:$C$2000,3,FALSE())</f>
        <v>2.7</v>
      </c>
      <c r="E1202" s="32" t="n">
        <f aca="false">VLOOKUP($A1202,'Order Sales'!$A$2:$G$2154,E$1,FALSE())</f>
        <v>19</v>
      </c>
      <c r="F1202" s="32" t="n">
        <f aca="false">VLOOKUP($A1202,'Order Sales'!$A$2:$G$2154,F$1,FALSE())</f>
        <v>2078.13</v>
      </c>
      <c r="G1202" s="32" t="str">
        <f aca="false">VLOOKUP($A1202,'Order Sales'!$A$2:$G$2154,G$1,FALSE())</f>
        <v>Small Business</v>
      </c>
    </row>
    <row r="1203" customFormat="false" ht="14.25" hidden="false" customHeight="false" outlineLevel="0" collapsed="false">
      <c r="A1203" s="1" t="n">
        <v>1146</v>
      </c>
      <c r="B1203" s="30" t="n">
        <v>43394</v>
      </c>
      <c r="C1203" s="30" t="n">
        <v>44325</v>
      </c>
      <c r="D1203" s="31" t="n">
        <f aca="false">VLOOKUP(A1203,'Order Shipping'!$A$2:$C$2000,3,FALSE())</f>
        <v>42</v>
      </c>
      <c r="E1203" s="32" t="n">
        <f aca="false">VLOOKUP($A1203,'Order Sales'!$A$2:$G$2154,E$1,FALSE())</f>
        <v>4</v>
      </c>
      <c r="F1203" s="32" t="n">
        <f aca="false">VLOOKUP($A1203,'Order Sales'!$A$2:$G$2154,F$1,FALSE())</f>
        <v>685.02</v>
      </c>
      <c r="G1203" s="32" t="str">
        <f aca="false">VLOOKUP($A1203,'Order Sales'!$A$2:$G$2154,G$1,FALSE())</f>
        <v>Corporate</v>
      </c>
    </row>
    <row r="1204" customFormat="false" ht="14.25" hidden="false" customHeight="false" outlineLevel="0" collapsed="false">
      <c r="A1204" s="1" t="n">
        <v>1611</v>
      </c>
      <c r="B1204" s="30" t="n">
        <v>43274</v>
      </c>
      <c r="C1204" s="30" t="n">
        <v>44326</v>
      </c>
      <c r="D1204" s="31" t="n">
        <f aca="false">VLOOKUP(A1204,'Order Shipping'!$A$2:$C$2000,3,FALSE())</f>
        <v>26.2</v>
      </c>
      <c r="E1204" s="32" t="n">
        <f aca="false">VLOOKUP($A1204,'Order Sales'!$A$2:$G$2154,E$1,FALSE())</f>
        <v>29</v>
      </c>
      <c r="F1204" s="32" t="n">
        <f aca="false">VLOOKUP($A1204,'Order Sales'!$A$2:$G$2154,F$1,FALSE())</f>
        <v>14521.72</v>
      </c>
      <c r="G1204" s="32" t="str">
        <f aca="false">VLOOKUP($A1204,'Order Sales'!$A$2:$G$2154,G$1,FALSE())</f>
        <v>Home Office</v>
      </c>
    </row>
    <row r="1205" customFormat="false" ht="14.25" hidden="false" customHeight="false" outlineLevel="0" collapsed="false">
      <c r="A1205" s="1" t="n">
        <v>2683</v>
      </c>
      <c r="B1205" s="30" t="n">
        <v>43335</v>
      </c>
      <c r="C1205" s="30" t="n">
        <v>44327</v>
      </c>
      <c r="D1205" s="31" t="n">
        <f aca="false">VLOOKUP(A1205,'Order Shipping'!$A$2:$C$2000,3,FALSE())</f>
        <v>8</v>
      </c>
      <c r="E1205" s="32" t="n">
        <f aca="false">VLOOKUP($A1205,'Order Sales'!$A$2:$G$2154,E$1,FALSE())</f>
        <v>44</v>
      </c>
      <c r="F1205" s="32" t="n">
        <f aca="false">VLOOKUP($A1205,'Order Sales'!$A$2:$G$2154,F$1,FALSE())</f>
        <v>179.28</v>
      </c>
      <c r="G1205" s="32" t="str">
        <f aca="false">VLOOKUP($A1205,'Order Sales'!$A$2:$G$2154,G$1,FALSE())</f>
        <v>Consumer</v>
      </c>
    </row>
    <row r="1206" customFormat="false" ht="14.25" hidden="false" customHeight="false" outlineLevel="0" collapsed="false">
      <c r="A1206" s="1" t="n">
        <v>1125</v>
      </c>
      <c r="B1206" s="30" t="n">
        <v>43106</v>
      </c>
      <c r="C1206" s="30" t="n">
        <v>44328</v>
      </c>
      <c r="D1206" s="31" t="n">
        <f aca="false">VLOOKUP(A1206,'Order Shipping'!$A$2:$C$2000,3,FALSE())</f>
        <v>75.1</v>
      </c>
      <c r="E1206" s="32" t="n">
        <f aca="false">VLOOKUP($A1206,'Order Sales'!$A$2:$G$2154,E$1,FALSE())</f>
        <v>39</v>
      </c>
      <c r="F1206" s="32" t="n">
        <f aca="false">VLOOKUP($A1206,'Order Sales'!$A$2:$G$2154,F$1,FALSE())</f>
        <v>4996.03</v>
      </c>
      <c r="G1206" s="32" t="str">
        <f aca="false">VLOOKUP($A1206,'Order Sales'!$A$2:$G$2154,G$1,FALSE())</f>
        <v>Home Office</v>
      </c>
    </row>
    <row r="1207" customFormat="false" ht="14.25" hidden="false" customHeight="false" outlineLevel="0" collapsed="false">
      <c r="A1207" s="1" t="n">
        <v>2727</v>
      </c>
      <c r="B1207" s="30" t="n">
        <v>43283</v>
      </c>
      <c r="C1207" s="30" t="n">
        <v>44329</v>
      </c>
      <c r="D1207" s="31" t="n">
        <f aca="false">VLOOKUP(A1207,'Order Shipping'!$A$2:$C$2000,3,FALSE())</f>
        <v>0.8</v>
      </c>
      <c r="E1207" s="32" t="n">
        <f aca="false">VLOOKUP($A1207,'Order Sales'!$A$2:$G$2154,E$1,FALSE())</f>
        <v>5</v>
      </c>
      <c r="F1207" s="32" t="n">
        <f aca="false">VLOOKUP($A1207,'Order Sales'!$A$2:$G$2154,F$1,FALSE())</f>
        <v>16.69</v>
      </c>
      <c r="G1207" s="32" t="str">
        <f aca="false">VLOOKUP($A1207,'Order Sales'!$A$2:$G$2154,G$1,FALSE())</f>
        <v>Corporate</v>
      </c>
    </row>
    <row r="1208" customFormat="false" ht="14.25" hidden="false" customHeight="false" outlineLevel="0" collapsed="false">
      <c r="A1208" s="1" t="n">
        <v>2749</v>
      </c>
      <c r="B1208" s="30" t="n">
        <v>43165</v>
      </c>
      <c r="C1208" s="30" t="n">
        <v>44330</v>
      </c>
      <c r="D1208" s="31" t="n">
        <f aca="false">VLOOKUP(A1208,'Order Shipping'!$A$2:$C$2000,3,FALSE())</f>
        <v>73.8</v>
      </c>
      <c r="E1208" s="32" t="n">
        <f aca="false">VLOOKUP($A1208,'Order Sales'!$A$2:$G$2154,E$1,FALSE())</f>
        <v>8</v>
      </c>
      <c r="F1208" s="32" t="n">
        <f aca="false">VLOOKUP($A1208,'Order Sales'!$A$2:$G$2154,F$1,FALSE())</f>
        <v>1489.24</v>
      </c>
      <c r="G1208" s="32" t="str">
        <f aca="false">VLOOKUP($A1208,'Order Sales'!$A$2:$G$2154,G$1,FALSE())</f>
        <v>Consumer</v>
      </c>
    </row>
    <row r="1209" customFormat="false" ht="14.25" hidden="false" customHeight="false" outlineLevel="0" collapsed="false">
      <c r="A1209" s="1" t="n">
        <v>2567</v>
      </c>
      <c r="B1209" s="30" t="n">
        <v>43205</v>
      </c>
      <c r="C1209" s="30" t="n">
        <v>44331</v>
      </c>
      <c r="D1209" s="31" t="n">
        <f aca="false">VLOOKUP(A1209,'Order Shipping'!$A$2:$C$2000,3,FALSE())</f>
        <v>0.5</v>
      </c>
      <c r="E1209" s="32" t="n">
        <f aca="false">VLOOKUP($A1209,'Order Sales'!$A$2:$G$2154,E$1,FALSE())</f>
        <v>6</v>
      </c>
      <c r="F1209" s="32" t="n">
        <f aca="false">VLOOKUP($A1209,'Order Sales'!$A$2:$G$2154,F$1,FALSE())</f>
        <v>22.54</v>
      </c>
      <c r="G1209" s="32" t="str">
        <f aca="false">VLOOKUP($A1209,'Order Sales'!$A$2:$G$2154,G$1,FALSE())</f>
        <v>Corporate</v>
      </c>
    </row>
    <row r="1210" customFormat="false" ht="14.25" hidden="false" customHeight="false" outlineLevel="0" collapsed="false">
      <c r="A1210" s="1" t="n">
        <v>2966</v>
      </c>
      <c r="B1210" s="30" t="n">
        <v>43463</v>
      </c>
      <c r="C1210" s="30" t="n">
        <v>44332</v>
      </c>
      <c r="D1210" s="31" t="n">
        <f aca="false">VLOOKUP(A1210,'Order Shipping'!$A$2:$C$2000,3,FALSE())</f>
        <v>27.8</v>
      </c>
      <c r="E1210" s="32" t="n">
        <f aca="false">VLOOKUP($A1210,'Order Sales'!$A$2:$G$2154,E$1,FALSE())</f>
        <v>21</v>
      </c>
      <c r="F1210" s="32" t="n">
        <f aca="false">VLOOKUP($A1210,'Order Sales'!$A$2:$G$2154,F$1,FALSE())</f>
        <v>11201.86</v>
      </c>
      <c r="G1210" s="32" t="str">
        <f aca="false">VLOOKUP($A1210,'Order Sales'!$A$2:$G$2154,G$1,FALSE())</f>
        <v>Small Business</v>
      </c>
    </row>
    <row r="1211" customFormat="false" ht="14.25" hidden="false" customHeight="false" outlineLevel="0" collapsed="false">
      <c r="A1211" s="1" t="n">
        <v>1277</v>
      </c>
      <c r="B1211" s="30" t="n">
        <v>43130</v>
      </c>
      <c r="C1211" s="30" t="n">
        <v>44333</v>
      </c>
      <c r="D1211" s="31" t="n">
        <f aca="false">VLOOKUP(A1211,'Order Shipping'!$A$2:$C$2000,3,FALSE())</f>
        <v>26.2</v>
      </c>
      <c r="E1211" s="32" t="n">
        <f aca="false">VLOOKUP($A1211,'Order Sales'!$A$2:$G$2154,E$1,FALSE())</f>
        <v>15</v>
      </c>
      <c r="F1211" s="32" t="n">
        <f aca="false">VLOOKUP($A1211,'Order Sales'!$A$2:$G$2154,F$1,FALSE())</f>
        <v>1996.75</v>
      </c>
      <c r="G1211" s="32" t="str">
        <f aca="false">VLOOKUP($A1211,'Order Sales'!$A$2:$G$2154,G$1,FALSE())</f>
        <v>Small Business</v>
      </c>
    </row>
    <row r="1212" customFormat="false" ht="14.25" hidden="false" customHeight="false" outlineLevel="0" collapsed="false">
      <c r="A1212" s="1" t="n">
        <v>1374</v>
      </c>
      <c r="B1212" s="30" t="n">
        <v>43390</v>
      </c>
      <c r="C1212" s="30" t="n">
        <v>44334</v>
      </c>
      <c r="D1212" s="31" t="n">
        <f aca="false">VLOOKUP(A1212,'Order Shipping'!$A$2:$C$2000,3,FALSE())</f>
        <v>4.2</v>
      </c>
      <c r="E1212" s="32" t="n">
        <f aca="false">VLOOKUP($A1212,'Order Sales'!$A$2:$G$2154,E$1,FALSE())</f>
        <v>46</v>
      </c>
      <c r="F1212" s="32" t="n">
        <f aca="false">VLOOKUP($A1212,'Order Sales'!$A$2:$G$2154,F$1,FALSE())</f>
        <v>168.92</v>
      </c>
      <c r="G1212" s="32" t="str">
        <f aca="false">VLOOKUP($A1212,'Order Sales'!$A$2:$G$2154,G$1,FALSE())</f>
        <v>Corporate</v>
      </c>
    </row>
    <row r="1213" customFormat="false" ht="14.25" hidden="false" customHeight="false" outlineLevel="0" collapsed="false">
      <c r="A1213" s="1" t="n">
        <v>1493</v>
      </c>
      <c r="B1213" s="30" t="n">
        <v>43175</v>
      </c>
      <c r="C1213" s="30" t="n">
        <v>44335</v>
      </c>
      <c r="D1213" s="31" t="n">
        <f aca="false">VLOOKUP(A1213,'Order Shipping'!$A$2:$C$2000,3,FALSE())</f>
        <v>9.8</v>
      </c>
      <c r="E1213" s="32" t="n">
        <f aca="false">VLOOKUP($A1213,'Order Sales'!$A$2:$G$2154,E$1,FALSE())</f>
        <v>42</v>
      </c>
      <c r="F1213" s="32" t="n">
        <f aca="false">VLOOKUP($A1213,'Order Sales'!$A$2:$G$2154,F$1,FALSE())</f>
        <v>1876.26</v>
      </c>
      <c r="G1213" s="32" t="str">
        <f aca="false">VLOOKUP($A1213,'Order Sales'!$A$2:$G$2154,G$1,FALSE())</f>
        <v>Corporate</v>
      </c>
    </row>
    <row r="1214" customFormat="false" ht="14.25" hidden="false" customHeight="false" outlineLevel="0" collapsed="false">
      <c r="A1214" s="1" t="n">
        <v>2558</v>
      </c>
      <c r="B1214" s="30" t="n">
        <v>43358</v>
      </c>
      <c r="C1214" s="30" t="n">
        <v>44336</v>
      </c>
      <c r="D1214" s="31" t="n">
        <f aca="false">VLOOKUP(A1214,'Order Shipping'!$A$2:$C$2000,3,FALSE())</f>
        <v>8</v>
      </c>
      <c r="E1214" s="32" t="n">
        <f aca="false">VLOOKUP($A1214,'Order Sales'!$A$2:$G$2154,E$1,FALSE())</f>
        <v>42</v>
      </c>
      <c r="F1214" s="32" t="n">
        <f aca="false">VLOOKUP($A1214,'Order Sales'!$A$2:$G$2154,F$1,FALSE())</f>
        <v>687.05</v>
      </c>
      <c r="G1214" s="32" t="str">
        <f aca="false">VLOOKUP($A1214,'Order Sales'!$A$2:$G$2154,G$1,FALSE())</f>
        <v>Corporate</v>
      </c>
    </row>
    <row r="1215" customFormat="false" ht="14.25" hidden="false" customHeight="false" outlineLevel="0" collapsed="false">
      <c r="A1215" s="1" t="n">
        <v>1446</v>
      </c>
      <c r="B1215" s="30" t="n">
        <v>43199</v>
      </c>
      <c r="C1215" s="30" t="n">
        <v>44337</v>
      </c>
      <c r="D1215" s="31" t="n">
        <f aca="false">VLOOKUP(A1215,'Order Shipping'!$A$2:$C$2000,3,FALSE())</f>
        <v>7.7</v>
      </c>
      <c r="E1215" s="32" t="n">
        <f aca="false">VLOOKUP($A1215,'Order Sales'!$A$2:$G$2154,E$1,FALSE())</f>
        <v>13</v>
      </c>
      <c r="F1215" s="32" t="n">
        <f aca="false">VLOOKUP($A1215,'Order Sales'!$A$2:$G$2154,F$1,FALSE())</f>
        <v>602.6</v>
      </c>
      <c r="G1215" s="32" t="str">
        <f aca="false">VLOOKUP($A1215,'Order Sales'!$A$2:$G$2154,G$1,FALSE())</f>
        <v>Corporate</v>
      </c>
    </row>
    <row r="1216" customFormat="false" ht="14.25" hidden="false" customHeight="false" outlineLevel="0" collapsed="false">
      <c r="A1216" s="1" t="n">
        <v>2495</v>
      </c>
      <c r="B1216" s="30" t="n">
        <v>43332</v>
      </c>
      <c r="C1216" s="30" t="n">
        <v>44338</v>
      </c>
      <c r="D1216" s="31" t="n">
        <f aca="false">VLOOKUP(A1216,'Order Shipping'!$A$2:$C$2000,3,FALSE())</f>
        <v>5.4</v>
      </c>
      <c r="E1216" s="32" t="n">
        <f aca="false">VLOOKUP($A1216,'Order Sales'!$A$2:$G$2154,E$1,FALSE())</f>
        <v>26</v>
      </c>
      <c r="F1216" s="32" t="n">
        <f aca="false">VLOOKUP($A1216,'Order Sales'!$A$2:$G$2154,F$1,FALSE())</f>
        <v>175.59</v>
      </c>
      <c r="G1216" s="32" t="str">
        <f aca="false">VLOOKUP($A1216,'Order Sales'!$A$2:$G$2154,G$1,FALSE())</f>
        <v>Small Business</v>
      </c>
    </row>
    <row r="1217" customFormat="false" ht="14.25" hidden="false" customHeight="false" outlineLevel="0" collapsed="false">
      <c r="A1217" s="1" t="n">
        <v>1011</v>
      </c>
      <c r="B1217" s="30" t="n">
        <v>43405</v>
      </c>
      <c r="C1217" s="30" t="n">
        <v>44339</v>
      </c>
      <c r="D1217" s="31" t="n">
        <f aca="false">VLOOKUP(A1217,'Order Shipping'!$A$2:$C$2000,3,FALSE())</f>
        <v>4.5</v>
      </c>
      <c r="E1217" s="32" t="n">
        <f aca="false">VLOOKUP($A1217,'Order Sales'!$A$2:$G$2154,E$1,FALSE())</f>
        <v>46</v>
      </c>
      <c r="F1217" s="32" t="n">
        <f aca="false">VLOOKUP($A1217,'Order Sales'!$A$2:$G$2154,F$1,FALSE())</f>
        <v>2658.68</v>
      </c>
      <c r="G1217" s="32" t="str">
        <f aca="false">VLOOKUP($A1217,'Order Sales'!$A$2:$G$2154,G$1,FALSE())</f>
        <v>Home Office</v>
      </c>
    </row>
    <row r="1218" customFormat="false" ht="14.25" hidden="false" customHeight="false" outlineLevel="0" collapsed="false">
      <c r="A1218" s="1" t="n">
        <v>1261</v>
      </c>
      <c r="B1218" s="30" t="n">
        <v>43228</v>
      </c>
      <c r="C1218" s="30" t="n">
        <v>44340</v>
      </c>
      <c r="D1218" s="31" t="n">
        <f aca="false">VLOOKUP(A1218,'Order Shipping'!$A$2:$C$2000,3,FALSE())</f>
        <v>11</v>
      </c>
      <c r="E1218" s="32" t="n">
        <f aca="false">VLOOKUP($A1218,'Order Sales'!$A$2:$G$2154,E$1,FALSE())</f>
        <v>22</v>
      </c>
      <c r="F1218" s="32" t="n">
        <f aca="false">VLOOKUP($A1218,'Order Sales'!$A$2:$G$2154,F$1,FALSE())</f>
        <v>1431.46</v>
      </c>
      <c r="G1218" s="32" t="str">
        <f aca="false">VLOOKUP($A1218,'Order Sales'!$A$2:$G$2154,G$1,FALSE())</f>
        <v>Corporate</v>
      </c>
    </row>
    <row r="1219" customFormat="false" ht="14.25" hidden="false" customHeight="false" outlineLevel="0" collapsed="false">
      <c r="A1219" s="1" t="n">
        <v>2476</v>
      </c>
      <c r="B1219" s="30" t="n">
        <v>43222</v>
      </c>
      <c r="C1219" s="30" t="n">
        <v>44341</v>
      </c>
      <c r="D1219" s="31" t="n">
        <f aca="false">VLOOKUP(A1219,'Order Shipping'!$A$2:$C$2000,3,FALSE())</f>
        <v>9</v>
      </c>
      <c r="E1219" s="32" t="n">
        <f aca="false">VLOOKUP($A1219,'Order Sales'!$A$2:$G$2154,E$1,FALSE())</f>
        <v>16</v>
      </c>
      <c r="F1219" s="32" t="n">
        <f aca="false">VLOOKUP($A1219,'Order Sales'!$A$2:$G$2154,F$1,FALSE())</f>
        <v>120.81</v>
      </c>
      <c r="G1219" s="32" t="str">
        <f aca="false">VLOOKUP($A1219,'Order Sales'!$A$2:$G$2154,G$1,FALSE())</f>
        <v>Consumer</v>
      </c>
    </row>
    <row r="1220" customFormat="false" ht="14.25" hidden="false" customHeight="false" outlineLevel="0" collapsed="false">
      <c r="A1220" s="1" t="n">
        <v>1472</v>
      </c>
      <c r="B1220" s="30" t="n">
        <v>43274</v>
      </c>
      <c r="C1220" s="30" t="n">
        <v>44342</v>
      </c>
      <c r="D1220" s="31" t="n">
        <f aca="false">VLOOKUP(A1220,'Order Shipping'!$A$2:$C$2000,3,FALSE())</f>
        <v>6.2</v>
      </c>
      <c r="E1220" s="32" t="n">
        <f aca="false">VLOOKUP($A1220,'Order Sales'!$A$2:$G$2154,E$1,FALSE())</f>
        <v>44</v>
      </c>
      <c r="F1220" s="32" t="n">
        <f aca="false">VLOOKUP($A1220,'Order Sales'!$A$2:$G$2154,F$1,FALSE())</f>
        <v>898.48</v>
      </c>
      <c r="G1220" s="32" t="str">
        <f aca="false">VLOOKUP($A1220,'Order Sales'!$A$2:$G$2154,G$1,FALSE())</f>
        <v>Consumer</v>
      </c>
    </row>
    <row r="1221" customFormat="false" ht="14.25" hidden="false" customHeight="false" outlineLevel="0" collapsed="false">
      <c r="A1221" s="1" t="n">
        <v>2866</v>
      </c>
      <c r="B1221" s="30" t="n">
        <v>43372</v>
      </c>
      <c r="C1221" s="30" t="n">
        <v>44343</v>
      </c>
      <c r="D1221" s="31" t="n">
        <f aca="false">VLOOKUP(A1221,'Order Shipping'!$A$2:$C$2000,3,FALSE())</f>
        <v>8.6</v>
      </c>
      <c r="E1221" s="32" t="n">
        <f aca="false">VLOOKUP($A1221,'Order Sales'!$A$2:$G$2154,E$1,FALSE())</f>
        <v>16</v>
      </c>
      <c r="F1221" s="32" t="n">
        <f aca="false">VLOOKUP($A1221,'Order Sales'!$A$2:$G$2154,F$1,FALSE())</f>
        <v>1807.38</v>
      </c>
      <c r="G1221" s="32" t="str">
        <f aca="false">VLOOKUP($A1221,'Order Sales'!$A$2:$G$2154,G$1,FALSE())</f>
        <v>Small Business</v>
      </c>
    </row>
    <row r="1222" customFormat="false" ht="14.25" hidden="false" customHeight="false" outlineLevel="0" collapsed="false">
      <c r="A1222" s="1" t="n">
        <v>2466</v>
      </c>
      <c r="B1222" s="30" t="n">
        <v>43442</v>
      </c>
      <c r="C1222" s="30" t="n">
        <v>44344</v>
      </c>
      <c r="D1222" s="31" t="n">
        <f aca="false">VLOOKUP(A1222,'Order Shipping'!$A$2:$C$2000,3,FALSE())</f>
        <v>8.4</v>
      </c>
      <c r="E1222" s="32" t="n">
        <f aca="false">VLOOKUP($A1222,'Order Sales'!$A$2:$G$2154,E$1,FALSE())</f>
        <v>50</v>
      </c>
      <c r="F1222" s="32" t="n">
        <f aca="false">VLOOKUP($A1222,'Order Sales'!$A$2:$G$2154,F$1,FALSE())</f>
        <v>353.39</v>
      </c>
      <c r="G1222" s="32" t="str">
        <f aca="false">VLOOKUP($A1222,'Order Sales'!$A$2:$G$2154,G$1,FALSE())</f>
        <v>Home Office</v>
      </c>
    </row>
    <row r="1223" customFormat="false" ht="14.25" hidden="false" customHeight="false" outlineLevel="0" collapsed="false">
      <c r="A1223" s="1" t="n">
        <v>1705</v>
      </c>
      <c r="B1223" s="30" t="n">
        <v>43132</v>
      </c>
      <c r="C1223" s="30" t="n">
        <v>44345</v>
      </c>
      <c r="D1223" s="31" t="n">
        <f aca="false">VLOOKUP(A1223,'Order Shipping'!$A$2:$C$2000,3,FALSE())</f>
        <v>10.4</v>
      </c>
      <c r="E1223" s="32" t="n">
        <f aca="false">VLOOKUP($A1223,'Order Sales'!$A$2:$G$2154,E$1,FALSE())</f>
        <v>23</v>
      </c>
      <c r="F1223" s="32" t="n">
        <f aca="false">VLOOKUP($A1223,'Order Sales'!$A$2:$G$2154,F$1,FALSE())</f>
        <v>170.12</v>
      </c>
      <c r="G1223" s="32" t="str">
        <f aca="false">VLOOKUP($A1223,'Order Sales'!$A$2:$G$2154,G$1,FALSE())</f>
        <v>Home Office</v>
      </c>
    </row>
    <row r="1224" customFormat="false" ht="14.25" hidden="false" customHeight="false" outlineLevel="0" collapsed="false">
      <c r="A1224" s="1" t="n">
        <v>1191</v>
      </c>
      <c r="B1224" s="30" t="n">
        <v>43357</v>
      </c>
      <c r="C1224" s="30" t="n">
        <v>44346</v>
      </c>
      <c r="D1224" s="31" t="n">
        <f aca="false">VLOOKUP(A1224,'Order Shipping'!$A$2:$C$2000,3,FALSE())</f>
        <v>64.2</v>
      </c>
      <c r="E1224" s="32" t="n">
        <f aca="false">VLOOKUP($A1224,'Order Sales'!$A$2:$G$2154,E$1,FALSE())</f>
        <v>21</v>
      </c>
      <c r="F1224" s="32" t="n">
        <f aca="false">VLOOKUP($A1224,'Order Sales'!$A$2:$G$2154,F$1,FALSE())</f>
        <v>2813.74</v>
      </c>
      <c r="G1224" s="32" t="str">
        <f aca="false">VLOOKUP($A1224,'Order Sales'!$A$2:$G$2154,G$1,FALSE())</f>
        <v>Small Business</v>
      </c>
    </row>
    <row r="1225" customFormat="false" ht="14.25" hidden="false" customHeight="false" outlineLevel="0" collapsed="false">
      <c r="A1225" s="1" t="n">
        <v>2331</v>
      </c>
      <c r="B1225" s="30" t="n">
        <v>43133</v>
      </c>
      <c r="C1225" s="30" t="n">
        <v>44347</v>
      </c>
      <c r="D1225" s="31" t="n">
        <f aca="false">VLOOKUP(A1225,'Order Shipping'!$A$2:$C$2000,3,FALSE())</f>
        <v>3.7</v>
      </c>
      <c r="E1225" s="32" t="n">
        <f aca="false">VLOOKUP($A1225,'Order Sales'!$A$2:$G$2154,E$1,FALSE())</f>
        <v>46</v>
      </c>
      <c r="F1225" s="32" t="n">
        <f aca="false">VLOOKUP($A1225,'Order Sales'!$A$2:$G$2154,F$1,FALSE())</f>
        <v>441.24</v>
      </c>
      <c r="G1225" s="32" t="str">
        <f aca="false">VLOOKUP($A1225,'Order Sales'!$A$2:$G$2154,G$1,FALSE())</f>
        <v>Corporate</v>
      </c>
    </row>
    <row r="1226" customFormat="false" ht="14.25" hidden="false" customHeight="false" outlineLevel="0" collapsed="false">
      <c r="A1226" s="1" t="n">
        <v>2191</v>
      </c>
      <c r="B1226" s="30" t="n">
        <v>43316</v>
      </c>
      <c r="C1226" s="30" t="n">
        <v>44348</v>
      </c>
      <c r="D1226" s="31" t="n">
        <f aca="false">VLOOKUP(A1226,'Order Shipping'!$A$2:$C$2000,3,FALSE())</f>
        <v>44.6</v>
      </c>
      <c r="E1226" s="32" t="n">
        <f aca="false">VLOOKUP($A1226,'Order Sales'!$A$2:$G$2154,E$1,FALSE())</f>
        <v>13</v>
      </c>
      <c r="F1226" s="32" t="n">
        <f aca="false">VLOOKUP($A1226,'Order Sales'!$A$2:$G$2154,F$1,FALSE())</f>
        <v>1423.88</v>
      </c>
      <c r="G1226" s="32" t="str">
        <f aca="false">VLOOKUP($A1226,'Order Sales'!$A$2:$G$2154,G$1,FALSE())</f>
        <v>Corporate</v>
      </c>
    </row>
    <row r="1227" customFormat="false" ht="14.25" hidden="false" customHeight="false" outlineLevel="0" collapsed="false">
      <c r="A1227" s="1" t="n">
        <v>2976</v>
      </c>
      <c r="B1227" s="30" t="n">
        <v>43300</v>
      </c>
      <c r="C1227" s="30" t="n">
        <v>44349</v>
      </c>
      <c r="D1227" s="31" t="n">
        <f aca="false">VLOOKUP(A1227,'Order Shipping'!$A$2:$C$2000,3,FALSE())</f>
        <v>1.1</v>
      </c>
      <c r="E1227" s="32" t="n">
        <f aca="false">VLOOKUP($A1227,'Order Sales'!$A$2:$G$2154,E$1,FALSE())</f>
        <v>6</v>
      </c>
      <c r="F1227" s="32" t="n">
        <f aca="false">VLOOKUP($A1227,'Order Sales'!$A$2:$G$2154,F$1,FALSE())</f>
        <v>21.6</v>
      </c>
      <c r="G1227" s="32" t="str">
        <f aca="false">VLOOKUP($A1227,'Order Sales'!$A$2:$G$2154,G$1,FALSE())</f>
        <v>Small Business</v>
      </c>
    </row>
    <row r="1228" customFormat="false" ht="14.25" hidden="false" customHeight="false" outlineLevel="0" collapsed="false">
      <c r="A1228" s="1" t="n">
        <v>1287</v>
      </c>
      <c r="B1228" s="30" t="n">
        <v>43236</v>
      </c>
      <c r="C1228" s="30" t="n">
        <v>44350</v>
      </c>
      <c r="D1228" s="31" t="n">
        <f aca="false">VLOOKUP(A1228,'Order Shipping'!$A$2:$C$2000,3,FALSE())</f>
        <v>22.7</v>
      </c>
      <c r="E1228" s="32" t="n">
        <f aca="false">VLOOKUP($A1228,'Order Sales'!$A$2:$G$2154,E$1,FALSE())</f>
        <v>35</v>
      </c>
      <c r="F1228" s="32" t="n">
        <f aca="false">VLOOKUP($A1228,'Order Sales'!$A$2:$G$2154,F$1,FALSE())</f>
        <v>3627.23</v>
      </c>
      <c r="G1228" s="32" t="str">
        <f aca="false">VLOOKUP($A1228,'Order Sales'!$A$2:$G$2154,G$1,FALSE())</f>
        <v>Consumer</v>
      </c>
    </row>
    <row r="1229" customFormat="false" ht="14.25" hidden="false" customHeight="false" outlineLevel="0" collapsed="false">
      <c r="A1229" s="1" t="n">
        <v>1039</v>
      </c>
      <c r="B1229" s="30" t="n">
        <v>43266</v>
      </c>
      <c r="C1229" s="30" t="n">
        <v>44351</v>
      </c>
      <c r="D1229" s="31" t="n">
        <f aca="false">VLOOKUP(A1229,'Order Shipping'!$A$2:$C$2000,3,FALSE())</f>
        <v>5.1</v>
      </c>
      <c r="E1229" s="32" t="n">
        <f aca="false">VLOOKUP($A1229,'Order Sales'!$A$2:$G$2154,E$1,FALSE())</f>
        <v>18</v>
      </c>
      <c r="F1229" s="32" t="n">
        <f aca="false">VLOOKUP($A1229,'Order Sales'!$A$2:$G$2154,F$1,FALSE())</f>
        <v>95.06</v>
      </c>
      <c r="G1229" s="32" t="str">
        <f aca="false">VLOOKUP($A1229,'Order Sales'!$A$2:$G$2154,G$1,FALSE())</f>
        <v>Home Office</v>
      </c>
    </row>
    <row r="1230" customFormat="false" ht="14.25" hidden="false" customHeight="false" outlineLevel="0" collapsed="false">
      <c r="A1230" s="1" t="n">
        <v>1767</v>
      </c>
      <c r="B1230" s="30" t="n">
        <v>43319</v>
      </c>
      <c r="C1230" s="30" t="n">
        <v>44352</v>
      </c>
      <c r="D1230" s="31" t="n">
        <f aca="false">VLOOKUP(A1230,'Order Shipping'!$A$2:$C$2000,3,FALSE())</f>
        <v>9.7</v>
      </c>
      <c r="E1230" s="32" t="n">
        <f aca="false">VLOOKUP($A1230,'Order Sales'!$A$2:$G$2154,E$1,FALSE())</f>
        <v>22</v>
      </c>
      <c r="F1230" s="32" t="n">
        <f aca="false">VLOOKUP($A1230,'Order Sales'!$A$2:$G$2154,F$1,FALSE())</f>
        <v>2872.93</v>
      </c>
      <c r="G1230" s="32" t="str">
        <f aca="false">VLOOKUP($A1230,'Order Sales'!$A$2:$G$2154,G$1,FALSE())</f>
        <v>Corporate</v>
      </c>
    </row>
    <row r="1231" customFormat="false" ht="14.25" hidden="false" customHeight="false" outlineLevel="0" collapsed="false">
      <c r="A1231" s="1" t="n">
        <v>1169</v>
      </c>
      <c r="B1231" s="30" t="n">
        <v>43384</v>
      </c>
      <c r="C1231" s="30" t="n">
        <v>44353</v>
      </c>
      <c r="D1231" s="31" t="n">
        <f aca="false">VLOOKUP(A1231,'Order Shipping'!$A$2:$C$2000,3,FALSE())</f>
        <v>5.7</v>
      </c>
      <c r="E1231" s="32" t="n">
        <f aca="false">VLOOKUP($A1231,'Order Sales'!$A$2:$G$2154,E$1,FALSE())</f>
        <v>8</v>
      </c>
      <c r="F1231" s="32" t="n">
        <f aca="false">VLOOKUP($A1231,'Order Sales'!$A$2:$G$2154,F$1,FALSE())</f>
        <v>363.1</v>
      </c>
      <c r="G1231" s="32" t="str">
        <f aca="false">VLOOKUP($A1231,'Order Sales'!$A$2:$G$2154,G$1,FALSE())</f>
        <v>Home Office</v>
      </c>
    </row>
    <row r="1232" customFormat="false" ht="14.25" hidden="false" customHeight="false" outlineLevel="0" collapsed="false">
      <c r="A1232" s="1" t="n">
        <v>1762</v>
      </c>
      <c r="B1232" s="30" t="n">
        <v>43171</v>
      </c>
      <c r="C1232" s="30" t="n">
        <v>44354</v>
      </c>
      <c r="D1232" s="31" t="n">
        <f aca="false">VLOOKUP(A1232,'Order Shipping'!$A$2:$C$2000,3,FALSE())</f>
        <v>64.2</v>
      </c>
      <c r="E1232" s="32" t="n">
        <f aca="false">VLOOKUP($A1232,'Order Sales'!$A$2:$G$2154,E$1,FALSE())</f>
        <v>20</v>
      </c>
      <c r="F1232" s="32" t="n">
        <f aca="false">VLOOKUP($A1232,'Order Sales'!$A$2:$G$2154,F$1,FALSE())</f>
        <v>1562.65</v>
      </c>
      <c r="G1232" s="32" t="str">
        <f aca="false">VLOOKUP($A1232,'Order Sales'!$A$2:$G$2154,G$1,FALSE())</f>
        <v>Home Office</v>
      </c>
    </row>
    <row r="1233" customFormat="false" ht="14.25" hidden="false" customHeight="false" outlineLevel="0" collapsed="false">
      <c r="A1233" s="1" t="n">
        <v>1550</v>
      </c>
      <c r="B1233" s="30" t="n">
        <v>43328</v>
      </c>
      <c r="C1233" s="30" t="n">
        <v>44355</v>
      </c>
      <c r="D1233" s="31" t="n">
        <f aca="false">VLOOKUP(A1233,'Order Shipping'!$A$2:$C$2000,3,FALSE())</f>
        <v>7.3</v>
      </c>
      <c r="E1233" s="32" t="n">
        <f aca="false">VLOOKUP($A1233,'Order Sales'!$A$2:$G$2154,E$1,FALSE())</f>
        <v>13</v>
      </c>
      <c r="F1233" s="32" t="n">
        <f aca="false">VLOOKUP($A1233,'Order Sales'!$A$2:$G$2154,F$1,FALSE())</f>
        <v>53.7</v>
      </c>
      <c r="G1233" s="32" t="str">
        <f aca="false">VLOOKUP($A1233,'Order Sales'!$A$2:$G$2154,G$1,FALSE())</f>
        <v>Corporate</v>
      </c>
    </row>
    <row r="1234" customFormat="false" ht="14.25" hidden="false" customHeight="false" outlineLevel="0" collapsed="false">
      <c r="A1234" s="1" t="n">
        <v>1841</v>
      </c>
      <c r="B1234" s="30" t="n">
        <v>43256</v>
      </c>
      <c r="C1234" s="30" t="n">
        <v>44356</v>
      </c>
      <c r="D1234" s="31" t="n">
        <f aca="false">VLOOKUP(A1234,'Order Shipping'!$A$2:$C$2000,3,FALSE())</f>
        <v>10.4</v>
      </c>
      <c r="E1234" s="32" t="n">
        <f aca="false">VLOOKUP($A1234,'Order Sales'!$A$2:$G$2154,E$1,FALSE())</f>
        <v>18</v>
      </c>
      <c r="F1234" s="32" t="n">
        <f aca="false">VLOOKUP($A1234,'Order Sales'!$A$2:$G$2154,F$1,FALSE())</f>
        <v>138.85</v>
      </c>
      <c r="G1234" s="32" t="str">
        <f aca="false">VLOOKUP($A1234,'Order Sales'!$A$2:$G$2154,G$1,FALSE())</f>
        <v>Corporate</v>
      </c>
    </row>
    <row r="1235" customFormat="false" ht="14.25" hidden="false" customHeight="false" outlineLevel="0" collapsed="false">
      <c r="A1235" s="1" t="n">
        <v>2246</v>
      </c>
      <c r="B1235" s="30" t="n">
        <v>43260</v>
      </c>
      <c r="C1235" s="30" t="n">
        <v>44357</v>
      </c>
      <c r="D1235" s="31" t="n">
        <f aca="false">VLOOKUP(A1235,'Order Shipping'!$A$2:$C$2000,3,FALSE())</f>
        <v>4.8</v>
      </c>
      <c r="E1235" s="32" t="n">
        <f aca="false">VLOOKUP($A1235,'Order Sales'!$A$2:$G$2154,E$1,FALSE())</f>
        <v>44</v>
      </c>
      <c r="F1235" s="32" t="n">
        <f aca="false">VLOOKUP($A1235,'Order Sales'!$A$2:$G$2154,F$1,FALSE())</f>
        <v>643.9</v>
      </c>
      <c r="G1235" s="32" t="str">
        <f aca="false">VLOOKUP($A1235,'Order Sales'!$A$2:$G$2154,G$1,FALSE())</f>
        <v>Consumer</v>
      </c>
    </row>
    <row r="1236" customFormat="false" ht="14.25" hidden="false" customHeight="false" outlineLevel="0" collapsed="false">
      <c r="A1236" s="1" t="n">
        <v>3003</v>
      </c>
      <c r="B1236" s="30" t="n">
        <v>43418</v>
      </c>
      <c r="C1236" s="30" t="n">
        <v>44358</v>
      </c>
      <c r="D1236" s="31" t="n">
        <f aca="false">VLOOKUP(A1236,'Order Shipping'!$A$2:$C$2000,3,FALSE())</f>
        <v>31.1</v>
      </c>
      <c r="E1236" s="32" t="n">
        <f aca="false">VLOOKUP($A1236,'Order Sales'!$A$2:$G$2154,E$1,FALSE())</f>
        <v>30</v>
      </c>
      <c r="F1236" s="32" t="n">
        <f aca="false">VLOOKUP($A1236,'Order Sales'!$A$2:$G$2154,F$1,FALSE())</f>
        <v>5331.75</v>
      </c>
      <c r="G1236" s="32" t="str">
        <f aca="false">VLOOKUP($A1236,'Order Sales'!$A$2:$G$2154,G$1,FALSE())</f>
        <v>Small Business</v>
      </c>
    </row>
    <row r="1237" customFormat="false" ht="14.25" hidden="false" customHeight="false" outlineLevel="0" collapsed="false">
      <c r="A1237" s="1" t="n">
        <v>2304</v>
      </c>
      <c r="B1237" s="30" t="n">
        <v>43292</v>
      </c>
      <c r="C1237" s="30" t="n">
        <v>44359</v>
      </c>
      <c r="D1237" s="31" t="n">
        <f aca="false">VLOOKUP(A1237,'Order Shipping'!$A$2:$C$2000,3,FALSE())</f>
        <v>21.4</v>
      </c>
      <c r="E1237" s="32" t="n">
        <f aca="false">VLOOKUP($A1237,'Order Sales'!$A$2:$G$2154,E$1,FALSE())</f>
        <v>11</v>
      </c>
      <c r="F1237" s="32" t="n">
        <f aca="false">VLOOKUP($A1237,'Order Sales'!$A$2:$G$2154,F$1,FALSE())</f>
        <v>419.33</v>
      </c>
      <c r="G1237" s="32" t="str">
        <f aca="false">VLOOKUP($A1237,'Order Sales'!$A$2:$G$2154,G$1,FALSE())</f>
        <v>Corporate</v>
      </c>
    </row>
    <row r="1238" customFormat="false" ht="14.25" hidden="false" customHeight="false" outlineLevel="0" collapsed="false">
      <c r="A1238" s="1" t="n">
        <v>2326</v>
      </c>
      <c r="B1238" s="30" t="n">
        <v>43163</v>
      </c>
      <c r="C1238" s="30" t="n">
        <v>44360</v>
      </c>
      <c r="D1238" s="31" t="n">
        <f aca="false">VLOOKUP(A1238,'Order Shipping'!$A$2:$C$2000,3,FALSE())</f>
        <v>42</v>
      </c>
      <c r="E1238" s="32" t="n">
        <f aca="false">VLOOKUP($A1238,'Order Sales'!$A$2:$G$2154,E$1,FALSE())</f>
        <v>50</v>
      </c>
      <c r="F1238" s="32" t="n">
        <f aca="false">VLOOKUP($A1238,'Order Sales'!$A$2:$G$2154,F$1,FALSE())</f>
        <v>8200.2</v>
      </c>
      <c r="G1238" s="32" t="str">
        <f aca="false">VLOOKUP($A1238,'Order Sales'!$A$2:$G$2154,G$1,FALSE())</f>
        <v>Corporate</v>
      </c>
    </row>
    <row r="1239" customFormat="false" ht="14.25" hidden="false" customHeight="false" outlineLevel="0" collapsed="false">
      <c r="A1239" s="1" t="n">
        <v>2270</v>
      </c>
      <c r="B1239" s="30" t="n">
        <v>43180</v>
      </c>
      <c r="C1239" s="30" t="n">
        <v>44361</v>
      </c>
      <c r="D1239" s="31" t="n">
        <f aca="false">VLOOKUP(A1239,'Order Shipping'!$A$2:$C$2000,3,FALSE())</f>
        <v>5.9</v>
      </c>
      <c r="E1239" s="32" t="n">
        <f aca="false">VLOOKUP($A1239,'Order Sales'!$A$2:$G$2154,E$1,FALSE())</f>
        <v>7</v>
      </c>
      <c r="F1239" s="32" t="n">
        <f aca="false">VLOOKUP($A1239,'Order Sales'!$A$2:$G$2154,F$1,FALSE())</f>
        <v>32.21</v>
      </c>
      <c r="G1239" s="32" t="str">
        <f aca="false">VLOOKUP($A1239,'Order Sales'!$A$2:$G$2154,G$1,FALSE())</f>
        <v>Consumer</v>
      </c>
    </row>
    <row r="1240" customFormat="false" ht="14.25" hidden="false" customHeight="false" outlineLevel="0" collapsed="false">
      <c r="A1240" s="1" t="n">
        <v>2564</v>
      </c>
      <c r="B1240" s="30" t="n">
        <v>43438</v>
      </c>
      <c r="C1240" s="30" t="n">
        <v>44362</v>
      </c>
      <c r="D1240" s="31" t="n">
        <f aca="false">VLOOKUP(A1240,'Order Shipping'!$A$2:$C$2000,3,FALSE())</f>
        <v>1.5</v>
      </c>
      <c r="E1240" s="32" t="n">
        <f aca="false">VLOOKUP($A1240,'Order Sales'!$A$2:$G$2154,E$1,FALSE())</f>
        <v>7</v>
      </c>
      <c r="F1240" s="32" t="n">
        <f aca="false">VLOOKUP($A1240,'Order Sales'!$A$2:$G$2154,F$1,FALSE())</f>
        <v>60.88</v>
      </c>
      <c r="G1240" s="32" t="str">
        <f aca="false">VLOOKUP($A1240,'Order Sales'!$A$2:$G$2154,G$1,FALSE())</f>
        <v>Corporate</v>
      </c>
    </row>
    <row r="1241" customFormat="false" ht="14.25" hidden="false" customHeight="false" outlineLevel="0" collapsed="false">
      <c r="A1241" s="1" t="n">
        <v>2949</v>
      </c>
      <c r="B1241" s="30" t="n">
        <v>43281</v>
      </c>
      <c r="C1241" s="30" t="n">
        <v>44363</v>
      </c>
      <c r="D1241" s="31" t="n">
        <f aca="false">VLOOKUP(A1241,'Order Shipping'!$A$2:$C$2000,3,FALSE())</f>
        <v>45.5</v>
      </c>
      <c r="E1241" s="32" t="n">
        <f aca="false">VLOOKUP($A1241,'Order Sales'!$A$2:$G$2154,E$1,FALSE())</f>
        <v>20</v>
      </c>
      <c r="F1241" s="32" t="n">
        <f aca="false">VLOOKUP($A1241,'Order Sales'!$A$2:$G$2154,F$1,FALSE())</f>
        <v>6408.28</v>
      </c>
      <c r="G1241" s="32" t="str">
        <f aca="false">VLOOKUP($A1241,'Order Sales'!$A$2:$G$2154,G$1,FALSE())</f>
        <v>Home Office</v>
      </c>
    </row>
    <row r="1242" customFormat="false" ht="14.25" hidden="false" customHeight="false" outlineLevel="0" collapsed="false">
      <c r="A1242" s="1" t="n">
        <v>2927</v>
      </c>
      <c r="B1242" s="30" t="n">
        <v>43292</v>
      </c>
      <c r="C1242" s="30" t="n">
        <v>44364</v>
      </c>
      <c r="D1242" s="31" t="n">
        <f aca="false">VLOOKUP(A1242,'Order Shipping'!$A$2:$C$2000,3,FALSE())</f>
        <v>4.9</v>
      </c>
      <c r="E1242" s="32" t="n">
        <f aca="false">VLOOKUP($A1242,'Order Sales'!$A$2:$G$2154,E$1,FALSE())</f>
        <v>30</v>
      </c>
      <c r="F1242" s="32" t="n">
        <f aca="false">VLOOKUP($A1242,'Order Sales'!$A$2:$G$2154,F$1,FALSE())</f>
        <v>148.82</v>
      </c>
      <c r="G1242" s="32" t="str">
        <f aca="false">VLOOKUP($A1242,'Order Sales'!$A$2:$G$2154,G$1,FALSE())</f>
        <v>Home Office</v>
      </c>
    </row>
    <row r="1243" customFormat="false" ht="14.25" hidden="false" customHeight="false" outlineLevel="0" collapsed="false">
      <c r="A1243" s="1" t="n">
        <v>2099</v>
      </c>
      <c r="B1243" s="30" t="n">
        <v>43421</v>
      </c>
      <c r="C1243" s="30" t="n">
        <v>44365</v>
      </c>
      <c r="D1243" s="31" t="n">
        <f aca="false">VLOOKUP(A1243,'Order Shipping'!$A$2:$C$2000,3,FALSE())</f>
        <v>90.8</v>
      </c>
      <c r="E1243" s="32" t="n">
        <f aca="false">VLOOKUP($A1243,'Order Sales'!$A$2:$G$2154,E$1,FALSE())</f>
        <v>27</v>
      </c>
      <c r="F1243" s="32" t="n">
        <f aca="false">VLOOKUP($A1243,'Order Sales'!$A$2:$G$2154,F$1,FALSE())</f>
        <v>10208.91</v>
      </c>
      <c r="G1243" s="32" t="str">
        <f aca="false">VLOOKUP($A1243,'Order Sales'!$A$2:$G$2154,G$1,FALSE())</f>
        <v>Consumer</v>
      </c>
    </row>
    <row r="1244" customFormat="false" ht="14.25" hidden="false" customHeight="false" outlineLevel="0" collapsed="false">
      <c r="A1244" s="1" t="n">
        <v>1599</v>
      </c>
      <c r="B1244" s="30" t="n">
        <v>43392</v>
      </c>
      <c r="C1244" s="30" t="n">
        <v>44366</v>
      </c>
      <c r="D1244" s="31" t="n">
        <f aca="false">VLOOKUP(A1244,'Order Shipping'!$A$2:$C$2000,3,FALSE())</f>
        <v>8.3</v>
      </c>
      <c r="E1244" s="32" t="n">
        <f aca="false">VLOOKUP($A1244,'Order Sales'!$A$2:$G$2154,E$1,FALSE())</f>
        <v>29</v>
      </c>
      <c r="F1244" s="32" t="n">
        <f aca="false">VLOOKUP($A1244,'Order Sales'!$A$2:$G$2154,F$1,FALSE())</f>
        <v>246.92</v>
      </c>
      <c r="G1244" s="32" t="str">
        <f aca="false">VLOOKUP($A1244,'Order Sales'!$A$2:$G$2154,G$1,FALSE())</f>
        <v>Home Office</v>
      </c>
    </row>
    <row r="1245" customFormat="false" ht="14.25" hidden="false" customHeight="false" outlineLevel="0" collapsed="false">
      <c r="A1245" s="1" t="n">
        <v>1072</v>
      </c>
      <c r="B1245" s="30" t="n">
        <v>43330</v>
      </c>
      <c r="C1245" s="30" t="n">
        <v>44367</v>
      </c>
      <c r="D1245" s="31" t="n">
        <f aca="false">VLOOKUP(A1245,'Order Shipping'!$A$2:$C$2000,3,FALSE())</f>
        <v>6.6</v>
      </c>
      <c r="E1245" s="32" t="n">
        <f aca="false">VLOOKUP($A1245,'Order Sales'!$A$2:$G$2154,E$1,FALSE())</f>
        <v>24</v>
      </c>
      <c r="F1245" s="32" t="n">
        <f aca="false">VLOOKUP($A1245,'Order Sales'!$A$2:$G$2154,F$1,FALSE())</f>
        <v>174.56</v>
      </c>
      <c r="G1245" s="32" t="str">
        <f aca="false">VLOOKUP($A1245,'Order Sales'!$A$2:$G$2154,G$1,FALSE())</f>
        <v>Home Office</v>
      </c>
    </row>
    <row r="1246" customFormat="false" ht="14.25" hidden="false" customHeight="false" outlineLevel="0" collapsed="false">
      <c r="A1246" s="1" t="n">
        <v>2885</v>
      </c>
      <c r="B1246" s="30" t="n">
        <v>43325</v>
      </c>
      <c r="C1246" s="30" t="n">
        <v>44368</v>
      </c>
      <c r="D1246" s="31" t="n">
        <f aca="false">VLOOKUP(A1246,'Order Shipping'!$A$2:$C$2000,3,FALSE())</f>
        <v>56.7</v>
      </c>
      <c r="E1246" s="32" t="n">
        <f aca="false">VLOOKUP($A1246,'Order Sales'!$A$2:$G$2154,E$1,FALSE())</f>
        <v>44</v>
      </c>
      <c r="F1246" s="32" t="n">
        <f aca="false">VLOOKUP($A1246,'Order Sales'!$A$2:$G$2154,F$1,FALSE())</f>
        <v>1016.82</v>
      </c>
      <c r="G1246" s="32" t="str">
        <f aca="false">VLOOKUP($A1246,'Order Sales'!$A$2:$G$2154,G$1,FALSE())</f>
        <v>Consumer</v>
      </c>
    </row>
    <row r="1247" customFormat="false" ht="14.25" hidden="false" customHeight="false" outlineLevel="0" collapsed="false">
      <c r="A1247" s="1" t="n">
        <v>1818</v>
      </c>
      <c r="B1247" s="30" t="n">
        <v>43126</v>
      </c>
      <c r="C1247" s="30" t="n">
        <v>44369</v>
      </c>
      <c r="D1247" s="31" t="n">
        <f aca="false">VLOOKUP(A1247,'Order Shipping'!$A$2:$C$2000,3,FALSE())</f>
        <v>6.3</v>
      </c>
      <c r="E1247" s="32" t="n">
        <f aca="false">VLOOKUP($A1247,'Order Sales'!$A$2:$G$2154,E$1,FALSE())</f>
        <v>18</v>
      </c>
      <c r="F1247" s="32" t="n">
        <f aca="false">VLOOKUP($A1247,'Order Sales'!$A$2:$G$2154,F$1,FALSE())</f>
        <v>134.61</v>
      </c>
      <c r="G1247" s="32" t="str">
        <f aca="false">VLOOKUP($A1247,'Order Sales'!$A$2:$G$2154,G$1,FALSE())</f>
        <v>Small Business</v>
      </c>
    </row>
    <row r="1248" customFormat="false" ht="14.25" hidden="false" customHeight="false" outlineLevel="0" collapsed="false">
      <c r="A1248" s="1" t="n">
        <v>1782</v>
      </c>
      <c r="B1248" s="30" t="n">
        <v>43273</v>
      </c>
      <c r="C1248" s="30" t="n">
        <v>44370</v>
      </c>
      <c r="D1248" s="31" t="n">
        <f aca="false">VLOOKUP(A1248,'Order Shipping'!$A$2:$C$2000,3,FALSE())</f>
        <v>5.8</v>
      </c>
      <c r="E1248" s="32" t="n">
        <f aca="false">VLOOKUP($A1248,'Order Sales'!$A$2:$G$2154,E$1,FALSE())</f>
        <v>24</v>
      </c>
      <c r="F1248" s="32" t="n">
        <f aca="false">VLOOKUP($A1248,'Order Sales'!$A$2:$G$2154,F$1,FALSE())</f>
        <v>402.89</v>
      </c>
      <c r="G1248" s="32" t="str">
        <f aca="false">VLOOKUP($A1248,'Order Sales'!$A$2:$G$2154,G$1,FALSE())</f>
        <v>Corporate</v>
      </c>
    </row>
    <row r="1249" customFormat="false" ht="14.25" hidden="false" customHeight="false" outlineLevel="0" collapsed="false">
      <c r="A1249" s="1" t="n">
        <v>2150</v>
      </c>
      <c r="B1249" s="30" t="n">
        <v>43141</v>
      </c>
      <c r="C1249" s="30" t="n">
        <v>44371</v>
      </c>
      <c r="D1249" s="31" t="n">
        <f aca="false">VLOOKUP(A1249,'Order Shipping'!$A$2:$C$2000,3,FALSE())</f>
        <v>11.9</v>
      </c>
      <c r="E1249" s="32" t="n">
        <f aca="false">VLOOKUP($A1249,'Order Sales'!$A$2:$G$2154,E$1,FALSE())</f>
        <v>40</v>
      </c>
      <c r="F1249" s="32" t="n">
        <f aca="false">VLOOKUP($A1249,'Order Sales'!$A$2:$G$2154,F$1,FALSE())</f>
        <v>318.15</v>
      </c>
      <c r="G1249" s="32" t="str">
        <f aca="false">VLOOKUP($A1249,'Order Sales'!$A$2:$G$2154,G$1,FALSE())</f>
        <v>Home Office</v>
      </c>
    </row>
    <row r="1250" customFormat="false" ht="14.25" hidden="false" customHeight="false" outlineLevel="0" collapsed="false">
      <c r="A1250" s="1" t="n">
        <v>2487</v>
      </c>
      <c r="B1250" s="30" t="n">
        <v>43142</v>
      </c>
      <c r="C1250" s="30" t="n">
        <v>44372</v>
      </c>
      <c r="D1250" s="31" t="n">
        <f aca="false">VLOOKUP(A1250,'Order Shipping'!$A$2:$C$2000,3,FALSE())</f>
        <v>0.5</v>
      </c>
      <c r="E1250" s="32" t="n">
        <f aca="false">VLOOKUP($A1250,'Order Sales'!$A$2:$G$2154,E$1,FALSE())</f>
        <v>14</v>
      </c>
      <c r="F1250" s="32" t="n">
        <f aca="false">VLOOKUP($A1250,'Order Sales'!$A$2:$G$2154,F$1,FALSE())</f>
        <v>186.5</v>
      </c>
      <c r="G1250" s="32" t="str">
        <f aca="false">VLOOKUP($A1250,'Order Sales'!$A$2:$G$2154,G$1,FALSE())</f>
        <v>Home Office</v>
      </c>
    </row>
    <row r="1251" customFormat="false" ht="14.25" hidden="false" customHeight="false" outlineLevel="0" collapsed="false">
      <c r="A1251" s="1" t="n">
        <v>1657</v>
      </c>
      <c r="B1251" s="30" t="n">
        <v>43163</v>
      </c>
      <c r="C1251" s="30" t="n">
        <v>44373</v>
      </c>
      <c r="D1251" s="31" t="n">
        <f aca="false">VLOOKUP(A1251,'Order Shipping'!$A$2:$C$2000,3,FALSE())</f>
        <v>4.7</v>
      </c>
      <c r="E1251" s="32" t="n">
        <f aca="false">VLOOKUP($A1251,'Order Sales'!$A$2:$G$2154,E$1,FALSE())</f>
        <v>34</v>
      </c>
      <c r="F1251" s="32" t="n">
        <f aca="false">VLOOKUP($A1251,'Order Sales'!$A$2:$G$2154,F$1,FALSE())</f>
        <v>327.74</v>
      </c>
      <c r="G1251" s="32" t="str">
        <f aca="false">VLOOKUP($A1251,'Order Sales'!$A$2:$G$2154,G$1,FALSE())</f>
        <v>Corporate</v>
      </c>
    </row>
    <row r="1252" customFormat="false" ht="14.25" hidden="false" customHeight="false" outlineLevel="0" collapsed="false">
      <c r="A1252" s="1" t="n">
        <v>1581</v>
      </c>
      <c r="B1252" s="30" t="n">
        <v>43199</v>
      </c>
      <c r="C1252" s="30" t="n">
        <v>44374</v>
      </c>
      <c r="D1252" s="31" t="n">
        <f aca="false">VLOOKUP(A1252,'Order Shipping'!$A$2:$C$2000,3,FALSE())</f>
        <v>21.4</v>
      </c>
      <c r="E1252" s="32" t="n">
        <f aca="false">VLOOKUP($A1252,'Order Sales'!$A$2:$G$2154,E$1,FALSE())</f>
        <v>45</v>
      </c>
      <c r="F1252" s="32" t="n">
        <f aca="false">VLOOKUP($A1252,'Order Sales'!$A$2:$G$2154,F$1,FALSE())</f>
        <v>4920.64</v>
      </c>
      <c r="G1252" s="32" t="str">
        <f aca="false">VLOOKUP($A1252,'Order Sales'!$A$2:$G$2154,G$1,FALSE())</f>
        <v>Corporate</v>
      </c>
    </row>
    <row r="1253" customFormat="false" ht="14.25" hidden="false" customHeight="false" outlineLevel="0" collapsed="false">
      <c r="A1253" s="1" t="n">
        <v>2788</v>
      </c>
      <c r="B1253" s="30" t="n">
        <v>43198</v>
      </c>
      <c r="C1253" s="30" t="n">
        <v>44375</v>
      </c>
      <c r="D1253" s="31" t="n">
        <f aca="false">VLOOKUP(A1253,'Order Shipping'!$A$2:$C$2000,3,FALSE())</f>
        <v>7.7</v>
      </c>
      <c r="E1253" s="32" t="n">
        <f aca="false">VLOOKUP($A1253,'Order Sales'!$A$2:$G$2154,E$1,FALSE())</f>
        <v>36</v>
      </c>
      <c r="F1253" s="32" t="n">
        <f aca="false">VLOOKUP($A1253,'Order Sales'!$A$2:$G$2154,F$1,FALSE())</f>
        <v>1761.27</v>
      </c>
      <c r="G1253" s="32" t="str">
        <f aca="false">VLOOKUP($A1253,'Order Sales'!$A$2:$G$2154,G$1,FALSE())</f>
        <v>Consumer</v>
      </c>
    </row>
    <row r="1254" customFormat="false" ht="14.25" hidden="false" customHeight="false" outlineLevel="0" collapsed="false">
      <c r="A1254" s="1" t="n">
        <v>2336</v>
      </c>
      <c r="B1254" s="30" t="n">
        <v>43108</v>
      </c>
      <c r="C1254" s="30" t="n">
        <v>44376</v>
      </c>
      <c r="D1254" s="31" t="n">
        <f aca="false">VLOOKUP(A1254,'Order Shipping'!$A$2:$C$2000,3,FALSE())</f>
        <v>75.1</v>
      </c>
      <c r="E1254" s="32" t="n">
        <f aca="false">VLOOKUP($A1254,'Order Sales'!$A$2:$G$2154,E$1,FALSE())</f>
        <v>45</v>
      </c>
      <c r="F1254" s="32" t="n">
        <f aca="false">VLOOKUP($A1254,'Order Sales'!$A$2:$G$2154,F$1,FALSE())</f>
        <v>6038.53</v>
      </c>
      <c r="G1254" s="32" t="str">
        <f aca="false">VLOOKUP($A1254,'Order Sales'!$A$2:$G$2154,G$1,FALSE())</f>
        <v>Small Business</v>
      </c>
    </row>
    <row r="1255" customFormat="false" ht="14.25" hidden="false" customHeight="false" outlineLevel="0" collapsed="false">
      <c r="A1255" s="1" t="n">
        <v>1669</v>
      </c>
      <c r="B1255" s="30" t="n">
        <v>43402</v>
      </c>
      <c r="C1255" s="30" t="n">
        <v>44377</v>
      </c>
      <c r="D1255" s="31" t="n">
        <f aca="false">VLOOKUP(A1255,'Order Shipping'!$A$2:$C$2000,3,FALSE())</f>
        <v>6</v>
      </c>
      <c r="E1255" s="32" t="n">
        <f aca="false">VLOOKUP($A1255,'Order Sales'!$A$2:$G$2154,E$1,FALSE())</f>
        <v>33</v>
      </c>
      <c r="F1255" s="32" t="n">
        <f aca="false">VLOOKUP($A1255,'Order Sales'!$A$2:$G$2154,F$1,FALSE())</f>
        <v>1879.55</v>
      </c>
      <c r="G1255" s="32" t="str">
        <f aca="false">VLOOKUP($A1255,'Order Sales'!$A$2:$G$2154,G$1,FALSE())</f>
        <v>Consumer</v>
      </c>
    </row>
    <row r="1256" customFormat="false" ht="14.25" hidden="false" customHeight="false" outlineLevel="0" collapsed="false">
      <c r="A1256" s="1" t="n">
        <v>1781</v>
      </c>
      <c r="B1256" s="30" t="n">
        <v>43197</v>
      </c>
      <c r="C1256" s="30" t="n">
        <v>44378</v>
      </c>
      <c r="D1256" s="31" t="n">
        <f aca="false">VLOOKUP(A1256,'Order Shipping'!$A$2:$C$2000,3,FALSE())</f>
        <v>52.4</v>
      </c>
      <c r="E1256" s="32" t="n">
        <f aca="false">VLOOKUP($A1256,'Order Sales'!$A$2:$G$2154,E$1,FALSE())</f>
        <v>20</v>
      </c>
      <c r="F1256" s="32" t="n">
        <f aca="false">VLOOKUP($A1256,'Order Sales'!$A$2:$G$2154,F$1,FALSE())</f>
        <v>148.22</v>
      </c>
      <c r="G1256" s="32" t="str">
        <f aca="false">VLOOKUP($A1256,'Order Sales'!$A$2:$G$2154,G$1,FALSE())</f>
        <v>Home Office</v>
      </c>
    </row>
    <row r="1257" customFormat="false" ht="14.25" hidden="false" customHeight="false" outlineLevel="0" collapsed="false">
      <c r="A1257" s="1" t="n">
        <v>2874</v>
      </c>
      <c r="B1257" s="30" t="n">
        <v>43458</v>
      </c>
      <c r="C1257" s="30" t="n">
        <v>44379</v>
      </c>
      <c r="D1257" s="31" t="n">
        <f aca="false">VLOOKUP(A1257,'Order Shipping'!$A$2:$C$2000,3,FALSE())</f>
        <v>21.4</v>
      </c>
      <c r="E1257" s="32" t="n">
        <f aca="false">VLOOKUP($A1257,'Order Sales'!$A$2:$G$2154,E$1,FALSE())</f>
        <v>4</v>
      </c>
      <c r="F1257" s="32" t="n">
        <f aca="false">VLOOKUP($A1257,'Order Sales'!$A$2:$G$2154,F$1,FALSE())</f>
        <v>1722.37</v>
      </c>
      <c r="G1257" s="32" t="str">
        <f aca="false">VLOOKUP($A1257,'Order Sales'!$A$2:$G$2154,G$1,FALSE())</f>
        <v>Corporate</v>
      </c>
    </row>
    <row r="1258" customFormat="false" ht="14.25" hidden="false" customHeight="false" outlineLevel="0" collapsed="false">
      <c r="A1258" s="1" t="n">
        <v>1523</v>
      </c>
      <c r="B1258" s="30" t="n">
        <v>43416</v>
      </c>
      <c r="C1258" s="30" t="n">
        <v>44380</v>
      </c>
      <c r="D1258" s="31" t="n">
        <f aca="false">VLOOKUP(A1258,'Order Shipping'!$A$2:$C$2000,3,FALSE())</f>
        <v>45.5</v>
      </c>
      <c r="E1258" s="32" t="n">
        <f aca="false">VLOOKUP($A1258,'Order Sales'!$A$2:$G$2154,E$1,FALSE())</f>
        <v>47</v>
      </c>
      <c r="F1258" s="32" t="n">
        <f aca="false">VLOOKUP($A1258,'Order Sales'!$A$2:$G$2154,F$1,FALSE())</f>
        <v>16007.3</v>
      </c>
      <c r="G1258" s="32" t="str">
        <f aca="false">VLOOKUP($A1258,'Order Sales'!$A$2:$G$2154,G$1,FALSE())</f>
        <v>Corporate</v>
      </c>
    </row>
    <row r="1259" customFormat="false" ht="14.25" hidden="false" customHeight="false" outlineLevel="0" collapsed="false">
      <c r="A1259" s="1" t="n">
        <v>1896</v>
      </c>
      <c r="B1259" s="30" t="n">
        <v>43434</v>
      </c>
      <c r="C1259" s="30" t="n">
        <v>44381</v>
      </c>
      <c r="D1259" s="31" t="n">
        <f aca="false">VLOOKUP(A1259,'Order Shipping'!$A$2:$C$2000,3,FALSE())</f>
        <v>3.2</v>
      </c>
      <c r="E1259" s="32" t="n">
        <f aca="false">VLOOKUP($A1259,'Order Sales'!$A$2:$G$2154,E$1,FALSE())</f>
        <v>1</v>
      </c>
      <c r="F1259" s="32" t="n">
        <f aca="false">VLOOKUP($A1259,'Order Sales'!$A$2:$G$2154,F$1,FALSE())</f>
        <v>14.94</v>
      </c>
      <c r="G1259" s="32" t="str">
        <f aca="false">VLOOKUP($A1259,'Order Sales'!$A$2:$G$2154,G$1,FALSE())</f>
        <v>Home Office</v>
      </c>
    </row>
    <row r="1260" customFormat="false" ht="14.25" hidden="false" customHeight="false" outlineLevel="0" collapsed="false">
      <c r="A1260" s="1" t="n">
        <v>1595</v>
      </c>
      <c r="B1260" s="30" t="n">
        <v>43224</v>
      </c>
      <c r="C1260" s="30" t="n">
        <v>44382</v>
      </c>
      <c r="D1260" s="31" t="n">
        <f aca="false">VLOOKUP(A1260,'Order Shipping'!$A$2:$C$2000,3,FALSE())</f>
        <v>19.1</v>
      </c>
      <c r="E1260" s="32" t="n">
        <f aca="false">VLOOKUP($A1260,'Order Sales'!$A$2:$G$2154,E$1,FALSE())</f>
        <v>46</v>
      </c>
      <c r="F1260" s="32" t="n">
        <f aca="false">VLOOKUP($A1260,'Order Sales'!$A$2:$G$2154,F$1,FALSE())</f>
        <v>7102.26</v>
      </c>
      <c r="G1260" s="32" t="str">
        <f aca="false">VLOOKUP($A1260,'Order Sales'!$A$2:$G$2154,G$1,FALSE())</f>
        <v>Consumer</v>
      </c>
    </row>
    <row r="1261" customFormat="false" ht="14.25" hidden="false" customHeight="false" outlineLevel="0" collapsed="false">
      <c r="A1261" s="1" t="n">
        <v>2460</v>
      </c>
      <c r="B1261" s="30" t="n">
        <v>43422</v>
      </c>
      <c r="C1261" s="30" t="n">
        <v>44383</v>
      </c>
      <c r="D1261" s="31" t="n">
        <f aca="false">VLOOKUP(A1261,'Order Shipping'!$A$2:$C$2000,3,FALSE())</f>
        <v>9.6</v>
      </c>
      <c r="E1261" s="32" t="n">
        <f aca="false">VLOOKUP($A1261,'Order Sales'!$A$2:$G$2154,E$1,FALSE())</f>
        <v>49</v>
      </c>
      <c r="F1261" s="32" t="n">
        <f aca="false">VLOOKUP($A1261,'Order Sales'!$A$2:$G$2154,F$1,FALSE())</f>
        <v>2021.27</v>
      </c>
      <c r="G1261" s="32" t="str">
        <f aca="false">VLOOKUP($A1261,'Order Sales'!$A$2:$G$2154,G$1,FALSE())</f>
        <v>Corporate</v>
      </c>
    </row>
    <row r="1262" customFormat="false" ht="14.25" hidden="false" customHeight="false" outlineLevel="0" collapsed="false">
      <c r="A1262" s="1" t="n">
        <v>2300</v>
      </c>
      <c r="B1262" s="30" t="n">
        <v>43349</v>
      </c>
      <c r="C1262" s="30" t="n">
        <v>44384</v>
      </c>
      <c r="D1262" s="31" t="n">
        <f aca="false">VLOOKUP(A1262,'Order Shipping'!$A$2:$C$2000,3,FALSE())</f>
        <v>5.6</v>
      </c>
      <c r="E1262" s="32" t="n">
        <f aca="false">VLOOKUP($A1262,'Order Sales'!$A$2:$G$2154,E$1,FALSE())</f>
        <v>46</v>
      </c>
      <c r="F1262" s="32" t="n">
        <f aca="false">VLOOKUP($A1262,'Order Sales'!$A$2:$G$2154,F$1,FALSE())</f>
        <v>80.89</v>
      </c>
      <c r="G1262" s="32" t="str">
        <f aca="false">VLOOKUP($A1262,'Order Sales'!$A$2:$G$2154,G$1,FALSE())</f>
        <v>Small Business</v>
      </c>
    </row>
    <row r="1263" customFormat="false" ht="14.25" hidden="false" customHeight="false" outlineLevel="0" collapsed="false">
      <c r="A1263" s="1" t="n">
        <v>2940</v>
      </c>
      <c r="B1263" s="30" t="n">
        <v>43150</v>
      </c>
      <c r="C1263" s="30" t="n">
        <v>44385</v>
      </c>
      <c r="D1263" s="31" t="n">
        <f aca="false">VLOOKUP(A1263,'Order Shipping'!$A$2:$C$2000,3,FALSE())</f>
        <v>2.1</v>
      </c>
      <c r="E1263" s="32" t="n">
        <f aca="false">VLOOKUP($A1263,'Order Sales'!$A$2:$G$2154,E$1,FALSE())</f>
        <v>42</v>
      </c>
      <c r="F1263" s="32" t="n">
        <f aca="false">VLOOKUP($A1263,'Order Sales'!$A$2:$G$2154,F$1,FALSE())</f>
        <v>144.3</v>
      </c>
      <c r="G1263" s="32" t="str">
        <f aca="false">VLOOKUP($A1263,'Order Sales'!$A$2:$G$2154,G$1,FALSE())</f>
        <v>Corporate</v>
      </c>
    </row>
    <row r="1264" customFormat="false" ht="14.25" hidden="false" customHeight="false" outlineLevel="0" collapsed="false">
      <c r="A1264" s="1" t="n">
        <v>1651</v>
      </c>
      <c r="B1264" s="30" t="n">
        <v>43397</v>
      </c>
      <c r="C1264" s="30" t="n">
        <v>44386</v>
      </c>
      <c r="D1264" s="31" t="n">
        <f aca="false">VLOOKUP(A1264,'Order Shipping'!$A$2:$C$2000,3,FALSE())</f>
        <v>117.9</v>
      </c>
      <c r="E1264" s="32" t="n">
        <f aca="false">VLOOKUP($A1264,'Order Sales'!$A$2:$G$2154,E$1,FALSE())</f>
        <v>32</v>
      </c>
      <c r="F1264" s="32" t="n">
        <f aca="false">VLOOKUP($A1264,'Order Sales'!$A$2:$G$2154,F$1,FALSE())</f>
        <v>7385.69</v>
      </c>
      <c r="G1264" s="32" t="str">
        <f aca="false">VLOOKUP($A1264,'Order Sales'!$A$2:$G$2154,G$1,FALSE())</f>
        <v>Corporate</v>
      </c>
    </row>
    <row r="1265" customFormat="false" ht="14.25" hidden="false" customHeight="false" outlineLevel="0" collapsed="false">
      <c r="A1265" s="1" t="n">
        <v>1215</v>
      </c>
      <c r="B1265" s="30" t="n">
        <v>43103</v>
      </c>
      <c r="C1265" s="30" t="n">
        <v>44387</v>
      </c>
      <c r="D1265" s="31" t="n">
        <f aca="false">VLOOKUP(A1265,'Order Shipping'!$A$2:$C$2000,3,FALSE())</f>
        <v>38.2</v>
      </c>
      <c r="E1265" s="32" t="n">
        <f aca="false">VLOOKUP($A1265,'Order Sales'!$A$2:$G$2154,E$1,FALSE())</f>
        <v>37</v>
      </c>
      <c r="F1265" s="32" t="n">
        <f aca="false">VLOOKUP($A1265,'Order Sales'!$A$2:$G$2154,F$1,FALSE())</f>
        <v>8830.06</v>
      </c>
      <c r="G1265" s="32" t="str">
        <f aca="false">VLOOKUP($A1265,'Order Sales'!$A$2:$G$2154,G$1,FALSE())</f>
        <v>Corporate</v>
      </c>
    </row>
    <row r="1266" customFormat="false" ht="14.25" hidden="false" customHeight="false" outlineLevel="0" collapsed="false">
      <c r="A1266" s="1" t="n">
        <v>2243</v>
      </c>
      <c r="B1266" s="30" t="n">
        <v>43253</v>
      </c>
      <c r="C1266" s="30" t="n">
        <v>44388</v>
      </c>
      <c r="D1266" s="31" t="n">
        <f aca="false">VLOOKUP(A1266,'Order Shipping'!$A$2:$C$2000,3,FALSE())</f>
        <v>6.2</v>
      </c>
      <c r="E1266" s="32" t="n">
        <f aca="false">VLOOKUP($A1266,'Order Sales'!$A$2:$G$2154,E$1,FALSE())</f>
        <v>42</v>
      </c>
      <c r="F1266" s="32" t="n">
        <f aca="false">VLOOKUP($A1266,'Order Sales'!$A$2:$G$2154,F$1,FALSE())</f>
        <v>411.32</v>
      </c>
      <c r="G1266" s="32" t="str">
        <f aca="false">VLOOKUP($A1266,'Order Sales'!$A$2:$G$2154,G$1,FALSE())</f>
        <v>Home Office</v>
      </c>
    </row>
    <row r="1267" customFormat="false" ht="14.25" hidden="false" customHeight="false" outlineLevel="0" collapsed="false">
      <c r="A1267" s="1" t="n">
        <v>2427</v>
      </c>
      <c r="B1267" s="30" t="n">
        <v>43378</v>
      </c>
      <c r="C1267" s="30" t="n">
        <v>44389</v>
      </c>
      <c r="D1267" s="31" t="n">
        <f aca="false">VLOOKUP(A1267,'Order Shipping'!$A$2:$C$2000,3,FALSE())</f>
        <v>4.5</v>
      </c>
      <c r="E1267" s="32" t="n">
        <f aca="false">VLOOKUP($A1267,'Order Sales'!$A$2:$G$2154,E$1,FALSE())</f>
        <v>7</v>
      </c>
      <c r="F1267" s="32" t="n">
        <f aca="false">VLOOKUP($A1267,'Order Sales'!$A$2:$G$2154,F$1,FALSE())</f>
        <v>1223.47</v>
      </c>
      <c r="G1267" s="32" t="str">
        <f aca="false">VLOOKUP($A1267,'Order Sales'!$A$2:$G$2154,G$1,FALSE())</f>
        <v>Corporate</v>
      </c>
    </row>
    <row r="1268" customFormat="false" ht="14.25" hidden="false" customHeight="false" outlineLevel="0" collapsed="false">
      <c r="A1268" s="1" t="n">
        <v>2761</v>
      </c>
      <c r="B1268" s="30" t="n">
        <v>43457</v>
      </c>
      <c r="C1268" s="30" t="n">
        <v>44390</v>
      </c>
      <c r="D1268" s="31" t="n">
        <f aca="false">VLOOKUP(A1268,'Order Shipping'!$A$2:$C$2000,3,FALSE())</f>
        <v>13.8</v>
      </c>
      <c r="E1268" s="32" t="n">
        <f aca="false">VLOOKUP($A1268,'Order Sales'!$A$2:$G$2154,E$1,FALSE())</f>
        <v>8</v>
      </c>
      <c r="F1268" s="32" t="n">
        <f aca="false">VLOOKUP($A1268,'Order Sales'!$A$2:$G$2154,F$1,FALSE())</f>
        <v>340.07</v>
      </c>
      <c r="G1268" s="32" t="str">
        <f aca="false">VLOOKUP($A1268,'Order Sales'!$A$2:$G$2154,G$1,FALSE())</f>
        <v>Consumer</v>
      </c>
    </row>
    <row r="1269" customFormat="false" ht="14.25" hidden="false" customHeight="false" outlineLevel="0" collapsed="false">
      <c r="A1269" s="1" t="n">
        <v>2514</v>
      </c>
      <c r="B1269" s="30" t="n">
        <v>43114</v>
      </c>
      <c r="C1269" s="30" t="n">
        <v>44391</v>
      </c>
      <c r="D1269" s="31" t="n">
        <f aca="false">VLOOKUP(A1269,'Order Shipping'!$A$2:$C$2000,3,FALSE())</f>
        <v>69.1</v>
      </c>
      <c r="E1269" s="32" t="n">
        <f aca="false">VLOOKUP($A1269,'Order Sales'!$A$2:$G$2154,E$1,FALSE())</f>
        <v>12</v>
      </c>
      <c r="F1269" s="32" t="n">
        <f aca="false">VLOOKUP($A1269,'Order Sales'!$A$2:$G$2154,F$1,FALSE())</f>
        <v>6957.63</v>
      </c>
      <c r="G1269" s="32" t="str">
        <f aca="false">VLOOKUP($A1269,'Order Sales'!$A$2:$G$2154,G$1,FALSE())</f>
        <v>Corporate</v>
      </c>
    </row>
    <row r="1270" customFormat="false" ht="14.25" hidden="false" customHeight="false" outlineLevel="0" collapsed="false">
      <c r="A1270" s="1" t="n">
        <v>2416</v>
      </c>
      <c r="B1270" s="30" t="n">
        <v>43453</v>
      </c>
      <c r="C1270" s="30" t="n">
        <v>44392</v>
      </c>
      <c r="D1270" s="31" t="n">
        <f aca="false">VLOOKUP(A1270,'Order Shipping'!$A$2:$C$2000,3,FALSE())</f>
        <v>8</v>
      </c>
      <c r="E1270" s="32" t="n">
        <f aca="false">VLOOKUP($A1270,'Order Sales'!$A$2:$G$2154,E$1,FALSE())</f>
        <v>41</v>
      </c>
      <c r="F1270" s="32" t="n">
        <f aca="false">VLOOKUP($A1270,'Order Sales'!$A$2:$G$2154,F$1,FALSE())</f>
        <v>266.28</v>
      </c>
      <c r="G1270" s="32" t="str">
        <f aca="false">VLOOKUP($A1270,'Order Sales'!$A$2:$G$2154,G$1,FALSE())</f>
        <v>Small Business</v>
      </c>
    </row>
    <row r="1271" customFormat="false" ht="14.25" hidden="false" customHeight="false" outlineLevel="0" collapsed="false">
      <c r="A1271" s="1" t="n">
        <v>1361</v>
      </c>
      <c r="B1271" s="30" t="n">
        <v>43460</v>
      </c>
      <c r="C1271" s="30" t="n">
        <v>44393</v>
      </c>
      <c r="D1271" s="31" t="n">
        <f aca="false">VLOOKUP(A1271,'Order Shipping'!$A$2:$C$2000,3,FALSE())</f>
        <v>0.7</v>
      </c>
      <c r="E1271" s="32" t="n">
        <f aca="false">VLOOKUP($A1271,'Order Sales'!$A$2:$G$2154,E$1,FALSE())</f>
        <v>33</v>
      </c>
      <c r="F1271" s="32" t="n">
        <f aca="false">VLOOKUP($A1271,'Order Sales'!$A$2:$G$2154,F$1,FALSE())</f>
        <v>161.77</v>
      </c>
      <c r="G1271" s="32" t="str">
        <f aca="false">VLOOKUP($A1271,'Order Sales'!$A$2:$G$2154,G$1,FALSE())</f>
        <v>Small Business</v>
      </c>
    </row>
    <row r="1272" customFormat="false" ht="14.25" hidden="false" customHeight="false" outlineLevel="0" collapsed="false">
      <c r="A1272" s="1" t="n">
        <v>1687</v>
      </c>
      <c r="B1272" s="30" t="n">
        <v>43293</v>
      </c>
      <c r="C1272" s="30" t="n">
        <v>44394</v>
      </c>
      <c r="D1272" s="31" t="n">
        <f aca="false">VLOOKUP(A1272,'Order Shipping'!$A$2:$C$2000,3,FALSE())</f>
        <v>4.5</v>
      </c>
      <c r="E1272" s="32" t="n">
        <f aca="false">VLOOKUP($A1272,'Order Sales'!$A$2:$G$2154,E$1,FALSE())</f>
        <v>28</v>
      </c>
      <c r="F1272" s="32" t="n">
        <f aca="false">VLOOKUP($A1272,'Order Sales'!$A$2:$G$2154,F$1,FALSE())</f>
        <v>218.27</v>
      </c>
      <c r="G1272" s="32" t="str">
        <f aca="false">VLOOKUP($A1272,'Order Sales'!$A$2:$G$2154,G$1,FALSE())</f>
        <v>Home Office</v>
      </c>
    </row>
    <row r="1273" customFormat="false" ht="14.25" hidden="false" customHeight="false" outlineLevel="0" collapsed="false">
      <c r="A1273" s="1" t="n">
        <v>2136</v>
      </c>
      <c r="B1273" s="30" t="n">
        <v>43132</v>
      </c>
      <c r="C1273" s="30" t="n">
        <v>44395</v>
      </c>
      <c r="D1273" s="31" t="n">
        <f aca="false">VLOOKUP(A1273,'Order Shipping'!$A$2:$C$2000,3,FALSE())</f>
        <v>3.5</v>
      </c>
      <c r="E1273" s="32" t="n">
        <f aca="false">VLOOKUP($A1273,'Order Sales'!$A$2:$G$2154,E$1,FALSE())</f>
        <v>27</v>
      </c>
      <c r="F1273" s="32" t="n">
        <f aca="false">VLOOKUP($A1273,'Order Sales'!$A$2:$G$2154,F$1,FALSE())</f>
        <v>494.73</v>
      </c>
      <c r="G1273" s="32" t="str">
        <f aca="false">VLOOKUP($A1273,'Order Sales'!$A$2:$G$2154,G$1,FALSE())</f>
        <v>Small Business</v>
      </c>
    </row>
    <row r="1274" customFormat="false" ht="14.25" hidden="false" customHeight="false" outlineLevel="0" collapsed="false">
      <c r="A1274" s="1" t="n">
        <v>2990</v>
      </c>
      <c r="B1274" s="30" t="n">
        <v>43214</v>
      </c>
      <c r="C1274" s="30" t="n">
        <v>44396</v>
      </c>
      <c r="D1274" s="31" t="n">
        <f aca="false">VLOOKUP(A1274,'Order Shipping'!$A$2:$C$2000,3,FALSE())</f>
        <v>14.3</v>
      </c>
      <c r="E1274" s="32" t="n">
        <f aca="false">VLOOKUP($A1274,'Order Sales'!$A$2:$G$2154,E$1,FALSE())</f>
        <v>40</v>
      </c>
      <c r="F1274" s="32" t="n">
        <f aca="false">VLOOKUP($A1274,'Order Sales'!$A$2:$G$2154,F$1,FALSE())</f>
        <v>674.51</v>
      </c>
      <c r="G1274" s="32" t="str">
        <f aca="false">VLOOKUP($A1274,'Order Sales'!$A$2:$G$2154,G$1,FALSE())</f>
        <v>Corporate</v>
      </c>
    </row>
    <row r="1275" customFormat="false" ht="14.25" hidden="false" customHeight="false" outlineLevel="0" collapsed="false">
      <c r="A1275" s="1" t="n">
        <v>2705</v>
      </c>
      <c r="B1275" s="30" t="n">
        <v>43251</v>
      </c>
      <c r="C1275" s="30" t="n">
        <v>44397</v>
      </c>
      <c r="D1275" s="31" t="n">
        <f aca="false">VLOOKUP(A1275,'Order Shipping'!$A$2:$C$2000,3,FALSE())</f>
        <v>6.4</v>
      </c>
      <c r="E1275" s="32" t="n">
        <f aca="false">VLOOKUP($A1275,'Order Sales'!$A$2:$G$2154,E$1,FALSE())</f>
        <v>25</v>
      </c>
      <c r="F1275" s="32" t="n">
        <f aca="false">VLOOKUP($A1275,'Order Sales'!$A$2:$G$2154,F$1,FALSE())</f>
        <v>503.02</v>
      </c>
      <c r="G1275" s="32" t="str">
        <f aca="false">VLOOKUP($A1275,'Order Sales'!$A$2:$G$2154,G$1,FALSE())</f>
        <v>Consumer</v>
      </c>
    </row>
    <row r="1276" customFormat="false" ht="14.25" hidden="false" customHeight="false" outlineLevel="0" collapsed="false">
      <c r="A1276" s="1" t="n">
        <v>1394</v>
      </c>
      <c r="B1276" s="30" t="n">
        <v>43202</v>
      </c>
      <c r="C1276" s="30" t="n">
        <v>44398</v>
      </c>
      <c r="D1276" s="31" t="n">
        <f aca="false">VLOOKUP(A1276,'Order Shipping'!$A$2:$C$2000,3,FALSE())</f>
        <v>6.1</v>
      </c>
      <c r="E1276" s="32" t="n">
        <f aca="false">VLOOKUP($A1276,'Order Sales'!$A$2:$G$2154,E$1,FALSE())</f>
        <v>43</v>
      </c>
      <c r="F1276" s="32" t="n">
        <f aca="false">VLOOKUP($A1276,'Order Sales'!$A$2:$G$2154,F$1,FALSE())</f>
        <v>225.41</v>
      </c>
      <c r="G1276" s="32" t="str">
        <f aca="false">VLOOKUP($A1276,'Order Sales'!$A$2:$G$2154,G$1,FALSE())</f>
        <v>Home Office</v>
      </c>
    </row>
    <row r="1277" customFormat="false" ht="14.25" hidden="false" customHeight="false" outlineLevel="0" collapsed="false">
      <c r="A1277" s="1" t="n">
        <v>1226</v>
      </c>
      <c r="B1277" s="30" t="n">
        <v>43299</v>
      </c>
      <c r="C1277" s="30" t="n">
        <v>44399</v>
      </c>
      <c r="D1277" s="31" t="n">
        <f aca="false">VLOOKUP(A1277,'Order Shipping'!$A$2:$C$2000,3,FALSE())</f>
        <v>19.7</v>
      </c>
      <c r="E1277" s="32" t="n">
        <f aca="false">VLOOKUP($A1277,'Order Sales'!$A$2:$G$2154,E$1,FALSE())</f>
        <v>9</v>
      </c>
      <c r="F1277" s="32" t="n">
        <f aca="false">VLOOKUP($A1277,'Order Sales'!$A$2:$G$2154,F$1,FALSE())</f>
        <v>556.92</v>
      </c>
      <c r="G1277" s="32" t="str">
        <f aca="false">VLOOKUP($A1277,'Order Sales'!$A$2:$G$2154,G$1,FALSE())</f>
        <v>Small Business</v>
      </c>
    </row>
    <row r="1278" customFormat="false" ht="14.25" hidden="false" customHeight="false" outlineLevel="0" collapsed="false">
      <c r="A1278" s="1" t="n">
        <v>2701</v>
      </c>
      <c r="B1278" s="30" t="n">
        <v>43465</v>
      </c>
      <c r="C1278" s="30" t="n">
        <v>44400</v>
      </c>
      <c r="D1278" s="31" t="n">
        <f aca="false">VLOOKUP(A1278,'Order Shipping'!$A$2:$C$2000,3,FALSE())</f>
        <v>3.2</v>
      </c>
      <c r="E1278" s="32" t="n">
        <f aca="false">VLOOKUP($A1278,'Order Sales'!$A$2:$G$2154,E$1,FALSE())</f>
        <v>50</v>
      </c>
      <c r="F1278" s="32" t="n">
        <f aca="false">VLOOKUP($A1278,'Order Sales'!$A$2:$G$2154,F$1,FALSE())</f>
        <v>201.03</v>
      </c>
      <c r="G1278" s="32" t="str">
        <f aca="false">VLOOKUP($A1278,'Order Sales'!$A$2:$G$2154,G$1,FALSE())</f>
        <v>Corporate</v>
      </c>
    </row>
    <row r="1279" customFormat="false" ht="14.25" hidden="false" customHeight="false" outlineLevel="0" collapsed="false">
      <c r="A1279" s="1" t="n">
        <v>1587</v>
      </c>
      <c r="B1279" s="30" t="n">
        <v>43267</v>
      </c>
      <c r="C1279" s="30" t="n">
        <v>44401</v>
      </c>
      <c r="D1279" s="31" t="n">
        <f aca="false">VLOOKUP(A1279,'Order Shipping'!$A$2:$C$2000,3,FALSE())</f>
        <v>10.8</v>
      </c>
      <c r="E1279" s="32" t="n">
        <f aca="false">VLOOKUP($A1279,'Order Sales'!$A$2:$G$2154,E$1,FALSE())</f>
        <v>28</v>
      </c>
      <c r="F1279" s="32" t="n">
        <f aca="false">VLOOKUP($A1279,'Order Sales'!$A$2:$G$2154,F$1,FALSE())</f>
        <v>212.08</v>
      </c>
      <c r="G1279" s="32" t="str">
        <f aca="false">VLOOKUP($A1279,'Order Sales'!$A$2:$G$2154,G$1,FALSE())</f>
        <v>Consumer</v>
      </c>
    </row>
    <row r="1280" customFormat="false" ht="14.25" hidden="false" customHeight="false" outlineLevel="0" collapsed="false">
      <c r="A1280" s="1" t="n">
        <v>1699</v>
      </c>
      <c r="B1280" s="30" t="n">
        <v>43195</v>
      </c>
      <c r="C1280" s="30" t="n">
        <v>44402</v>
      </c>
      <c r="D1280" s="31" t="n">
        <f aca="false">VLOOKUP(A1280,'Order Shipping'!$A$2:$C$2000,3,FALSE())</f>
        <v>37.5</v>
      </c>
      <c r="E1280" s="32" t="n">
        <f aca="false">VLOOKUP($A1280,'Order Sales'!$A$2:$G$2154,E$1,FALSE())</f>
        <v>20</v>
      </c>
      <c r="F1280" s="32" t="n">
        <f aca="false">VLOOKUP($A1280,'Order Sales'!$A$2:$G$2154,F$1,FALSE())</f>
        <v>2383.25</v>
      </c>
      <c r="G1280" s="32" t="str">
        <f aca="false">VLOOKUP($A1280,'Order Sales'!$A$2:$G$2154,G$1,FALSE())</f>
        <v>Consumer</v>
      </c>
    </row>
    <row r="1281" customFormat="false" ht="14.25" hidden="false" customHeight="false" outlineLevel="0" collapsed="false">
      <c r="A1281" s="1" t="n">
        <v>2798</v>
      </c>
      <c r="B1281" s="30" t="n">
        <v>43272</v>
      </c>
      <c r="C1281" s="30" t="n">
        <v>44403</v>
      </c>
      <c r="D1281" s="31" t="n">
        <f aca="false">VLOOKUP(A1281,'Order Shipping'!$A$2:$C$2000,3,FALSE())</f>
        <v>4.3</v>
      </c>
      <c r="E1281" s="32" t="n">
        <f aca="false">VLOOKUP($A1281,'Order Sales'!$A$2:$G$2154,E$1,FALSE())</f>
        <v>12</v>
      </c>
      <c r="F1281" s="32" t="n">
        <f aca="false">VLOOKUP($A1281,'Order Sales'!$A$2:$G$2154,F$1,FALSE())</f>
        <v>2152.45</v>
      </c>
      <c r="G1281" s="32" t="str">
        <f aca="false">VLOOKUP($A1281,'Order Sales'!$A$2:$G$2154,G$1,FALSE())</f>
        <v>Corporate</v>
      </c>
    </row>
    <row r="1282" customFormat="false" ht="14.25" hidden="false" customHeight="false" outlineLevel="0" collapsed="false">
      <c r="A1282" s="1" t="n">
        <v>1479</v>
      </c>
      <c r="B1282" s="30" t="n">
        <v>43108</v>
      </c>
      <c r="C1282" s="30" t="n">
        <v>44404</v>
      </c>
      <c r="D1282" s="31" t="n">
        <f aca="false">VLOOKUP(A1282,'Order Shipping'!$A$2:$C$2000,3,FALSE())</f>
        <v>6.9</v>
      </c>
      <c r="E1282" s="32" t="n">
        <f aca="false">VLOOKUP($A1282,'Order Sales'!$A$2:$G$2154,E$1,FALSE())</f>
        <v>39</v>
      </c>
      <c r="F1282" s="32" t="n">
        <f aca="false">VLOOKUP($A1282,'Order Sales'!$A$2:$G$2154,F$1,FALSE())</f>
        <v>287.77</v>
      </c>
      <c r="G1282" s="32" t="str">
        <f aca="false">VLOOKUP($A1282,'Order Sales'!$A$2:$G$2154,G$1,FALSE())</f>
        <v>Corporate</v>
      </c>
    </row>
    <row r="1283" customFormat="false" ht="14.25" hidden="false" customHeight="false" outlineLevel="0" collapsed="false">
      <c r="A1283" s="1" t="n">
        <v>2305</v>
      </c>
      <c r="B1283" s="30" t="n">
        <v>43292</v>
      </c>
      <c r="C1283" s="30" t="n">
        <v>44405</v>
      </c>
      <c r="D1283" s="31" t="n">
        <f aca="false">VLOOKUP(A1283,'Order Shipping'!$A$2:$C$2000,3,FALSE())</f>
        <v>15.3</v>
      </c>
      <c r="E1283" s="32" t="n">
        <f aca="false">VLOOKUP($A1283,'Order Sales'!$A$2:$G$2154,E$1,FALSE())</f>
        <v>26</v>
      </c>
      <c r="F1283" s="32" t="n">
        <f aca="false">VLOOKUP($A1283,'Order Sales'!$A$2:$G$2154,F$1,FALSE())</f>
        <v>1553.2</v>
      </c>
      <c r="G1283" s="32" t="str">
        <f aca="false">VLOOKUP($A1283,'Order Sales'!$A$2:$G$2154,G$1,FALSE())</f>
        <v>Corporate</v>
      </c>
    </row>
    <row r="1284" customFormat="false" ht="14.25" hidden="false" customHeight="false" outlineLevel="0" collapsed="false">
      <c r="A1284" s="1" t="n">
        <v>1356</v>
      </c>
      <c r="B1284" s="30" t="n">
        <v>43221</v>
      </c>
      <c r="C1284" s="30" t="n">
        <v>44406</v>
      </c>
      <c r="D1284" s="31" t="n">
        <f aca="false">VLOOKUP(A1284,'Order Shipping'!$A$2:$C$2000,3,FALSE())</f>
        <v>2.7</v>
      </c>
      <c r="E1284" s="32" t="n">
        <f aca="false">VLOOKUP($A1284,'Order Sales'!$A$2:$G$2154,E$1,FALSE())</f>
        <v>39</v>
      </c>
      <c r="F1284" s="32" t="n">
        <f aca="false">VLOOKUP($A1284,'Order Sales'!$A$2:$G$2154,F$1,FALSE())</f>
        <v>6773.19</v>
      </c>
      <c r="G1284" s="32" t="str">
        <f aca="false">VLOOKUP($A1284,'Order Sales'!$A$2:$G$2154,G$1,FALSE())</f>
        <v>Corporate</v>
      </c>
    </row>
    <row r="1285" customFormat="false" ht="14.25" hidden="false" customHeight="false" outlineLevel="0" collapsed="false">
      <c r="A1285" s="1" t="n">
        <v>2645</v>
      </c>
      <c r="B1285" s="30" t="n">
        <v>43239</v>
      </c>
      <c r="C1285" s="30" t="n">
        <v>44407</v>
      </c>
      <c r="D1285" s="31" t="n">
        <f aca="false">VLOOKUP(A1285,'Order Shipping'!$A$2:$C$2000,3,FALSE())</f>
        <v>12.4</v>
      </c>
      <c r="E1285" s="32" t="n">
        <f aca="false">VLOOKUP($A1285,'Order Sales'!$A$2:$G$2154,E$1,FALSE())</f>
        <v>34</v>
      </c>
      <c r="F1285" s="32" t="n">
        <f aca="false">VLOOKUP($A1285,'Order Sales'!$A$2:$G$2154,F$1,FALSE())</f>
        <v>2151.65</v>
      </c>
      <c r="G1285" s="32" t="str">
        <f aca="false">VLOOKUP($A1285,'Order Sales'!$A$2:$G$2154,G$1,FALSE())</f>
        <v>Small Business</v>
      </c>
    </row>
    <row r="1286" customFormat="false" ht="14.25" hidden="false" customHeight="false" outlineLevel="0" collapsed="false">
      <c r="A1286" s="1" t="n">
        <v>2530</v>
      </c>
      <c r="B1286" s="30" t="n">
        <v>43409</v>
      </c>
      <c r="C1286" s="30" t="n">
        <v>44408</v>
      </c>
      <c r="D1286" s="31" t="n">
        <f aca="false">VLOOKUP(A1286,'Order Shipping'!$A$2:$C$2000,3,FALSE())</f>
        <v>1.3</v>
      </c>
      <c r="E1286" s="32" t="n">
        <f aca="false">VLOOKUP($A1286,'Order Sales'!$A$2:$G$2154,E$1,FALSE())</f>
        <v>26</v>
      </c>
      <c r="F1286" s="32" t="n">
        <f aca="false">VLOOKUP($A1286,'Order Sales'!$A$2:$G$2154,F$1,FALSE())</f>
        <v>1280.57</v>
      </c>
      <c r="G1286" s="32" t="str">
        <f aca="false">VLOOKUP($A1286,'Order Sales'!$A$2:$G$2154,G$1,FALSE())</f>
        <v>Small Business</v>
      </c>
    </row>
    <row r="1287" customFormat="false" ht="14.25" hidden="false" customHeight="false" outlineLevel="0" collapsed="false">
      <c r="A1287" s="1" t="n">
        <v>1494</v>
      </c>
      <c r="B1287" s="30" t="n">
        <v>43175</v>
      </c>
      <c r="C1287" s="30" t="n">
        <v>44409</v>
      </c>
      <c r="D1287" s="31" t="n">
        <f aca="false">VLOOKUP(A1287,'Order Shipping'!$A$2:$C$2000,3,FALSE())</f>
        <v>46.4</v>
      </c>
      <c r="E1287" s="32" t="n">
        <f aca="false">VLOOKUP($A1287,'Order Sales'!$A$2:$G$2154,E$1,FALSE())</f>
        <v>18</v>
      </c>
      <c r="F1287" s="32" t="n">
        <f aca="false">VLOOKUP($A1287,'Order Sales'!$A$2:$G$2154,F$1,FALSE())</f>
        <v>4927.74</v>
      </c>
      <c r="G1287" s="32" t="str">
        <f aca="false">VLOOKUP($A1287,'Order Sales'!$A$2:$G$2154,G$1,FALSE())</f>
        <v>Corporate</v>
      </c>
    </row>
    <row r="1288" customFormat="false" ht="14.25" hidden="false" customHeight="false" outlineLevel="0" collapsed="false">
      <c r="A1288" s="1" t="n">
        <v>2238</v>
      </c>
      <c r="B1288" s="30" t="n">
        <v>43190</v>
      </c>
      <c r="C1288" s="30" t="n">
        <v>44410</v>
      </c>
      <c r="D1288" s="31" t="n">
        <f aca="false">VLOOKUP(A1288,'Order Shipping'!$A$2:$C$2000,3,FALSE())</f>
        <v>5.7</v>
      </c>
      <c r="E1288" s="32" t="n">
        <f aca="false">VLOOKUP($A1288,'Order Sales'!$A$2:$G$2154,E$1,FALSE())</f>
        <v>29</v>
      </c>
      <c r="F1288" s="32" t="n">
        <f aca="false">VLOOKUP($A1288,'Order Sales'!$A$2:$G$2154,F$1,FALSE())</f>
        <v>789</v>
      </c>
      <c r="G1288" s="32" t="str">
        <f aca="false">VLOOKUP($A1288,'Order Sales'!$A$2:$G$2154,G$1,FALSE())</f>
        <v>Home Office</v>
      </c>
    </row>
    <row r="1289" customFormat="false" ht="14.25" hidden="false" customHeight="false" outlineLevel="0" collapsed="false">
      <c r="A1289" s="1" t="n">
        <v>2457</v>
      </c>
      <c r="B1289" s="30" t="n">
        <v>43249</v>
      </c>
      <c r="C1289" s="30" t="n">
        <v>44411</v>
      </c>
      <c r="D1289" s="31" t="n">
        <f aca="false">VLOOKUP(A1289,'Order Shipping'!$A$2:$C$2000,3,FALSE())</f>
        <v>1</v>
      </c>
      <c r="E1289" s="32" t="n">
        <f aca="false">VLOOKUP($A1289,'Order Sales'!$A$2:$G$2154,E$1,FALSE())</f>
        <v>50</v>
      </c>
      <c r="F1289" s="32" t="n">
        <f aca="false">VLOOKUP($A1289,'Order Sales'!$A$2:$G$2154,F$1,FALSE())</f>
        <v>301.54</v>
      </c>
      <c r="G1289" s="32" t="str">
        <f aca="false">VLOOKUP($A1289,'Order Sales'!$A$2:$G$2154,G$1,FALSE())</f>
        <v>Consumer</v>
      </c>
    </row>
    <row r="1290" customFormat="false" ht="14.25" hidden="false" customHeight="false" outlineLevel="0" collapsed="false">
      <c r="A1290" s="1" t="n">
        <v>1314</v>
      </c>
      <c r="B1290" s="30" t="n">
        <v>43121</v>
      </c>
      <c r="C1290" s="30" t="n">
        <v>44412</v>
      </c>
      <c r="D1290" s="31" t="n">
        <f aca="false">VLOOKUP(A1290,'Order Shipping'!$A$2:$C$2000,3,FALSE())</f>
        <v>1.1</v>
      </c>
      <c r="E1290" s="32" t="n">
        <f aca="false">VLOOKUP($A1290,'Order Sales'!$A$2:$G$2154,E$1,FALSE())</f>
        <v>43</v>
      </c>
      <c r="F1290" s="32" t="n">
        <f aca="false">VLOOKUP($A1290,'Order Sales'!$A$2:$G$2154,F$1,FALSE())</f>
        <v>123.92</v>
      </c>
      <c r="G1290" s="32" t="str">
        <f aca="false">VLOOKUP($A1290,'Order Sales'!$A$2:$G$2154,G$1,FALSE())</f>
        <v>Consumer</v>
      </c>
    </row>
    <row r="1291" customFormat="false" ht="14.25" hidden="false" customHeight="false" outlineLevel="0" collapsed="false">
      <c r="A1291" s="1" t="n">
        <v>1295</v>
      </c>
      <c r="B1291" s="30" t="n">
        <v>43388</v>
      </c>
      <c r="C1291" s="30" t="n">
        <v>44413</v>
      </c>
      <c r="D1291" s="31" t="n">
        <f aca="false">VLOOKUP(A1291,'Order Shipping'!$A$2:$C$2000,3,FALSE())</f>
        <v>7.8</v>
      </c>
      <c r="E1291" s="32" t="n">
        <f aca="false">VLOOKUP($A1291,'Order Sales'!$A$2:$G$2154,E$1,FALSE())</f>
        <v>29</v>
      </c>
      <c r="F1291" s="32" t="n">
        <f aca="false">VLOOKUP($A1291,'Order Sales'!$A$2:$G$2154,F$1,FALSE())</f>
        <v>168.42</v>
      </c>
      <c r="G1291" s="32" t="str">
        <f aca="false">VLOOKUP($A1291,'Order Sales'!$A$2:$G$2154,G$1,FALSE())</f>
        <v>Small Business</v>
      </c>
    </row>
    <row r="1292" customFormat="false" ht="14.25" hidden="false" customHeight="false" outlineLevel="0" collapsed="false">
      <c r="A1292" s="1" t="n">
        <v>2859</v>
      </c>
      <c r="B1292" s="30" t="n">
        <v>43452</v>
      </c>
      <c r="C1292" s="30" t="n">
        <v>44414</v>
      </c>
      <c r="D1292" s="31" t="n">
        <f aca="false">VLOOKUP(A1292,'Order Shipping'!$A$2:$C$2000,3,FALSE())</f>
        <v>15</v>
      </c>
      <c r="E1292" s="32" t="n">
        <f aca="false">VLOOKUP($A1292,'Order Sales'!$A$2:$G$2154,E$1,FALSE())</f>
        <v>31</v>
      </c>
      <c r="F1292" s="32" t="n">
        <f aca="false">VLOOKUP($A1292,'Order Sales'!$A$2:$G$2154,F$1,FALSE())</f>
        <v>3095.84</v>
      </c>
      <c r="G1292" s="32" t="str">
        <f aca="false">VLOOKUP($A1292,'Order Sales'!$A$2:$G$2154,G$1,FALSE())</f>
        <v>Corporate</v>
      </c>
    </row>
    <row r="1293" customFormat="false" ht="14.25" hidden="false" customHeight="false" outlineLevel="0" collapsed="false">
      <c r="A1293" s="1" t="n">
        <v>2394</v>
      </c>
      <c r="B1293" s="30" t="n">
        <v>43445</v>
      </c>
      <c r="C1293" s="30" t="n">
        <v>44415</v>
      </c>
      <c r="D1293" s="31" t="n">
        <f aca="false">VLOOKUP(A1293,'Order Shipping'!$A$2:$C$2000,3,FALSE())</f>
        <v>6.7</v>
      </c>
      <c r="E1293" s="32" t="n">
        <f aca="false">VLOOKUP($A1293,'Order Sales'!$A$2:$G$2154,E$1,FALSE())</f>
        <v>22</v>
      </c>
      <c r="F1293" s="32" t="n">
        <f aca="false">VLOOKUP($A1293,'Order Sales'!$A$2:$G$2154,F$1,FALSE())</f>
        <v>390.22</v>
      </c>
      <c r="G1293" s="32" t="str">
        <f aca="false">VLOOKUP($A1293,'Order Sales'!$A$2:$G$2154,G$1,FALSE())</f>
        <v>Home Office</v>
      </c>
    </row>
    <row r="1294" customFormat="false" ht="14.25" hidden="false" customHeight="false" outlineLevel="0" collapsed="false">
      <c r="A1294" s="1" t="n">
        <v>1240</v>
      </c>
      <c r="B1294" s="30" t="n">
        <v>43150</v>
      </c>
      <c r="C1294" s="30" t="n">
        <v>44416</v>
      </c>
      <c r="D1294" s="31" t="n">
        <f aca="false">VLOOKUP(A1294,'Order Shipping'!$A$2:$C$2000,3,FALSE())</f>
        <v>5.9</v>
      </c>
      <c r="E1294" s="32" t="n">
        <f aca="false">VLOOKUP($A1294,'Order Sales'!$A$2:$G$2154,E$1,FALSE())</f>
        <v>3</v>
      </c>
      <c r="F1294" s="32" t="n">
        <f aca="false">VLOOKUP($A1294,'Order Sales'!$A$2:$G$2154,F$1,FALSE())</f>
        <v>77.71</v>
      </c>
      <c r="G1294" s="32" t="str">
        <f aca="false">VLOOKUP($A1294,'Order Sales'!$A$2:$G$2154,G$1,FALSE())</f>
        <v>Small Business</v>
      </c>
    </row>
    <row r="1295" customFormat="false" ht="14.25" hidden="false" customHeight="false" outlineLevel="0" collapsed="false">
      <c r="A1295" s="1" t="n">
        <v>1572</v>
      </c>
      <c r="B1295" s="30" t="n">
        <v>43201</v>
      </c>
      <c r="C1295" s="30" t="n">
        <v>44417</v>
      </c>
      <c r="D1295" s="31" t="n">
        <f aca="false">VLOOKUP(A1295,'Order Shipping'!$A$2:$C$2000,3,FALSE())</f>
        <v>32.1</v>
      </c>
      <c r="E1295" s="32" t="n">
        <f aca="false">VLOOKUP($A1295,'Order Sales'!$A$2:$G$2154,E$1,FALSE())</f>
        <v>4</v>
      </c>
      <c r="F1295" s="32" t="n">
        <f aca="false">VLOOKUP($A1295,'Order Sales'!$A$2:$G$2154,F$1,FALSE())</f>
        <v>507.05</v>
      </c>
      <c r="G1295" s="32" t="str">
        <f aca="false">VLOOKUP($A1295,'Order Sales'!$A$2:$G$2154,G$1,FALSE())</f>
        <v>Home Office</v>
      </c>
    </row>
    <row r="1296" customFormat="false" ht="14.25" hidden="false" customHeight="false" outlineLevel="0" collapsed="false">
      <c r="A1296" s="1" t="n">
        <v>2622</v>
      </c>
      <c r="B1296" s="30" t="n">
        <v>43123</v>
      </c>
      <c r="C1296" s="30" t="n">
        <v>44418</v>
      </c>
      <c r="D1296" s="31" t="n">
        <f aca="false">VLOOKUP(A1296,'Order Shipping'!$A$2:$C$2000,3,FALSE())</f>
        <v>6.7</v>
      </c>
      <c r="E1296" s="32" t="n">
        <f aca="false">VLOOKUP($A1296,'Order Sales'!$A$2:$G$2154,E$1,FALSE())</f>
        <v>45</v>
      </c>
      <c r="F1296" s="32" t="n">
        <f aca="false">VLOOKUP($A1296,'Order Sales'!$A$2:$G$2154,F$1,FALSE())</f>
        <v>1166.94</v>
      </c>
      <c r="G1296" s="32" t="str">
        <f aca="false">VLOOKUP($A1296,'Order Sales'!$A$2:$G$2154,G$1,FALSE())</f>
        <v>Corporate</v>
      </c>
    </row>
    <row r="1297" customFormat="false" ht="14.25" hidden="false" customHeight="false" outlineLevel="0" collapsed="false">
      <c r="A1297" s="1" t="n">
        <v>1690</v>
      </c>
      <c r="B1297" s="30" t="n">
        <v>43223</v>
      </c>
      <c r="C1297" s="30" t="n">
        <v>44419</v>
      </c>
      <c r="D1297" s="31" t="n">
        <f aca="false">VLOOKUP(A1297,'Order Shipping'!$A$2:$C$2000,3,FALSE())</f>
        <v>2.1</v>
      </c>
      <c r="E1297" s="32" t="n">
        <f aca="false">VLOOKUP($A1297,'Order Sales'!$A$2:$G$2154,E$1,FALSE())</f>
        <v>43</v>
      </c>
      <c r="F1297" s="32" t="n">
        <f aca="false">VLOOKUP($A1297,'Order Sales'!$A$2:$G$2154,F$1,FALSE())</f>
        <v>110.85</v>
      </c>
      <c r="G1297" s="32" t="str">
        <f aca="false">VLOOKUP($A1297,'Order Sales'!$A$2:$G$2154,G$1,FALSE())</f>
        <v>Consumer</v>
      </c>
    </row>
    <row r="1298" customFormat="false" ht="14.25" hidden="false" customHeight="false" outlineLevel="0" collapsed="false">
      <c r="A1298" s="1" t="n">
        <v>2106</v>
      </c>
      <c r="B1298" s="30" t="n">
        <v>43221</v>
      </c>
      <c r="C1298" s="30" t="n">
        <v>44420</v>
      </c>
      <c r="D1298" s="31" t="n">
        <f aca="false">VLOOKUP(A1298,'Order Shipping'!$A$2:$C$2000,3,FALSE())</f>
        <v>5.1</v>
      </c>
      <c r="E1298" s="32" t="n">
        <f aca="false">VLOOKUP($A1298,'Order Sales'!$A$2:$G$2154,E$1,FALSE())</f>
        <v>13</v>
      </c>
      <c r="F1298" s="32" t="n">
        <f aca="false">VLOOKUP($A1298,'Order Sales'!$A$2:$G$2154,F$1,FALSE())</f>
        <v>162.79</v>
      </c>
      <c r="G1298" s="32" t="str">
        <f aca="false">VLOOKUP($A1298,'Order Sales'!$A$2:$G$2154,G$1,FALSE())</f>
        <v>Corporate</v>
      </c>
    </row>
    <row r="1299" customFormat="false" ht="14.25" hidden="false" customHeight="false" outlineLevel="0" collapsed="false">
      <c r="A1299" s="1" t="n">
        <v>2400</v>
      </c>
      <c r="B1299" s="30" t="n">
        <v>43109</v>
      </c>
      <c r="C1299" s="30" t="n">
        <v>44421</v>
      </c>
      <c r="D1299" s="31" t="n">
        <f aca="false">VLOOKUP(A1299,'Order Shipping'!$A$2:$C$2000,3,FALSE())</f>
        <v>9.4</v>
      </c>
      <c r="E1299" s="32" t="n">
        <f aca="false">VLOOKUP($A1299,'Order Sales'!$A$2:$G$2154,E$1,FALSE())</f>
        <v>26</v>
      </c>
      <c r="F1299" s="32" t="n">
        <f aca="false">VLOOKUP($A1299,'Order Sales'!$A$2:$G$2154,F$1,FALSE())</f>
        <v>1598.43</v>
      </c>
      <c r="G1299" s="32" t="str">
        <f aca="false">VLOOKUP($A1299,'Order Sales'!$A$2:$G$2154,G$1,FALSE())</f>
        <v>Small Business</v>
      </c>
    </row>
    <row r="1300" customFormat="false" ht="14.25" hidden="false" customHeight="false" outlineLevel="0" collapsed="false">
      <c r="A1300" s="1" t="n">
        <v>2405</v>
      </c>
      <c r="B1300" s="30" t="n">
        <v>43444</v>
      </c>
      <c r="C1300" s="30" t="n">
        <v>44422</v>
      </c>
      <c r="D1300" s="31" t="n">
        <f aca="false">VLOOKUP(A1300,'Order Shipping'!$A$2:$C$2000,3,FALSE())</f>
        <v>26.2</v>
      </c>
      <c r="E1300" s="32" t="n">
        <f aca="false">VLOOKUP($A1300,'Order Sales'!$A$2:$G$2154,E$1,FALSE())</f>
        <v>38</v>
      </c>
      <c r="F1300" s="32" t="n">
        <f aca="false">VLOOKUP($A1300,'Order Sales'!$A$2:$G$2154,F$1,FALSE())</f>
        <v>5912.99</v>
      </c>
      <c r="G1300" s="32" t="str">
        <f aca="false">VLOOKUP($A1300,'Order Sales'!$A$2:$G$2154,G$1,FALSE())</f>
        <v>Consumer</v>
      </c>
    </row>
    <row r="1301" customFormat="false" ht="14.25" hidden="false" customHeight="false" outlineLevel="0" collapsed="false">
      <c r="A1301" s="1" t="n">
        <v>2349</v>
      </c>
      <c r="B1301" s="30" t="n">
        <v>43205</v>
      </c>
      <c r="C1301" s="30" t="n">
        <v>44423</v>
      </c>
      <c r="D1301" s="31" t="n">
        <f aca="false">VLOOKUP(A1301,'Order Shipping'!$A$2:$C$2000,3,FALSE())</f>
        <v>6.5</v>
      </c>
      <c r="E1301" s="32" t="n">
        <f aca="false">VLOOKUP($A1301,'Order Sales'!$A$2:$G$2154,E$1,FALSE())</f>
        <v>19</v>
      </c>
      <c r="F1301" s="32" t="n">
        <f aca="false">VLOOKUP($A1301,'Order Sales'!$A$2:$G$2154,F$1,FALSE())</f>
        <v>232.93</v>
      </c>
      <c r="G1301" s="32" t="str">
        <f aca="false">VLOOKUP($A1301,'Order Sales'!$A$2:$G$2154,G$1,FALSE())</f>
        <v>Home Office</v>
      </c>
    </row>
    <row r="1302" customFormat="false" ht="14.25" hidden="false" customHeight="false" outlineLevel="0" collapsed="false">
      <c r="A1302" s="1" t="n">
        <v>2365</v>
      </c>
      <c r="B1302" s="30" t="n">
        <v>43208</v>
      </c>
      <c r="C1302" s="30" t="n">
        <v>44424</v>
      </c>
      <c r="D1302" s="31" t="n">
        <f aca="false">VLOOKUP(A1302,'Order Shipping'!$A$2:$C$2000,3,FALSE())</f>
        <v>2.1</v>
      </c>
      <c r="E1302" s="32" t="n">
        <f aca="false">VLOOKUP($A1302,'Order Sales'!$A$2:$G$2154,E$1,FALSE())</f>
        <v>19</v>
      </c>
      <c r="F1302" s="32" t="n">
        <f aca="false">VLOOKUP($A1302,'Order Sales'!$A$2:$G$2154,F$1,FALSE())</f>
        <v>63.94</v>
      </c>
      <c r="G1302" s="32" t="str">
        <f aca="false">VLOOKUP($A1302,'Order Sales'!$A$2:$G$2154,G$1,FALSE())</f>
        <v>Home Office</v>
      </c>
    </row>
    <row r="1303" customFormat="false" ht="14.25" hidden="false" customHeight="false" outlineLevel="0" collapsed="false">
      <c r="A1303" s="1" t="n">
        <v>2523</v>
      </c>
      <c r="B1303" s="30" t="n">
        <v>43156</v>
      </c>
      <c r="C1303" s="30" t="n">
        <v>44425</v>
      </c>
      <c r="D1303" s="31" t="n">
        <f aca="false">VLOOKUP(A1303,'Order Shipping'!$A$2:$C$2000,3,FALSE())</f>
        <v>8.9</v>
      </c>
      <c r="E1303" s="32" t="n">
        <f aca="false">VLOOKUP($A1303,'Order Sales'!$A$2:$G$2154,E$1,FALSE())</f>
        <v>15</v>
      </c>
      <c r="F1303" s="32" t="n">
        <f aca="false">VLOOKUP($A1303,'Order Sales'!$A$2:$G$2154,F$1,FALSE())</f>
        <v>87.71</v>
      </c>
      <c r="G1303" s="32" t="str">
        <f aca="false">VLOOKUP($A1303,'Order Sales'!$A$2:$G$2154,G$1,FALSE())</f>
        <v>Consumer</v>
      </c>
    </row>
    <row r="1304" customFormat="false" ht="14.25" hidden="false" customHeight="false" outlineLevel="0" collapsed="false">
      <c r="A1304" s="1" t="n">
        <v>2265</v>
      </c>
      <c r="B1304" s="30" t="n">
        <v>43193</v>
      </c>
      <c r="C1304" s="30" t="n">
        <v>44426</v>
      </c>
      <c r="D1304" s="31" t="n">
        <f aca="false">VLOOKUP(A1304,'Order Shipping'!$A$2:$C$2000,3,FALSE())</f>
        <v>37.5</v>
      </c>
      <c r="E1304" s="32" t="n">
        <f aca="false">VLOOKUP($A1304,'Order Sales'!$A$2:$G$2154,E$1,FALSE())</f>
        <v>46</v>
      </c>
      <c r="F1304" s="32" t="n">
        <f aca="false">VLOOKUP($A1304,'Order Sales'!$A$2:$G$2154,F$1,FALSE())</f>
        <v>3781.35</v>
      </c>
      <c r="G1304" s="32" t="str">
        <f aca="false">VLOOKUP($A1304,'Order Sales'!$A$2:$G$2154,G$1,FALSE())</f>
        <v>Home Office</v>
      </c>
    </row>
    <row r="1305" customFormat="false" ht="14.25" hidden="false" customHeight="false" outlineLevel="0" collapsed="false">
      <c r="A1305" s="1" t="n">
        <v>2063</v>
      </c>
      <c r="B1305" s="30" t="n">
        <v>43391</v>
      </c>
      <c r="C1305" s="30" t="n">
        <v>44427</v>
      </c>
      <c r="D1305" s="31" t="n">
        <f aca="false">VLOOKUP(A1305,'Order Shipping'!$A$2:$C$2000,3,FALSE())</f>
        <v>25.4</v>
      </c>
      <c r="E1305" s="32" t="n">
        <f aca="false">VLOOKUP($A1305,'Order Sales'!$A$2:$G$2154,E$1,FALSE())</f>
        <v>32</v>
      </c>
      <c r="F1305" s="32" t="n">
        <f aca="false">VLOOKUP($A1305,'Order Sales'!$A$2:$G$2154,F$1,FALSE())</f>
        <v>6937.26</v>
      </c>
      <c r="G1305" s="32" t="str">
        <f aca="false">VLOOKUP($A1305,'Order Sales'!$A$2:$G$2154,G$1,FALSE())</f>
        <v>Small Business</v>
      </c>
    </row>
    <row r="1306" customFormat="false" ht="14.25" hidden="false" customHeight="false" outlineLevel="0" collapsed="false">
      <c r="A1306" s="1" t="n">
        <v>2651</v>
      </c>
      <c r="B1306" s="30" t="n">
        <v>43169</v>
      </c>
      <c r="C1306" s="30" t="n">
        <v>44428</v>
      </c>
      <c r="D1306" s="31" t="n">
        <f aca="false">VLOOKUP(A1306,'Order Shipping'!$A$2:$C$2000,3,FALSE())</f>
        <v>37.5</v>
      </c>
      <c r="E1306" s="32" t="n">
        <f aca="false">VLOOKUP($A1306,'Order Sales'!$A$2:$G$2154,E$1,FALSE())</f>
        <v>29</v>
      </c>
      <c r="F1306" s="32" t="n">
        <f aca="false">VLOOKUP($A1306,'Order Sales'!$A$2:$G$2154,F$1,FALSE())</f>
        <v>1430.68</v>
      </c>
      <c r="G1306" s="32" t="str">
        <f aca="false">VLOOKUP($A1306,'Order Sales'!$A$2:$G$2154,G$1,FALSE())</f>
        <v>Small Business</v>
      </c>
    </row>
    <row r="1307" customFormat="false" ht="14.25" hidden="false" customHeight="false" outlineLevel="0" collapsed="false">
      <c r="A1307" s="1" t="n">
        <v>2690</v>
      </c>
      <c r="B1307" s="30" t="n">
        <v>43450</v>
      </c>
      <c r="C1307" s="30" t="n">
        <v>44429</v>
      </c>
      <c r="D1307" s="31" t="n">
        <f aca="false">VLOOKUP(A1307,'Order Shipping'!$A$2:$C$2000,3,FALSE())</f>
        <v>8</v>
      </c>
      <c r="E1307" s="32" t="n">
        <f aca="false">VLOOKUP($A1307,'Order Sales'!$A$2:$G$2154,E$1,FALSE())</f>
        <v>4</v>
      </c>
      <c r="F1307" s="32" t="n">
        <f aca="false">VLOOKUP($A1307,'Order Sales'!$A$2:$G$2154,F$1,FALSE())</f>
        <v>30.32</v>
      </c>
      <c r="G1307" s="32" t="str">
        <f aca="false">VLOOKUP($A1307,'Order Sales'!$A$2:$G$2154,G$1,FALSE())</f>
        <v>Corporate</v>
      </c>
    </row>
    <row r="1308" customFormat="false" ht="14.25" hidden="false" customHeight="false" outlineLevel="0" collapsed="false">
      <c r="A1308" s="1" t="n">
        <v>2084</v>
      </c>
      <c r="B1308" s="30" t="n">
        <v>43282</v>
      </c>
      <c r="C1308" s="30" t="n">
        <v>44430</v>
      </c>
      <c r="D1308" s="31" t="n">
        <f aca="false">VLOOKUP(A1308,'Order Shipping'!$A$2:$C$2000,3,FALSE())</f>
        <v>15.7</v>
      </c>
      <c r="E1308" s="32" t="n">
        <f aca="false">VLOOKUP($A1308,'Order Sales'!$A$2:$G$2154,E$1,FALSE())</f>
        <v>4</v>
      </c>
      <c r="F1308" s="32" t="n">
        <f aca="false">VLOOKUP($A1308,'Order Sales'!$A$2:$G$2154,F$1,FALSE())</f>
        <v>9060.42</v>
      </c>
      <c r="G1308" s="32" t="str">
        <f aca="false">VLOOKUP($A1308,'Order Sales'!$A$2:$G$2154,G$1,FALSE())</f>
        <v>Consumer</v>
      </c>
    </row>
    <row r="1309" customFormat="false" ht="14.25" hidden="false" customHeight="false" outlineLevel="0" collapsed="false">
      <c r="A1309" s="1" t="n">
        <v>2833</v>
      </c>
      <c r="B1309" s="30" t="n">
        <v>43181</v>
      </c>
      <c r="C1309" s="30" t="n">
        <v>44431</v>
      </c>
      <c r="D1309" s="31" t="n">
        <f aca="false">VLOOKUP(A1309,'Order Shipping'!$A$2:$C$2000,3,FALSE())</f>
        <v>7.8</v>
      </c>
      <c r="E1309" s="32" t="n">
        <f aca="false">VLOOKUP($A1309,'Order Sales'!$A$2:$G$2154,E$1,FALSE())</f>
        <v>31</v>
      </c>
      <c r="F1309" s="32" t="n">
        <f aca="false">VLOOKUP($A1309,'Order Sales'!$A$2:$G$2154,F$1,FALSE())</f>
        <v>314.07</v>
      </c>
      <c r="G1309" s="32" t="str">
        <f aca="false">VLOOKUP($A1309,'Order Sales'!$A$2:$G$2154,G$1,FALSE())</f>
        <v>Small Business</v>
      </c>
    </row>
    <row r="1310" customFormat="false" ht="14.25" hidden="false" customHeight="false" outlineLevel="0" collapsed="false">
      <c r="A1310" s="1" t="n">
        <v>2786</v>
      </c>
      <c r="B1310" s="30" t="n">
        <v>43394</v>
      </c>
      <c r="C1310" s="30" t="n">
        <v>44432</v>
      </c>
      <c r="D1310" s="31" t="n">
        <f aca="false">VLOOKUP(A1310,'Order Shipping'!$A$2:$C$2000,3,FALSE())</f>
        <v>1.6</v>
      </c>
      <c r="E1310" s="32" t="n">
        <f aca="false">VLOOKUP($A1310,'Order Sales'!$A$2:$G$2154,E$1,FALSE())</f>
        <v>27</v>
      </c>
      <c r="F1310" s="32" t="n">
        <f aca="false">VLOOKUP($A1310,'Order Sales'!$A$2:$G$2154,F$1,FALSE())</f>
        <v>1607.85</v>
      </c>
      <c r="G1310" s="32" t="str">
        <f aca="false">VLOOKUP($A1310,'Order Sales'!$A$2:$G$2154,G$1,FALSE())</f>
        <v>Corporate</v>
      </c>
    </row>
    <row r="1311" customFormat="false" ht="14.25" hidden="false" customHeight="false" outlineLevel="0" collapsed="false">
      <c r="A1311" s="1" t="n">
        <v>2448</v>
      </c>
      <c r="B1311" s="30" t="n">
        <v>43105</v>
      </c>
      <c r="C1311" s="30" t="n">
        <v>44433</v>
      </c>
      <c r="D1311" s="31" t="n">
        <f aca="false">VLOOKUP(A1311,'Order Shipping'!$A$2:$C$2000,3,FALSE())</f>
        <v>5.6</v>
      </c>
      <c r="E1311" s="32" t="n">
        <f aca="false">VLOOKUP($A1311,'Order Sales'!$A$2:$G$2154,E$1,FALSE())</f>
        <v>16</v>
      </c>
      <c r="F1311" s="32" t="n">
        <f aca="false">VLOOKUP($A1311,'Order Sales'!$A$2:$G$2154,F$1,FALSE())</f>
        <v>116.34</v>
      </c>
      <c r="G1311" s="32" t="str">
        <f aca="false">VLOOKUP($A1311,'Order Sales'!$A$2:$G$2154,G$1,FALSE())</f>
        <v>Small Business</v>
      </c>
    </row>
    <row r="1312" customFormat="false" ht="14.25" hidden="false" customHeight="false" outlineLevel="0" collapsed="false">
      <c r="A1312" s="1" t="n">
        <v>1636</v>
      </c>
      <c r="B1312" s="30" t="n">
        <v>43108</v>
      </c>
      <c r="C1312" s="30" t="n">
        <v>44434</v>
      </c>
      <c r="D1312" s="31" t="n">
        <f aca="false">VLOOKUP(A1312,'Order Shipping'!$A$2:$C$2000,3,FALSE())</f>
        <v>7.2</v>
      </c>
      <c r="E1312" s="32" t="n">
        <f aca="false">VLOOKUP($A1312,'Order Sales'!$A$2:$G$2154,E$1,FALSE())</f>
        <v>8</v>
      </c>
      <c r="F1312" s="32" t="n">
        <f aca="false">VLOOKUP($A1312,'Order Sales'!$A$2:$G$2154,F$1,FALSE())</f>
        <v>408.41</v>
      </c>
      <c r="G1312" s="32" t="str">
        <f aca="false">VLOOKUP($A1312,'Order Sales'!$A$2:$G$2154,G$1,FALSE())</f>
        <v>Home Office</v>
      </c>
    </row>
    <row r="1313" customFormat="false" ht="14.25" hidden="false" customHeight="false" outlineLevel="0" collapsed="false">
      <c r="A1313" s="1" t="n">
        <v>1424</v>
      </c>
      <c r="B1313" s="30" t="n">
        <v>43152</v>
      </c>
      <c r="C1313" s="30" t="n">
        <v>44435</v>
      </c>
      <c r="D1313" s="31" t="n">
        <f aca="false">VLOOKUP(A1313,'Order Shipping'!$A$2:$C$2000,3,FALSE())</f>
        <v>6.3</v>
      </c>
      <c r="E1313" s="32" t="n">
        <f aca="false">VLOOKUP($A1313,'Order Sales'!$A$2:$G$2154,E$1,FALSE())</f>
        <v>25</v>
      </c>
      <c r="F1313" s="32" t="n">
        <f aca="false">VLOOKUP($A1313,'Order Sales'!$A$2:$G$2154,F$1,FALSE())</f>
        <v>723.58</v>
      </c>
      <c r="G1313" s="32" t="str">
        <f aca="false">VLOOKUP($A1313,'Order Sales'!$A$2:$G$2154,G$1,FALSE())</f>
        <v>Home Office</v>
      </c>
    </row>
    <row r="1314" customFormat="false" ht="14.25" hidden="false" customHeight="false" outlineLevel="0" collapsed="false">
      <c r="A1314" s="1" t="n">
        <v>2220</v>
      </c>
      <c r="B1314" s="30" t="n">
        <v>43361</v>
      </c>
      <c r="C1314" s="30" t="n">
        <v>44436</v>
      </c>
      <c r="D1314" s="31" t="n">
        <f aca="false">VLOOKUP(A1314,'Order Shipping'!$A$2:$C$2000,3,FALSE())</f>
        <v>8.2</v>
      </c>
      <c r="E1314" s="32" t="n">
        <f aca="false">VLOOKUP($A1314,'Order Sales'!$A$2:$G$2154,E$1,FALSE())</f>
        <v>25</v>
      </c>
      <c r="F1314" s="32" t="n">
        <f aca="false">VLOOKUP($A1314,'Order Sales'!$A$2:$G$2154,F$1,FALSE())</f>
        <v>2797.38</v>
      </c>
      <c r="G1314" s="32" t="str">
        <f aca="false">VLOOKUP($A1314,'Order Sales'!$A$2:$G$2154,G$1,FALSE())</f>
        <v>Corporate</v>
      </c>
    </row>
    <row r="1315" customFormat="false" ht="14.25" hidden="false" customHeight="false" outlineLevel="0" collapsed="false">
      <c r="A1315" s="1" t="n">
        <v>3000</v>
      </c>
      <c r="B1315" s="30" t="n">
        <v>43250</v>
      </c>
      <c r="C1315" s="30" t="n">
        <v>44437</v>
      </c>
      <c r="D1315" s="31" t="n">
        <f aca="false">VLOOKUP(A1315,'Order Shipping'!$A$2:$C$2000,3,FALSE())</f>
        <v>6.9</v>
      </c>
      <c r="E1315" s="32" t="n">
        <f aca="false">VLOOKUP($A1315,'Order Sales'!$A$2:$G$2154,E$1,FALSE())</f>
        <v>45</v>
      </c>
      <c r="F1315" s="32" t="n">
        <f aca="false">VLOOKUP($A1315,'Order Sales'!$A$2:$G$2154,F$1,FALSE())</f>
        <v>550.9</v>
      </c>
      <c r="G1315" s="32" t="str">
        <f aca="false">VLOOKUP($A1315,'Order Sales'!$A$2:$G$2154,G$1,FALSE())</f>
        <v>Home Office</v>
      </c>
    </row>
    <row r="1316" customFormat="false" ht="14.25" hidden="false" customHeight="false" outlineLevel="0" collapsed="false">
      <c r="A1316" s="1" t="n">
        <v>1546</v>
      </c>
      <c r="B1316" s="30" t="n">
        <v>43330</v>
      </c>
      <c r="C1316" s="30" t="n">
        <v>44438</v>
      </c>
      <c r="D1316" s="31" t="n">
        <f aca="false">VLOOKUP(A1316,'Order Shipping'!$A$2:$C$2000,3,FALSE())</f>
        <v>6.2</v>
      </c>
      <c r="E1316" s="32" t="n">
        <f aca="false">VLOOKUP($A1316,'Order Sales'!$A$2:$G$2154,E$1,FALSE())</f>
        <v>34</v>
      </c>
      <c r="F1316" s="32" t="n">
        <f aca="false">VLOOKUP($A1316,'Order Sales'!$A$2:$G$2154,F$1,FALSE())</f>
        <v>723.6</v>
      </c>
      <c r="G1316" s="32" t="str">
        <f aca="false">VLOOKUP($A1316,'Order Sales'!$A$2:$G$2154,G$1,FALSE())</f>
        <v>Corporate</v>
      </c>
    </row>
    <row r="1317" customFormat="false" ht="14.25" hidden="false" customHeight="false" outlineLevel="0" collapsed="false">
      <c r="A1317" s="1" t="n">
        <v>2340</v>
      </c>
      <c r="B1317" s="30" t="n">
        <v>43148</v>
      </c>
      <c r="C1317" s="30" t="n">
        <v>44439</v>
      </c>
      <c r="D1317" s="31" t="n">
        <f aca="false">VLOOKUP(A1317,'Order Shipping'!$A$2:$C$2000,3,FALSE())</f>
        <v>0.5</v>
      </c>
      <c r="E1317" s="32" t="n">
        <f aca="false">VLOOKUP($A1317,'Order Sales'!$A$2:$G$2154,E$1,FALSE())</f>
        <v>28</v>
      </c>
      <c r="F1317" s="32" t="n">
        <f aca="false">VLOOKUP($A1317,'Order Sales'!$A$2:$G$2154,F$1,FALSE())</f>
        <v>3108.67</v>
      </c>
      <c r="G1317" s="32" t="str">
        <f aca="false">VLOOKUP($A1317,'Order Sales'!$A$2:$G$2154,G$1,FALSE())</f>
        <v>Small Business</v>
      </c>
    </row>
    <row r="1318" customFormat="false" ht="14.25" hidden="false" customHeight="false" outlineLevel="0" collapsed="false">
      <c r="A1318" s="1" t="n">
        <v>1263</v>
      </c>
      <c r="B1318" s="30" t="n">
        <v>43339</v>
      </c>
      <c r="C1318" s="30" t="n">
        <v>44440</v>
      </c>
      <c r="D1318" s="31" t="n">
        <f aca="false">VLOOKUP(A1318,'Order Shipping'!$A$2:$C$2000,3,FALSE())</f>
        <v>69.3</v>
      </c>
      <c r="E1318" s="32" t="n">
        <f aca="false">VLOOKUP($A1318,'Order Sales'!$A$2:$G$2154,E$1,FALSE())</f>
        <v>4</v>
      </c>
      <c r="F1318" s="32" t="n">
        <f aca="false">VLOOKUP($A1318,'Order Sales'!$A$2:$G$2154,F$1,FALSE())</f>
        <v>1355.39</v>
      </c>
      <c r="G1318" s="32" t="str">
        <f aca="false">VLOOKUP($A1318,'Order Sales'!$A$2:$G$2154,G$1,FALSE())</f>
        <v>Corporate</v>
      </c>
    </row>
    <row r="1319" customFormat="false" ht="14.25" hidden="false" customHeight="false" outlineLevel="0" collapsed="false">
      <c r="A1319" s="1" t="n">
        <v>1417</v>
      </c>
      <c r="B1319" s="30" t="n">
        <v>43290</v>
      </c>
      <c r="C1319" s="30" t="n">
        <v>44441</v>
      </c>
      <c r="D1319" s="31" t="n">
        <f aca="false">VLOOKUP(A1319,'Order Shipping'!$A$2:$C$2000,3,FALSE())</f>
        <v>2.1</v>
      </c>
      <c r="E1319" s="32" t="n">
        <f aca="false">VLOOKUP($A1319,'Order Sales'!$A$2:$G$2154,E$1,FALSE())</f>
        <v>37</v>
      </c>
      <c r="F1319" s="32" t="n">
        <f aca="false">VLOOKUP($A1319,'Order Sales'!$A$2:$G$2154,F$1,FALSE())</f>
        <v>796.08</v>
      </c>
      <c r="G1319" s="32" t="str">
        <f aca="false">VLOOKUP($A1319,'Order Sales'!$A$2:$G$2154,G$1,FALSE())</f>
        <v>Corporate</v>
      </c>
    </row>
    <row r="1320" customFormat="false" ht="14.25" hidden="false" customHeight="false" outlineLevel="0" collapsed="false">
      <c r="A1320" s="1" t="n">
        <v>1582</v>
      </c>
      <c r="B1320" s="30" t="n">
        <v>43199</v>
      </c>
      <c r="C1320" s="30" t="n">
        <v>44442</v>
      </c>
      <c r="D1320" s="31" t="n">
        <f aca="false">VLOOKUP(A1320,'Order Shipping'!$A$2:$C$2000,3,FALSE())</f>
        <v>9.4</v>
      </c>
      <c r="E1320" s="32" t="n">
        <f aca="false">VLOOKUP($A1320,'Order Sales'!$A$2:$G$2154,E$1,FALSE())</f>
        <v>12</v>
      </c>
      <c r="F1320" s="32" t="n">
        <f aca="false">VLOOKUP($A1320,'Order Sales'!$A$2:$G$2154,F$1,FALSE())</f>
        <v>424.46</v>
      </c>
      <c r="G1320" s="32" t="str">
        <f aca="false">VLOOKUP($A1320,'Order Sales'!$A$2:$G$2154,G$1,FALSE())</f>
        <v>Corporate</v>
      </c>
    </row>
    <row r="1321" customFormat="false" ht="14.25" hidden="false" customHeight="false" outlineLevel="0" collapsed="false">
      <c r="A1321" s="1" t="n">
        <v>1437</v>
      </c>
      <c r="B1321" s="30" t="n">
        <v>43427</v>
      </c>
      <c r="C1321" s="30" t="n">
        <v>44443</v>
      </c>
      <c r="D1321" s="31" t="n">
        <f aca="false">VLOOKUP(A1321,'Order Shipping'!$A$2:$C$2000,3,FALSE())</f>
        <v>4.8</v>
      </c>
      <c r="E1321" s="32" t="n">
        <f aca="false">VLOOKUP($A1321,'Order Sales'!$A$2:$G$2154,E$1,FALSE())</f>
        <v>49</v>
      </c>
      <c r="F1321" s="32" t="n">
        <f aca="false">VLOOKUP($A1321,'Order Sales'!$A$2:$G$2154,F$1,FALSE())</f>
        <v>1227.97</v>
      </c>
      <c r="G1321" s="32" t="str">
        <f aca="false">VLOOKUP($A1321,'Order Sales'!$A$2:$G$2154,G$1,FALSE())</f>
        <v>Corporate</v>
      </c>
    </row>
    <row r="1322" customFormat="false" ht="14.25" hidden="false" customHeight="false" outlineLevel="0" collapsed="false">
      <c r="A1322" s="1" t="n">
        <v>2008</v>
      </c>
      <c r="B1322" s="30" t="n">
        <v>43337</v>
      </c>
      <c r="C1322" s="30" t="n">
        <v>44444</v>
      </c>
      <c r="D1322" s="31" t="n">
        <f aca="false">VLOOKUP(A1322,'Order Shipping'!$A$2:$C$2000,3,FALSE())</f>
        <v>57.9</v>
      </c>
      <c r="E1322" s="32" t="n">
        <f aca="false">VLOOKUP($A1322,'Order Sales'!$A$2:$G$2154,E$1,FALSE())</f>
        <v>34</v>
      </c>
      <c r="F1322" s="32" t="n">
        <f aca="false">VLOOKUP($A1322,'Order Sales'!$A$2:$G$2154,F$1,FALSE())</f>
        <v>8192.25</v>
      </c>
      <c r="G1322" s="32" t="str">
        <f aca="false">VLOOKUP($A1322,'Order Sales'!$A$2:$G$2154,G$1,FALSE())</f>
        <v>Corporate</v>
      </c>
    </row>
    <row r="1323" customFormat="false" ht="14.25" hidden="false" customHeight="false" outlineLevel="0" collapsed="false">
      <c r="A1323" s="1" t="n">
        <v>2848</v>
      </c>
      <c r="B1323" s="30" t="n">
        <v>43183</v>
      </c>
      <c r="C1323" s="30" t="n">
        <v>44445</v>
      </c>
      <c r="D1323" s="31" t="n">
        <f aca="false">VLOOKUP(A1323,'Order Shipping'!$A$2:$C$2000,3,FALSE())</f>
        <v>4.3</v>
      </c>
      <c r="E1323" s="32" t="n">
        <f aca="false">VLOOKUP($A1323,'Order Sales'!$A$2:$G$2154,E$1,FALSE())</f>
        <v>26</v>
      </c>
      <c r="F1323" s="32" t="n">
        <f aca="false">VLOOKUP($A1323,'Order Sales'!$A$2:$G$2154,F$1,FALSE())</f>
        <v>452.76</v>
      </c>
      <c r="G1323" s="32" t="str">
        <f aca="false">VLOOKUP($A1323,'Order Sales'!$A$2:$G$2154,G$1,FALSE())</f>
        <v>Corporate</v>
      </c>
    </row>
    <row r="1324" customFormat="false" ht="14.25" hidden="false" customHeight="false" outlineLevel="0" collapsed="false">
      <c r="A1324" s="1" t="n">
        <v>2175</v>
      </c>
      <c r="B1324" s="30" t="n">
        <v>43179</v>
      </c>
      <c r="C1324" s="30" t="n">
        <v>44446</v>
      </c>
      <c r="D1324" s="31" t="n">
        <f aca="false">VLOOKUP(A1324,'Order Shipping'!$A$2:$C$2000,3,FALSE())</f>
        <v>4.3</v>
      </c>
      <c r="E1324" s="32" t="n">
        <f aca="false">VLOOKUP($A1324,'Order Sales'!$A$2:$G$2154,E$1,FALSE())</f>
        <v>7</v>
      </c>
      <c r="F1324" s="32" t="n">
        <f aca="false">VLOOKUP($A1324,'Order Sales'!$A$2:$G$2154,F$1,FALSE())</f>
        <v>436.42</v>
      </c>
      <c r="G1324" s="32" t="str">
        <f aca="false">VLOOKUP($A1324,'Order Sales'!$A$2:$G$2154,G$1,FALSE())</f>
        <v>Corporate</v>
      </c>
    </row>
    <row r="1325" customFormat="false" ht="14.25" hidden="false" customHeight="false" outlineLevel="0" collapsed="false">
      <c r="A1325" s="1" t="n">
        <v>1278</v>
      </c>
      <c r="B1325" s="30" t="n">
        <v>43331</v>
      </c>
      <c r="C1325" s="30" t="n">
        <v>44447</v>
      </c>
      <c r="D1325" s="31" t="n">
        <f aca="false">VLOOKUP(A1325,'Order Shipping'!$A$2:$C$2000,3,FALSE())</f>
        <v>6.7</v>
      </c>
      <c r="E1325" s="32" t="n">
        <f aca="false">VLOOKUP($A1325,'Order Sales'!$A$2:$G$2154,E$1,FALSE())</f>
        <v>15</v>
      </c>
      <c r="F1325" s="32" t="n">
        <f aca="false">VLOOKUP($A1325,'Order Sales'!$A$2:$G$2154,F$1,FALSE())</f>
        <v>180.72</v>
      </c>
      <c r="G1325" s="32" t="str">
        <f aca="false">VLOOKUP($A1325,'Order Sales'!$A$2:$G$2154,G$1,FALSE())</f>
        <v>Consumer</v>
      </c>
    </row>
    <row r="1326" customFormat="false" ht="14.25" hidden="false" customHeight="false" outlineLevel="0" collapsed="false">
      <c r="A1326" s="1" t="n">
        <v>1846</v>
      </c>
      <c r="B1326" s="30" t="n">
        <v>43115</v>
      </c>
      <c r="C1326" s="30" t="n">
        <v>44448</v>
      </c>
      <c r="D1326" s="31" t="n">
        <f aca="false">VLOOKUP(A1326,'Order Shipping'!$A$2:$C$2000,3,FALSE())</f>
        <v>0.5</v>
      </c>
      <c r="E1326" s="32" t="n">
        <f aca="false">VLOOKUP($A1326,'Order Sales'!$A$2:$G$2154,E$1,FALSE())</f>
        <v>12</v>
      </c>
      <c r="F1326" s="32" t="n">
        <f aca="false">VLOOKUP($A1326,'Order Sales'!$A$2:$G$2154,F$1,FALSE())</f>
        <v>48.82</v>
      </c>
      <c r="G1326" s="32" t="str">
        <f aca="false">VLOOKUP($A1326,'Order Sales'!$A$2:$G$2154,G$1,FALSE())</f>
        <v>Small Business</v>
      </c>
    </row>
    <row r="1327" customFormat="false" ht="14.25" hidden="false" customHeight="false" outlineLevel="0" collapsed="false">
      <c r="A1327" s="1" t="n">
        <v>2752</v>
      </c>
      <c r="B1327" s="30" t="n">
        <v>43264</v>
      </c>
      <c r="C1327" s="30" t="n">
        <v>44449</v>
      </c>
      <c r="D1327" s="31" t="n">
        <f aca="false">VLOOKUP(A1327,'Order Shipping'!$A$2:$C$2000,3,FALSE())</f>
        <v>4.3</v>
      </c>
      <c r="E1327" s="32" t="n">
        <f aca="false">VLOOKUP($A1327,'Order Sales'!$A$2:$G$2154,E$1,FALSE())</f>
        <v>14</v>
      </c>
      <c r="F1327" s="32" t="n">
        <f aca="false">VLOOKUP($A1327,'Order Sales'!$A$2:$G$2154,F$1,FALSE())</f>
        <v>2215.63</v>
      </c>
      <c r="G1327" s="32" t="str">
        <f aca="false">VLOOKUP($A1327,'Order Sales'!$A$2:$G$2154,G$1,FALSE())</f>
        <v>Home Office</v>
      </c>
    </row>
    <row r="1328" customFormat="false" ht="14.25" hidden="false" customHeight="false" outlineLevel="0" collapsed="false">
      <c r="A1328" s="1" t="n">
        <v>2130</v>
      </c>
      <c r="B1328" s="30" t="n">
        <v>43140</v>
      </c>
      <c r="C1328" s="30" t="n">
        <v>44450</v>
      </c>
      <c r="D1328" s="31" t="n">
        <f aca="false">VLOOKUP(A1328,'Order Shipping'!$A$2:$C$2000,3,FALSE())</f>
        <v>21.4</v>
      </c>
      <c r="E1328" s="32" t="n">
        <f aca="false">VLOOKUP($A1328,'Order Sales'!$A$2:$G$2154,E$1,FALSE())</f>
        <v>4</v>
      </c>
      <c r="F1328" s="32" t="n">
        <f aca="false">VLOOKUP($A1328,'Order Sales'!$A$2:$G$2154,F$1,FALSE())</f>
        <v>577.61</v>
      </c>
      <c r="G1328" s="32" t="str">
        <f aca="false">VLOOKUP($A1328,'Order Sales'!$A$2:$G$2154,G$1,FALSE())</f>
        <v>Small Business</v>
      </c>
    </row>
    <row r="1329" customFormat="false" ht="14.25" hidden="false" customHeight="false" outlineLevel="0" collapsed="false">
      <c r="A1329" s="1" t="n">
        <v>1598</v>
      </c>
      <c r="B1329" s="30" t="n">
        <v>43219</v>
      </c>
      <c r="C1329" s="30" t="n">
        <v>44451</v>
      </c>
      <c r="D1329" s="31" t="n">
        <f aca="false">VLOOKUP(A1329,'Order Shipping'!$A$2:$C$2000,3,FALSE())</f>
        <v>4.3</v>
      </c>
      <c r="E1329" s="32" t="n">
        <f aca="false">VLOOKUP($A1329,'Order Sales'!$A$2:$G$2154,E$1,FALSE())</f>
        <v>33</v>
      </c>
      <c r="F1329" s="32" t="n">
        <f aca="false">VLOOKUP($A1329,'Order Sales'!$A$2:$G$2154,F$1,FALSE())</f>
        <v>364.84</v>
      </c>
      <c r="G1329" s="32" t="str">
        <f aca="false">VLOOKUP($A1329,'Order Sales'!$A$2:$G$2154,G$1,FALSE())</f>
        <v>Corporate</v>
      </c>
    </row>
    <row r="1330" customFormat="false" ht="14.25" hidden="false" customHeight="false" outlineLevel="0" collapsed="false">
      <c r="A1330" s="1" t="n">
        <v>1469</v>
      </c>
      <c r="B1330" s="30" t="n">
        <v>43245</v>
      </c>
      <c r="C1330" s="30" t="n">
        <v>44452</v>
      </c>
      <c r="D1330" s="31" t="n">
        <f aca="false">VLOOKUP(A1330,'Order Shipping'!$A$2:$C$2000,3,FALSE())</f>
        <v>4</v>
      </c>
      <c r="E1330" s="32" t="n">
        <f aca="false">VLOOKUP($A1330,'Order Sales'!$A$2:$G$2154,E$1,FALSE())</f>
        <v>44</v>
      </c>
      <c r="F1330" s="32" t="n">
        <f aca="false">VLOOKUP($A1330,'Order Sales'!$A$2:$G$2154,F$1,FALSE())</f>
        <v>881.28</v>
      </c>
      <c r="G1330" s="32" t="str">
        <f aca="false">VLOOKUP($A1330,'Order Sales'!$A$2:$G$2154,G$1,FALSE())</f>
        <v>Corporate</v>
      </c>
    </row>
    <row r="1331" customFormat="false" ht="14.25" hidden="false" customHeight="false" outlineLevel="0" collapsed="false">
      <c r="A1331" s="1" t="n">
        <v>1910</v>
      </c>
      <c r="B1331" s="30" t="n">
        <v>43130</v>
      </c>
      <c r="C1331" s="30" t="n">
        <v>44453</v>
      </c>
      <c r="D1331" s="31" t="n">
        <f aca="false">VLOOKUP(A1331,'Order Shipping'!$A$2:$C$2000,3,FALSE())</f>
        <v>15</v>
      </c>
      <c r="E1331" s="32" t="n">
        <f aca="false">VLOOKUP($A1331,'Order Sales'!$A$2:$G$2154,E$1,FALSE())</f>
        <v>3</v>
      </c>
      <c r="F1331" s="32" t="n">
        <f aca="false">VLOOKUP($A1331,'Order Sales'!$A$2:$G$2154,F$1,FALSE())</f>
        <v>337.34</v>
      </c>
      <c r="G1331" s="32" t="str">
        <f aca="false">VLOOKUP($A1331,'Order Sales'!$A$2:$G$2154,G$1,FALSE())</f>
        <v>Small Business</v>
      </c>
    </row>
    <row r="1332" customFormat="false" ht="14.25" hidden="false" customHeight="false" outlineLevel="0" collapsed="false">
      <c r="A1332" s="1" t="n">
        <v>2759</v>
      </c>
      <c r="B1332" s="30" t="n">
        <v>43365</v>
      </c>
      <c r="C1332" s="30" t="n">
        <v>44454</v>
      </c>
      <c r="D1332" s="31" t="n">
        <f aca="false">VLOOKUP(A1332,'Order Shipping'!$A$2:$C$2000,3,FALSE())</f>
        <v>9.6</v>
      </c>
      <c r="E1332" s="32" t="n">
        <f aca="false">VLOOKUP($A1332,'Order Sales'!$A$2:$G$2154,E$1,FALSE())</f>
        <v>41</v>
      </c>
      <c r="F1332" s="32" t="n">
        <f aca="false">VLOOKUP($A1332,'Order Sales'!$A$2:$G$2154,F$1,FALSE())</f>
        <v>808.05</v>
      </c>
      <c r="G1332" s="32" t="str">
        <f aca="false">VLOOKUP($A1332,'Order Sales'!$A$2:$G$2154,G$1,FALSE())</f>
        <v>Home Office</v>
      </c>
    </row>
    <row r="1333" customFormat="false" ht="14.25" hidden="false" customHeight="false" outlineLevel="0" collapsed="false">
      <c r="A1333" s="1" t="n">
        <v>2463</v>
      </c>
      <c r="B1333" s="30" t="n">
        <v>43384</v>
      </c>
      <c r="C1333" s="30" t="n">
        <v>44455</v>
      </c>
      <c r="D1333" s="31" t="n">
        <f aca="false">VLOOKUP(A1333,'Order Shipping'!$A$2:$C$2000,3,FALSE())</f>
        <v>6.7</v>
      </c>
      <c r="E1333" s="32" t="n">
        <f aca="false">VLOOKUP($A1333,'Order Sales'!$A$2:$G$2154,E$1,FALSE())</f>
        <v>15</v>
      </c>
      <c r="F1333" s="32" t="n">
        <f aca="false">VLOOKUP($A1333,'Order Sales'!$A$2:$G$2154,F$1,FALSE())</f>
        <v>642.86</v>
      </c>
      <c r="G1333" s="32" t="str">
        <f aca="false">VLOOKUP($A1333,'Order Sales'!$A$2:$G$2154,G$1,FALSE())</f>
        <v>Home Office</v>
      </c>
    </row>
    <row r="1334" customFormat="false" ht="14.25" hidden="false" customHeight="false" outlineLevel="0" collapsed="false">
      <c r="A1334" s="1" t="n">
        <v>1707</v>
      </c>
      <c r="B1334" s="30" t="n">
        <v>43429</v>
      </c>
      <c r="C1334" s="30" t="n">
        <v>44456</v>
      </c>
      <c r="D1334" s="31" t="n">
        <f aca="false">VLOOKUP(A1334,'Order Shipping'!$A$2:$C$2000,3,FALSE())</f>
        <v>52.4</v>
      </c>
      <c r="E1334" s="32" t="n">
        <f aca="false">VLOOKUP($A1334,'Order Sales'!$A$2:$G$2154,E$1,FALSE())</f>
        <v>26</v>
      </c>
      <c r="F1334" s="32" t="n">
        <f aca="false">VLOOKUP($A1334,'Order Sales'!$A$2:$G$2154,F$1,FALSE())</f>
        <v>1691.21</v>
      </c>
      <c r="G1334" s="32" t="str">
        <f aca="false">VLOOKUP($A1334,'Order Sales'!$A$2:$G$2154,G$1,FALSE())</f>
        <v>Corporate</v>
      </c>
    </row>
    <row r="1335" customFormat="false" ht="14.25" hidden="false" customHeight="false" outlineLevel="0" collapsed="false">
      <c r="A1335" s="1" t="n">
        <v>2276</v>
      </c>
      <c r="B1335" s="30" t="n">
        <v>43250</v>
      </c>
      <c r="C1335" s="30" t="n">
        <v>44457</v>
      </c>
      <c r="D1335" s="31" t="n">
        <f aca="false">VLOOKUP(A1335,'Order Shipping'!$A$2:$C$2000,3,FALSE())</f>
        <v>6.1</v>
      </c>
      <c r="E1335" s="32" t="n">
        <f aca="false">VLOOKUP($A1335,'Order Sales'!$A$2:$G$2154,E$1,FALSE())</f>
        <v>17</v>
      </c>
      <c r="F1335" s="32" t="n">
        <f aca="false">VLOOKUP($A1335,'Order Sales'!$A$2:$G$2154,F$1,FALSE())</f>
        <v>129.57</v>
      </c>
      <c r="G1335" s="32" t="str">
        <f aca="false">VLOOKUP($A1335,'Order Sales'!$A$2:$G$2154,G$1,FALSE())</f>
        <v>Home Office</v>
      </c>
    </row>
    <row r="1336" customFormat="false" ht="14.25" hidden="false" customHeight="false" outlineLevel="0" collapsed="false">
      <c r="A1336" s="1" t="n">
        <v>1750</v>
      </c>
      <c r="B1336" s="30" t="n">
        <v>43357</v>
      </c>
      <c r="C1336" s="30" t="n">
        <v>44458</v>
      </c>
      <c r="D1336" s="31" t="n">
        <f aca="false">VLOOKUP(A1336,'Order Shipping'!$A$2:$C$2000,3,FALSE())</f>
        <v>21.4</v>
      </c>
      <c r="E1336" s="32" t="n">
        <f aca="false">VLOOKUP($A1336,'Order Sales'!$A$2:$G$2154,E$1,FALSE())</f>
        <v>8</v>
      </c>
      <c r="F1336" s="32" t="n">
        <f aca="false">VLOOKUP($A1336,'Order Sales'!$A$2:$G$2154,F$1,FALSE())</f>
        <v>366.23</v>
      </c>
      <c r="G1336" s="32" t="str">
        <f aca="false">VLOOKUP($A1336,'Order Sales'!$A$2:$G$2154,G$1,FALSE())</f>
        <v>Consumer</v>
      </c>
    </row>
    <row r="1337" customFormat="false" ht="14.25" hidden="false" customHeight="false" outlineLevel="0" collapsed="false">
      <c r="A1337" s="1" t="n">
        <v>1486</v>
      </c>
      <c r="B1337" s="30" t="n">
        <v>43236</v>
      </c>
      <c r="C1337" s="30" t="n">
        <v>44459</v>
      </c>
      <c r="D1337" s="31" t="n">
        <f aca="false">VLOOKUP(A1337,'Order Shipping'!$A$2:$C$2000,3,FALSE())</f>
        <v>2.6</v>
      </c>
      <c r="E1337" s="32" t="n">
        <f aca="false">VLOOKUP($A1337,'Order Sales'!$A$2:$G$2154,E$1,FALSE())</f>
        <v>26</v>
      </c>
      <c r="F1337" s="32" t="n">
        <f aca="false">VLOOKUP($A1337,'Order Sales'!$A$2:$G$2154,F$1,FALSE())</f>
        <v>69.77</v>
      </c>
      <c r="G1337" s="32" t="str">
        <f aca="false">VLOOKUP($A1337,'Order Sales'!$A$2:$G$2154,G$1,FALSE())</f>
        <v>Home Office</v>
      </c>
    </row>
    <row r="1338" customFormat="false" ht="14.25" hidden="false" customHeight="false" outlineLevel="0" collapsed="false">
      <c r="A1338" s="1" t="n">
        <v>1496</v>
      </c>
      <c r="B1338" s="30" t="n">
        <v>43420</v>
      </c>
      <c r="C1338" s="30" t="n">
        <v>44460</v>
      </c>
      <c r="D1338" s="31" t="n">
        <f aca="false">VLOOKUP(A1338,'Order Shipping'!$A$2:$C$2000,3,FALSE())</f>
        <v>21.4</v>
      </c>
      <c r="E1338" s="32" t="n">
        <f aca="false">VLOOKUP($A1338,'Order Sales'!$A$2:$G$2154,E$1,FALSE())</f>
        <v>3</v>
      </c>
      <c r="F1338" s="32" t="n">
        <f aca="false">VLOOKUP($A1338,'Order Sales'!$A$2:$G$2154,F$1,FALSE())</f>
        <v>3832.23</v>
      </c>
      <c r="G1338" s="32" t="str">
        <f aca="false">VLOOKUP($A1338,'Order Sales'!$A$2:$G$2154,G$1,FALSE())</f>
        <v>Home Office</v>
      </c>
    </row>
    <row r="1339" customFormat="false" ht="14.25" hidden="false" customHeight="false" outlineLevel="0" collapsed="false">
      <c r="A1339" s="1" t="n">
        <v>1952</v>
      </c>
      <c r="B1339" s="30" t="n">
        <v>43158</v>
      </c>
      <c r="C1339" s="30" t="n">
        <v>44461</v>
      </c>
      <c r="D1339" s="31" t="n">
        <f aca="false">VLOOKUP(A1339,'Order Shipping'!$A$2:$C$2000,3,FALSE())</f>
        <v>3.6</v>
      </c>
      <c r="E1339" s="32" t="n">
        <f aca="false">VLOOKUP($A1339,'Order Sales'!$A$2:$G$2154,E$1,FALSE())</f>
        <v>5</v>
      </c>
      <c r="F1339" s="32" t="n">
        <f aca="false">VLOOKUP($A1339,'Order Sales'!$A$2:$G$2154,F$1,FALSE())</f>
        <v>63.94</v>
      </c>
      <c r="G1339" s="32" t="str">
        <f aca="false">VLOOKUP($A1339,'Order Sales'!$A$2:$G$2154,G$1,FALSE())</f>
        <v>Small Business</v>
      </c>
    </row>
    <row r="1340" customFormat="false" ht="14.25" hidden="false" customHeight="false" outlineLevel="0" collapsed="false">
      <c r="A1340" s="1" t="n">
        <v>1117</v>
      </c>
      <c r="B1340" s="30" t="n">
        <v>43294</v>
      </c>
      <c r="C1340" s="30" t="n">
        <v>44462</v>
      </c>
      <c r="D1340" s="31" t="n">
        <f aca="false">VLOOKUP(A1340,'Order Shipping'!$A$2:$C$2000,3,FALSE())</f>
        <v>4.3</v>
      </c>
      <c r="E1340" s="32" t="n">
        <f aca="false">VLOOKUP($A1340,'Order Sales'!$A$2:$G$2154,E$1,FALSE())</f>
        <v>6</v>
      </c>
      <c r="F1340" s="32" t="n">
        <f aca="false">VLOOKUP($A1340,'Order Sales'!$A$2:$G$2154,F$1,FALSE())</f>
        <v>98.46</v>
      </c>
      <c r="G1340" s="32" t="str">
        <f aca="false">VLOOKUP($A1340,'Order Sales'!$A$2:$G$2154,G$1,FALSE())</f>
        <v>Home Office</v>
      </c>
    </row>
    <row r="1341" customFormat="false" ht="14.25" hidden="false" customHeight="false" outlineLevel="0" collapsed="false">
      <c r="A1341" s="1" t="n">
        <v>1912</v>
      </c>
      <c r="B1341" s="30" t="n">
        <v>43323</v>
      </c>
      <c r="C1341" s="30" t="n">
        <v>44463</v>
      </c>
      <c r="D1341" s="31" t="n">
        <f aca="false">VLOOKUP(A1341,'Order Shipping'!$A$2:$C$2000,3,FALSE())</f>
        <v>15</v>
      </c>
      <c r="E1341" s="32" t="n">
        <f aca="false">VLOOKUP($A1341,'Order Sales'!$A$2:$G$2154,E$1,FALSE())</f>
        <v>16</v>
      </c>
      <c r="F1341" s="32" t="n">
        <f aca="false">VLOOKUP($A1341,'Order Sales'!$A$2:$G$2154,F$1,FALSE())</f>
        <v>2815.28</v>
      </c>
      <c r="G1341" s="32" t="str">
        <f aca="false">VLOOKUP($A1341,'Order Sales'!$A$2:$G$2154,G$1,FALSE())</f>
        <v>Corporate</v>
      </c>
    </row>
    <row r="1342" customFormat="false" ht="14.25" hidden="false" customHeight="false" outlineLevel="0" collapsed="false">
      <c r="A1342" s="1" t="n">
        <v>1130</v>
      </c>
      <c r="B1342" s="30" t="n">
        <v>43176</v>
      </c>
      <c r="C1342" s="30" t="n">
        <v>44464</v>
      </c>
      <c r="D1342" s="31" t="n">
        <f aca="false">VLOOKUP(A1342,'Order Shipping'!$A$2:$C$2000,3,FALSE())</f>
        <v>15</v>
      </c>
      <c r="E1342" s="32" t="n">
        <f aca="false">VLOOKUP($A1342,'Order Sales'!$A$2:$G$2154,E$1,FALSE())</f>
        <v>18</v>
      </c>
      <c r="F1342" s="32" t="n">
        <f aca="false">VLOOKUP($A1342,'Order Sales'!$A$2:$G$2154,F$1,FALSE())</f>
        <v>1639.17</v>
      </c>
      <c r="G1342" s="32" t="str">
        <f aca="false">VLOOKUP($A1342,'Order Sales'!$A$2:$G$2154,G$1,FALSE())</f>
        <v>Home Office</v>
      </c>
    </row>
    <row r="1343" customFormat="false" ht="14.25" hidden="false" customHeight="false" outlineLevel="0" collapsed="false">
      <c r="A1343" s="1" t="n">
        <v>1534</v>
      </c>
      <c r="B1343" s="30" t="n">
        <v>43373</v>
      </c>
      <c r="C1343" s="30" t="n">
        <v>44465</v>
      </c>
      <c r="D1343" s="31" t="n">
        <f aca="false">VLOOKUP(A1343,'Order Shipping'!$A$2:$C$2000,3,FALSE())</f>
        <v>46.6</v>
      </c>
      <c r="E1343" s="32" t="n">
        <f aca="false">VLOOKUP($A1343,'Order Sales'!$A$2:$G$2154,E$1,FALSE())</f>
        <v>26</v>
      </c>
      <c r="F1343" s="32" t="n">
        <f aca="false">VLOOKUP($A1343,'Order Sales'!$A$2:$G$2154,F$1,FALSE())</f>
        <v>7240.54</v>
      </c>
      <c r="G1343" s="32" t="str">
        <f aca="false">VLOOKUP($A1343,'Order Sales'!$A$2:$G$2154,G$1,FALSE())</f>
        <v>Home Office</v>
      </c>
    </row>
    <row r="1344" customFormat="false" ht="14.25" hidden="false" customHeight="false" outlineLevel="0" collapsed="false">
      <c r="A1344" s="1" t="n">
        <v>1860</v>
      </c>
      <c r="B1344" s="30" t="n">
        <v>43296</v>
      </c>
      <c r="C1344" s="30" t="n">
        <v>44466</v>
      </c>
      <c r="D1344" s="31" t="n">
        <f aca="false">VLOOKUP(A1344,'Order Shipping'!$A$2:$C$2000,3,FALSE())</f>
        <v>1.1</v>
      </c>
      <c r="E1344" s="32" t="n">
        <f aca="false">VLOOKUP($A1344,'Order Sales'!$A$2:$G$2154,E$1,FALSE())</f>
        <v>42</v>
      </c>
      <c r="F1344" s="32" t="n">
        <f aca="false">VLOOKUP($A1344,'Order Sales'!$A$2:$G$2154,F$1,FALSE())</f>
        <v>76.31</v>
      </c>
      <c r="G1344" s="32" t="str">
        <f aca="false">VLOOKUP($A1344,'Order Sales'!$A$2:$G$2154,G$1,FALSE())</f>
        <v>Corporate</v>
      </c>
    </row>
    <row r="1345" customFormat="false" ht="14.25" hidden="false" customHeight="false" outlineLevel="0" collapsed="false">
      <c r="A1345" s="1" t="n">
        <v>2252</v>
      </c>
      <c r="B1345" s="30" t="n">
        <v>43461</v>
      </c>
      <c r="C1345" s="30" t="n">
        <v>44467</v>
      </c>
      <c r="D1345" s="31" t="n">
        <f aca="false">VLOOKUP(A1345,'Order Shipping'!$A$2:$C$2000,3,FALSE())</f>
        <v>6.2</v>
      </c>
      <c r="E1345" s="32" t="n">
        <f aca="false">VLOOKUP($A1345,'Order Sales'!$A$2:$G$2154,E$1,FALSE())</f>
        <v>32</v>
      </c>
      <c r="F1345" s="32" t="n">
        <f aca="false">VLOOKUP($A1345,'Order Sales'!$A$2:$G$2154,F$1,FALSE())</f>
        <v>1048.67</v>
      </c>
      <c r="G1345" s="32" t="str">
        <f aca="false">VLOOKUP($A1345,'Order Sales'!$A$2:$G$2154,G$1,FALSE())</f>
        <v>Corporate</v>
      </c>
    </row>
    <row r="1346" customFormat="false" ht="14.25" hidden="false" customHeight="false" outlineLevel="0" collapsed="false">
      <c r="A1346" s="1" t="n">
        <v>1962</v>
      </c>
      <c r="B1346" s="30" t="n">
        <v>43413</v>
      </c>
      <c r="C1346" s="30" t="n">
        <v>44468</v>
      </c>
      <c r="D1346" s="31" t="n">
        <f aca="false">VLOOKUP(A1346,'Order Shipping'!$A$2:$C$2000,3,FALSE())</f>
        <v>2.7</v>
      </c>
      <c r="E1346" s="32" t="n">
        <f aca="false">VLOOKUP($A1346,'Order Sales'!$A$2:$G$2154,E$1,FALSE())</f>
        <v>35</v>
      </c>
      <c r="F1346" s="32" t="n">
        <f aca="false">VLOOKUP($A1346,'Order Sales'!$A$2:$G$2154,F$1,FALSE())</f>
        <v>3542.71</v>
      </c>
      <c r="G1346" s="32" t="str">
        <f aca="false">VLOOKUP($A1346,'Order Sales'!$A$2:$G$2154,G$1,FALSE())</f>
        <v>Corporate</v>
      </c>
    </row>
    <row r="1347" customFormat="false" ht="14.25" hidden="false" customHeight="false" outlineLevel="0" collapsed="false">
      <c r="A1347" s="1" t="n">
        <v>2886</v>
      </c>
      <c r="B1347" s="30" t="n">
        <v>43325</v>
      </c>
      <c r="C1347" s="30" t="n">
        <v>44469</v>
      </c>
      <c r="D1347" s="31" t="n">
        <f aca="false">VLOOKUP(A1347,'Order Shipping'!$A$2:$C$2000,3,FALSE())</f>
        <v>5.2</v>
      </c>
      <c r="E1347" s="32" t="n">
        <f aca="false">VLOOKUP($A1347,'Order Sales'!$A$2:$G$2154,E$1,FALSE())</f>
        <v>9</v>
      </c>
      <c r="F1347" s="32" t="n">
        <f aca="false">VLOOKUP($A1347,'Order Sales'!$A$2:$G$2154,F$1,FALSE())</f>
        <v>78.16</v>
      </c>
      <c r="G1347" s="32" t="str">
        <f aca="false">VLOOKUP($A1347,'Order Sales'!$A$2:$G$2154,G$1,FALSE())</f>
        <v>Consumer</v>
      </c>
    </row>
    <row r="1348" customFormat="false" ht="14.25" hidden="false" customHeight="false" outlineLevel="0" collapsed="false">
      <c r="A1348" s="1" t="n">
        <v>1696</v>
      </c>
      <c r="B1348" s="30" t="n">
        <v>43240</v>
      </c>
      <c r="C1348" s="30" t="n">
        <v>44470</v>
      </c>
      <c r="D1348" s="31" t="n">
        <f aca="false">VLOOKUP(A1348,'Order Shipping'!$A$2:$C$2000,3,FALSE())</f>
        <v>2.1</v>
      </c>
      <c r="E1348" s="32" t="n">
        <f aca="false">VLOOKUP($A1348,'Order Sales'!$A$2:$G$2154,E$1,FALSE())</f>
        <v>40</v>
      </c>
      <c r="F1348" s="32" t="n">
        <f aca="false">VLOOKUP($A1348,'Order Sales'!$A$2:$G$2154,F$1,FALSE())</f>
        <v>298.32</v>
      </c>
      <c r="G1348" s="32" t="str">
        <f aca="false">VLOOKUP($A1348,'Order Sales'!$A$2:$G$2154,G$1,FALSE())</f>
        <v>Home Office</v>
      </c>
    </row>
    <row r="1349" customFormat="false" ht="14.25" hidden="false" customHeight="false" outlineLevel="0" collapsed="false">
      <c r="A1349" s="1" t="n">
        <v>1492</v>
      </c>
      <c r="B1349" s="30" t="n">
        <v>43126</v>
      </c>
      <c r="C1349" s="30" t="n">
        <v>44471</v>
      </c>
      <c r="D1349" s="31" t="n">
        <f aca="false">VLOOKUP(A1349,'Order Shipping'!$A$2:$C$2000,3,FALSE())</f>
        <v>1.2</v>
      </c>
      <c r="E1349" s="32" t="n">
        <f aca="false">VLOOKUP($A1349,'Order Sales'!$A$2:$G$2154,E$1,FALSE())</f>
        <v>35</v>
      </c>
      <c r="F1349" s="32" t="n">
        <f aca="false">VLOOKUP($A1349,'Order Sales'!$A$2:$G$2154,F$1,FALSE())</f>
        <v>87.9</v>
      </c>
      <c r="G1349" s="32" t="str">
        <f aca="false">VLOOKUP($A1349,'Order Sales'!$A$2:$G$2154,G$1,FALSE())</f>
        <v>Home Office</v>
      </c>
    </row>
    <row r="1350" customFormat="false" ht="14.25" hidden="false" customHeight="false" outlineLevel="0" collapsed="false">
      <c r="A1350" s="1" t="n">
        <v>2753</v>
      </c>
      <c r="B1350" s="30" t="n">
        <v>43264</v>
      </c>
      <c r="C1350" s="30" t="n">
        <v>44472</v>
      </c>
      <c r="D1350" s="31" t="n">
        <f aca="false">VLOOKUP(A1350,'Order Shipping'!$A$2:$C$2000,3,FALSE())</f>
        <v>5.2</v>
      </c>
      <c r="E1350" s="32" t="n">
        <f aca="false">VLOOKUP($A1350,'Order Sales'!$A$2:$G$2154,E$1,FALSE())</f>
        <v>15</v>
      </c>
      <c r="F1350" s="32" t="n">
        <f aca="false">VLOOKUP($A1350,'Order Sales'!$A$2:$G$2154,F$1,FALSE())</f>
        <v>817.62</v>
      </c>
      <c r="G1350" s="32" t="str">
        <f aca="false">VLOOKUP($A1350,'Order Sales'!$A$2:$G$2154,G$1,FALSE())</f>
        <v>Home Office</v>
      </c>
    </row>
    <row r="1351" customFormat="false" ht="14.25" hidden="false" customHeight="false" outlineLevel="0" collapsed="false">
      <c r="A1351" s="1" t="n">
        <v>1844</v>
      </c>
      <c r="B1351" s="30" t="n">
        <v>43163</v>
      </c>
      <c r="C1351" s="30" t="n">
        <v>44473</v>
      </c>
      <c r="D1351" s="31" t="n">
        <f aca="false">VLOOKUP(A1351,'Order Shipping'!$A$2:$C$2000,3,FALSE())</f>
        <v>15.8</v>
      </c>
      <c r="E1351" s="32" t="n">
        <f aca="false">VLOOKUP($A1351,'Order Sales'!$A$2:$G$2154,E$1,FALSE())</f>
        <v>23</v>
      </c>
      <c r="F1351" s="32" t="n">
        <f aca="false">VLOOKUP($A1351,'Order Sales'!$A$2:$G$2154,F$1,FALSE())</f>
        <v>923.02</v>
      </c>
      <c r="G1351" s="32" t="str">
        <f aca="false">VLOOKUP($A1351,'Order Sales'!$A$2:$G$2154,G$1,FALSE())</f>
        <v>Corporate</v>
      </c>
    </row>
    <row r="1352" customFormat="false" ht="14.25" hidden="false" customHeight="false" outlineLevel="0" collapsed="false">
      <c r="A1352" s="1" t="n">
        <v>1814</v>
      </c>
      <c r="B1352" s="30" t="n">
        <v>43181</v>
      </c>
      <c r="C1352" s="30" t="n">
        <v>44474</v>
      </c>
      <c r="D1352" s="31" t="n">
        <f aca="false">VLOOKUP(A1352,'Order Shipping'!$A$2:$C$2000,3,FALSE())</f>
        <v>9.6</v>
      </c>
      <c r="E1352" s="32" t="n">
        <f aca="false">VLOOKUP($A1352,'Order Sales'!$A$2:$G$2154,E$1,FALSE())</f>
        <v>6</v>
      </c>
      <c r="F1352" s="32" t="n">
        <f aca="false">VLOOKUP($A1352,'Order Sales'!$A$2:$G$2154,F$1,FALSE())</f>
        <v>153.84</v>
      </c>
      <c r="G1352" s="32" t="str">
        <f aca="false">VLOOKUP($A1352,'Order Sales'!$A$2:$G$2154,G$1,FALSE())</f>
        <v>Corporate</v>
      </c>
    </row>
    <row r="1353" customFormat="false" ht="14.25" hidden="false" customHeight="false" outlineLevel="0" collapsed="false">
      <c r="A1353" s="1" t="n">
        <v>1199</v>
      </c>
      <c r="B1353" s="30" t="n">
        <v>43200</v>
      </c>
      <c r="C1353" s="30" t="n">
        <v>44475</v>
      </c>
      <c r="D1353" s="31" t="n">
        <f aca="false">VLOOKUP(A1353,'Order Shipping'!$A$2:$C$2000,3,FALSE())</f>
        <v>4.3</v>
      </c>
      <c r="E1353" s="32" t="n">
        <f aca="false">VLOOKUP($A1353,'Order Sales'!$A$2:$G$2154,E$1,FALSE())</f>
        <v>44</v>
      </c>
      <c r="F1353" s="32" t="n">
        <f aca="false">VLOOKUP($A1353,'Order Sales'!$A$2:$G$2154,F$1,FALSE())</f>
        <v>2614.38</v>
      </c>
      <c r="G1353" s="32" t="str">
        <f aca="false">VLOOKUP($A1353,'Order Sales'!$A$2:$G$2154,G$1,FALSE())</f>
        <v>Home Office</v>
      </c>
    </row>
    <row r="1354" customFormat="false" ht="14.25" hidden="false" customHeight="false" outlineLevel="0" collapsed="false">
      <c r="A1354" s="1" t="n">
        <v>1593</v>
      </c>
      <c r="B1354" s="30" t="n">
        <v>43170</v>
      </c>
      <c r="C1354" s="30" t="n">
        <v>44476</v>
      </c>
      <c r="D1354" s="31" t="n">
        <f aca="false">VLOOKUP(A1354,'Order Shipping'!$A$2:$C$2000,3,FALSE())</f>
        <v>5.5</v>
      </c>
      <c r="E1354" s="32" t="n">
        <f aca="false">VLOOKUP($A1354,'Order Sales'!$A$2:$G$2154,E$1,FALSE())</f>
        <v>42</v>
      </c>
      <c r="F1354" s="32" t="n">
        <f aca="false">VLOOKUP($A1354,'Order Sales'!$A$2:$G$2154,F$1,FALSE())</f>
        <v>482.91</v>
      </c>
      <c r="G1354" s="32" t="str">
        <f aca="false">VLOOKUP($A1354,'Order Sales'!$A$2:$G$2154,G$1,FALSE())</f>
        <v>Corporate</v>
      </c>
    </row>
    <row r="1355" customFormat="false" ht="14.25" hidden="false" customHeight="false" outlineLevel="0" collapsed="false">
      <c r="A1355" s="1" t="n">
        <v>1540</v>
      </c>
      <c r="B1355" s="30" t="n">
        <v>43209</v>
      </c>
      <c r="C1355" s="30" t="n">
        <v>44477</v>
      </c>
      <c r="D1355" s="31" t="n">
        <f aca="false">VLOOKUP(A1355,'Order Shipping'!$A$2:$C$2000,3,FALSE())</f>
        <v>7.4</v>
      </c>
      <c r="E1355" s="32" t="n">
        <f aca="false">VLOOKUP($A1355,'Order Sales'!$A$2:$G$2154,E$1,FALSE())</f>
        <v>44</v>
      </c>
      <c r="F1355" s="32" t="n">
        <f aca="false">VLOOKUP($A1355,'Order Sales'!$A$2:$G$2154,F$1,FALSE())</f>
        <v>323.77</v>
      </c>
      <c r="G1355" s="32" t="str">
        <f aca="false">VLOOKUP($A1355,'Order Sales'!$A$2:$G$2154,G$1,FALSE())</f>
        <v>Home Office</v>
      </c>
    </row>
    <row r="1356" customFormat="false" ht="14.25" hidden="false" customHeight="false" outlineLevel="0" collapsed="false">
      <c r="A1356" s="1" t="n">
        <v>1057</v>
      </c>
      <c r="B1356" s="30" t="n">
        <v>43237</v>
      </c>
      <c r="C1356" s="30" t="n">
        <v>44478</v>
      </c>
      <c r="D1356" s="31" t="n">
        <f aca="false">VLOOKUP(A1356,'Order Shipping'!$A$2:$C$2000,3,FALSE())</f>
        <v>6</v>
      </c>
      <c r="E1356" s="32" t="n">
        <f aca="false">VLOOKUP($A1356,'Order Sales'!$A$2:$G$2154,E$1,FALSE())</f>
        <v>44</v>
      </c>
      <c r="F1356" s="32" t="n">
        <f aca="false">VLOOKUP($A1356,'Order Sales'!$A$2:$G$2154,F$1,FALSE())</f>
        <v>560.06</v>
      </c>
      <c r="G1356" s="32" t="str">
        <f aca="false">VLOOKUP($A1356,'Order Sales'!$A$2:$G$2154,G$1,FALSE())</f>
        <v>Consumer</v>
      </c>
    </row>
    <row r="1357" customFormat="false" ht="14.25" hidden="false" customHeight="false" outlineLevel="0" collapsed="false">
      <c r="A1357" s="1" t="n">
        <v>1434</v>
      </c>
      <c r="B1357" s="30" t="n">
        <v>43376</v>
      </c>
      <c r="C1357" s="30" t="n">
        <v>44479</v>
      </c>
      <c r="D1357" s="31" t="n">
        <f aca="false">VLOOKUP(A1357,'Order Shipping'!$A$2:$C$2000,3,FALSE())</f>
        <v>5</v>
      </c>
      <c r="E1357" s="32" t="n">
        <f aca="false">VLOOKUP($A1357,'Order Sales'!$A$2:$G$2154,E$1,FALSE())</f>
        <v>46</v>
      </c>
      <c r="F1357" s="32" t="n">
        <f aca="false">VLOOKUP($A1357,'Order Sales'!$A$2:$G$2154,F$1,FALSE())</f>
        <v>491.41</v>
      </c>
      <c r="G1357" s="32" t="str">
        <f aca="false">VLOOKUP($A1357,'Order Sales'!$A$2:$G$2154,G$1,FALSE())</f>
        <v>Small Business</v>
      </c>
    </row>
    <row r="1358" customFormat="false" ht="14.25" hidden="false" customHeight="false" outlineLevel="0" collapsed="false">
      <c r="A1358" s="1" t="n">
        <v>1043</v>
      </c>
      <c r="B1358" s="30" t="n">
        <v>43103</v>
      </c>
      <c r="C1358" s="30" t="n">
        <v>44480</v>
      </c>
      <c r="D1358" s="31" t="n">
        <f aca="false">VLOOKUP(A1358,'Order Shipping'!$A$2:$C$2000,3,FALSE())</f>
        <v>10.1</v>
      </c>
      <c r="E1358" s="32" t="n">
        <f aca="false">VLOOKUP($A1358,'Order Sales'!$A$2:$G$2154,E$1,FALSE())</f>
        <v>2</v>
      </c>
      <c r="F1358" s="32" t="n">
        <f aca="false">VLOOKUP($A1358,'Order Sales'!$A$2:$G$2154,F$1,FALSE())</f>
        <v>41.2</v>
      </c>
      <c r="G1358" s="32" t="str">
        <f aca="false">VLOOKUP($A1358,'Order Sales'!$A$2:$G$2154,G$1,FALSE())</f>
        <v>Corporate</v>
      </c>
    </row>
    <row r="1359" customFormat="false" ht="14.25" hidden="false" customHeight="false" outlineLevel="0" collapsed="false">
      <c r="A1359" s="1" t="n">
        <v>1104</v>
      </c>
      <c r="B1359" s="30" t="n">
        <v>43332</v>
      </c>
      <c r="C1359" s="30" t="n">
        <v>44481</v>
      </c>
      <c r="D1359" s="31" t="n">
        <f aca="false">VLOOKUP(A1359,'Order Shipping'!$A$2:$C$2000,3,FALSE())</f>
        <v>2.1</v>
      </c>
      <c r="E1359" s="32" t="n">
        <f aca="false">VLOOKUP($A1359,'Order Sales'!$A$2:$G$2154,E$1,FALSE())</f>
        <v>9</v>
      </c>
      <c r="F1359" s="32" t="n">
        <f aca="false">VLOOKUP($A1359,'Order Sales'!$A$2:$G$2154,F$1,FALSE())</f>
        <v>381.69</v>
      </c>
      <c r="G1359" s="32" t="str">
        <f aca="false">VLOOKUP($A1359,'Order Sales'!$A$2:$G$2154,G$1,FALSE())</f>
        <v>Consumer</v>
      </c>
    </row>
    <row r="1360" customFormat="false" ht="14.25" hidden="false" customHeight="false" outlineLevel="0" collapsed="false">
      <c r="A1360" s="1" t="n">
        <v>1681</v>
      </c>
      <c r="B1360" s="30" t="n">
        <v>43257</v>
      </c>
      <c r="C1360" s="30" t="n">
        <v>44482</v>
      </c>
      <c r="D1360" s="31" t="n">
        <f aca="false">VLOOKUP(A1360,'Order Shipping'!$A$2:$C$2000,3,FALSE())</f>
        <v>10.6</v>
      </c>
      <c r="E1360" s="32" t="n">
        <f aca="false">VLOOKUP($A1360,'Order Sales'!$A$2:$G$2154,E$1,FALSE())</f>
        <v>46</v>
      </c>
      <c r="F1360" s="32" t="n">
        <f aca="false">VLOOKUP($A1360,'Order Sales'!$A$2:$G$2154,F$1,FALSE())</f>
        <v>428.52</v>
      </c>
      <c r="G1360" s="32" t="str">
        <f aca="false">VLOOKUP($A1360,'Order Sales'!$A$2:$G$2154,G$1,FALSE())</f>
        <v>Consumer</v>
      </c>
    </row>
    <row r="1361" customFormat="false" ht="14.25" hidden="false" customHeight="false" outlineLevel="0" collapsed="false">
      <c r="A1361" s="1" t="n">
        <v>1562</v>
      </c>
      <c r="B1361" s="30" t="n">
        <v>43332</v>
      </c>
      <c r="C1361" s="30" t="n">
        <v>44483</v>
      </c>
      <c r="D1361" s="31" t="n">
        <f aca="false">VLOOKUP(A1361,'Order Shipping'!$A$2:$C$2000,3,FALSE())</f>
        <v>2.5</v>
      </c>
      <c r="E1361" s="32" t="n">
        <f aca="false">VLOOKUP($A1361,'Order Sales'!$A$2:$G$2154,E$1,FALSE())</f>
        <v>33</v>
      </c>
      <c r="F1361" s="32" t="n">
        <f aca="false">VLOOKUP($A1361,'Order Sales'!$A$2:$G$2154,F$1,FALSE())</f>
        <v>266.94</v>
      </c>
      <c r="G1361" s="32" t="str">
        <f aca="false">VLOOKUP($A1361,'Order Sales'!$A$2:$G$2154,G$1,FALSE())</f>
        <v>Small Business</v>
      </c>
    </row>
    <row r="1362" customFormat="false" ht="14.25" hidden="false" customHeight="false" outlineLevel="0" collapsed="false">
      <c r="A1362" s="1" t="n">
        <v>1514</v>
      </c>
      <c r="B1362" s="30" t="n">
        <v>43443</v>
      </c>
      <c r="C1362" s="30" t="n">
        <v>44484</v>
      </c>
      <c r="D1362" s="31" t="n">
        <f aca="false">VLOOKUP(A1362,'Order Shipping'!$A$2:$C$2000,3,FALSE())</f>
        <v>39.2</v>
      </c>
      <c r="E1362" s="32" t="n">
        <f aca="false">VLOOKUP($A1362,'Order Sales'!$A$2:$G$2154,E$1,FALSE())</f>
        <v>15</v>
      </c>
      <c r="F1362" s="32" t="n">
        <f aca="false">VLOOKUP($A1362,'Order Sales'!$A$2:$G$2154,F$1,FALSE())</f>
        <v>1017.67</v>
      </c>
      <c r="G1362" s="32" t="str">
        <f aca="false">VLOOKUP($A1362,'Order Sales'!$A$2:$G$2154,G$1,FALSE())</f>
        <v>Consumer</v>
      </c>
    </row>
    <row r="1363" customFormat="false" ht="14.25" hidden="false" customHeight="false" outlineLevel="0" collapsed="false">
      <c r="A1363" s="1" t="n">
        <v>2844</v>
      </c>
      <c r="B1363" s="30" t="n">
        <v>43173</v>
      </c>
      <c r="C1363" s="30" t="n">
        <v>44485</v>
      </c>
      <c r="D1363" s="31" t="n">
        <f aca="false">VLOOKUP(A1363,'Order Shipping'!$A$2:$C$2000,3,FALSE())</f>
        <v>13.5</v>
      </c>
      <c r="E1363" s="32" t="n">
        <f aca="false">VLOOKUP($A1363,'Order Sales'!$A$2:$G$2154,E$1,FALSE())</f>
        <v>50</v>
      </c>
      <c r="F1363" s="32" t="n">
        <f aca="false">VLOOKUP($A1363,'Order Sales'!$A$2:$G$2154,F$1,FALSE())</f>
        <v>6801.65</v>
      </c>
      <c r="G1363" s="32" t="str">
        <f aca="false">VLOOKUP($A1363,'Order Sales'!$A$2:$G$2154,G$1,FALSE())</f>
        <v>Home Office</v>
      </c>
    </row>
    <row r="1364" customFormat="false" ht="14.25" hidden="false" customHeight="false" outlineLevel="0" collapsed="false">
      <c r="A1364" s="1" t="n">
        <v>1243</v>
      </c>
      <c r="B1364" s="30" t="n">
        <v>43197</v>
      </c>
      <c r="C1364" s="30" t="n">
        <v>44486</v>
      </c>
      <c r="D1364" s="31" t="n">
        <f aca="false">VLOOKUP(A1364,'Order Shipping'!$A$2:$C$2000,3,FALSE())</f>
        <v>21.4</v>
      </c>
      <c r="E1364" s="32" t="n">
        <f aca="false">VLOOKUP($A1364,'Order Sales'!$A$2:$G$2154,E$1,FALSE())</f>
        <v>32</v>
      </c>
      <c r="F1364" s="32" t="n">
        <f aca="false">VLOOKUP($A1364,'Order Sales'!$A$2:$G$2154,F$1,FALSE())</f>
        <v>1221.27</v>
      </c>
      <c r="G1364" s="32" t="str">
        <f aca="false">VLOOKUP($A1364,'Order Sales'!$A$2:$G$2154,G$1,FALSE())</f>
        <v>Small Business</v>
      </c>
    </row>
    <row r="1365" customFormat="false" ht="14.25" hidden="false" customHeight="false" outlineLevel="0" collapsed="false">
      <c r="A1365" s="1" t="n">
        <v>2320</v>
      </c>
      <c r="B1365" s="30" t="n">
        <v>43450</v>
      </c>
      <c r="C1365" s="30" t="n">
        <v>44487</v>
      </c>
      <c r="D1365" s="31" t="n">
        <f aca="false">VLOOKUP(A1365,'Order Shipping'!$A$2:$C$2000,3,FALSE())</f>
        <v>9.8</v>
      </c>
      <c r="E1365" s="32" t="n">
        <f aca="false">VLOOKUP($A1365,'Order Sales'!$A$2:$G$2154,E$1,FALSE())</f>
        <v>33</v>
      </c>
      <c r="F1365" s="32" t="n">
        <f aca="false">VLOOKUP($A1365,'Order Sales'!$A$2:$G$2154,F$1,FALSE())</f>
        <v>1373.54</v>
      </c>
      <c r="G1365" s="32" t="str">
        <f aca="false">VLOOKUP($A1365,'Order Sales'!$A$2:$G$2154,G$1,FALSE())</f>
        <v>Small Business</v>
      </c>
    </row>
    <row r="1366" customFormat="false" ht="14.25" hidden="false" customHeight="false" outlineLevel="0" collapsed="false">
      <c r="A1366" s="1" t="n">
        <v>2372</v>
      </c>
      <c r="B1366" s="30" t="n">
        <v>43381</v>
      </c>
      <c r="C1366" s="30" t="n">
        <v>44488</v>
      </c>
      <c r="D1366" s="31" t="n">
        <f aca="false">VLOOKUP(A1366,'Order Shipping'!$A$2:$C$2000,3,FALSE())</f>
        <v>14.1</v>
      </c>
      <c r="E1366" s="32" t="n">
        <f aca="false">VLOOKUP($A1366,'Order Sales'!$A$2:$G$2154,E$1,FALSE())</f>
        <v>21</v>
      </c>
      <c r="F1366" s="32" t="n">
        <f aca="false">VLOOKUP($A1366,'Order Sales'!$A$2:$G$2154,F$1,FALSE())</f>
        <v>1308.73</v>
      </c>
      <c r="G1366" s="32" t="str">
        <f aca="false">VLOOKUP($A1366,'Order Sales'!$A$2:$G$2154,G$1,FALSE())</f>
        <v>Consumer</v>
      </c>
    </row>
    <row r="1367" customFormat="false" ht="14.25" hidden="false" customHeight="false" outlineLevel="0" collapsed="false">
      <c r="A1367" s="1" t="n">
        <v>2047</v>
      </c>
      <c r="B1367" s="30" t="n">
        <v>43209</v>
      </c>
      <c r="C1367" s="30" t="n">
        <v>44489</v>
      </c>
      <c r="D1367" s="31" t="n">
        <f aca="false">VLOOKUP(A1367,'Order Shipping'!$A$2:$C$2000,3,FALSE())</f>
        <v>10.9</v>
      </c>
      <c r="E1367" s="32" t="n">
        <f aca="false">VLOOKUP($A1367,'Order Sales'!$A$2:$G$2154,E$1,FALSE())</f>
        <v>4</v>
      </c>
      <c r="F1367" s="32" t="n">
        <f aca="false">VLOOKUP($A1367,'Order Sales'!$A$2:$G$2154,F$1,FALSE())</f>
        <v>46.32</v>
      </c>
      <c r="G1367" s="32" t="str">
        <f aca="false">VLOOKUP($A1367,'Order Sales'!$A$2:$G$2154,G$1,FALSE())</f>
        <v>Small Business</v>
      </c>
    </row>
    <row r="1368" customFormat="false" ht="14.25" hidden="false" customHeight="false" outlineLevel="0" collapsed="false">
      <c r="A1368" s="1" t="n">
        <v>1913</v>
      </c>
      <c r="B1368" s="30" t="n">
        <v>43323</v>
      </c>
      <c r="C1368" s="30" t="n">
        <v>44490</v>
      </c>
      <c r="D1368" s="31" t="n">
        <f aca="false">VLOOKUP(A1368,'Order Shipping'!$A$2:$C$2000,3,FALSE())</f>
        <v>105.9</v>
      </c>
      <c r="E1368" s="32" t="n">
        <f aca="false">VLOOKUP($A1368,'Order Sales'!$A$2:$G$2154,E$1,FALSE())</f>
        <v>48</v>
      </c>
      <c r="F1368" s="32" t="n">
        <f aca="false">VLOOKUP($A1368,'Order Sales'!$A$2:$G$2154,F$1,FALSE())</f>
        <v>19511.95</v>
      </c>
      <c r="G1368" s="32" t="str">
        <f aca="false">VLOOKUP($A1368,'Order Sales'!$A$2:$G$2154,G$1,FALSE())</f>
        <v>Corporate</v>
      </c>
    </row>
    <row r="1369" customFormat="false" ht="14.25" hidden="false" customHeight="false" outlineLevel="0" collapsed="false">
      <c r="A1369" s="1" t="n">
        <v>1996</v>
      </c>
      <c r="B1369" s="30" t="n">
        <v>43428</v>
      </c>
      <c r="C1369" s="30" t="n">
        <v>44491</v>
      </c>
      <c r="D1369" s="31" t="n">
        <f aca="false">VLOOKUP(A1369,'Order Shipping'!$A$2:$C$2000,3,FALSE())</f>
        <v>21.4</v>
      </c>
      <c r="E1369" s="32" t="n">
        <f aca="false">VLOOKUP($A1369,'Order Sales'!$A$2:$G$2154,E$1,FALSE())</f>
        <v>49</v>
      </c>
      <c r="F1369" s="32" t="n">
        <f aca="false">VLOOKUP($A1369,'Order Sales'!$A$2:$G$2154,F$1,FALSE())</f>
        <v>20677.96</v>
      </c>
      <c r="G1369" s="32" t="str">
        <f aca="false">VLOOKUP($A1369,'Order Sales'!$A$2:$G$2154,G$1,FALSE())</f>
        <v>Small Business</v>
      </c>
    </row>
    <row r="1370" customFormat="false" ht="14.25" hidden="false" customHeight="false" outlineLevel="0" collapsed="false">
      <c r="A1370" s="1" t="n">
        <v>1685</v>
      </c>
      <c r="B1370" s="30" t="n">
        <v>43113</v>
      </c>
      <c r="C1370" s="30" t="n">
        <v>44492</v>
      </c>
      <c r="D1370" s="31" t="n">
        <f aca="false">VLOOKUP(A1370,'Order Shipping'!$A$2:$C$2000,3,FALSE())</f>
        <v>64.4</v>
      </c>
      <c r="E1370" s="32" t="n">
        <f aca="false">VLOOKUP($A1370,'Order Sales'!$A$2:$G$2154,E$1,FALSE())</f>
        <v>35</v>
      </c>
      <c r="F1370" s="32" t="n">
        <f aca="false">VLOOKUP($A1370,'Order Sales'!$A$2:$G$2154,F$1,FALSE())</f>
        <v>5808.48</v>
      </c>
      <c r="G1370" s="32" t="str">
        <f aca="false">VLOOKUP($A1370,'Order Sales'!$A$2:$G$2154,G$1,FALSE())</f>
        <v>Corporate</v>
      </c>
    </row>
    <row r="1371" customFormat="false" ht="14.25" hidden="false" customHeight="false" outlineLevel="0" collapsed="false">
      <c r="A1371" s="1" t="n">
        <v>1363</v>
      </c>
      <c r="B1371" s="30" t="n">
        <v>43415</v>
      </c>
      <c r="C1371" s="30" t="n">
        <v>44493</v>
      </c>
      <c r="D1371" s="31" t="n">
        <f aca="false">VLOOKUP(A1371,'Order Shipping'!$A$2:$C$2000,3,FALSE())</f>
        <v>9.1</v>
      </c>
      <c r="E1371" s="32" t="n">
        <f aca="false">VLOOKUP($A1371,'Order Sales'!$A$2:$G$2154,E$1,FALSE())</f>
        <v>9</v>
      </c>
      <c r="F1371" s="32" t="n">
        <f aca="false">VLOOKUP($A1371,'Order Sales'!$A$2:$G$2154,F$1,FALSE())</f>
        <v>194.38</v>
      </c>
      <c r="G1371" s="32" t="str">
        <f aca="false">VLOOKUP($A1371,'Order Sales'!$A$2:$G$2154,G$1,FALSE())</f>
        <v>Small Business</v>
      </c>
    </row>
    <row r="1372" customFormat="false" ht="14.25" hidden="false" customHeight="false" outlineLevel="0" collapsed="false">
      <c r="A1372" s="1" t="n">
        <v>2570</v>
      </c>
      <c r="B1372" s="30" t="n">
        <v>43328</v>
      </c>
      <c r="C1372" s="30" t="n">
        <v>44494</v>
      </c>
      <c r="D1372" s="31" t="n">
        <f aca="false">VLOOKUP(A1372,'Order Shipping'!$A$2:$C$2000,3,FALSE())</f>
        <v>1.6</v>
      </c>
      <c r="E1372" s="32" t="n">
        <f aca="false">VLOOKUP($A1372,'Order Sales'!$A$2:$G$2154,E$1,FALSE())</f>
        <v>10</v>
      </c>
      <c r="F1372" s="32" t="n">
        <f aca="false">VLOOKUP($A1372,'Order Sales'!$A$2:$G$2154,F$1,FALSE())</f>
        <v>211.01</v>
      </c>
      <c r="G1372" s="32" t="str">
        <f aca="false">VLOOKUP($A1372,'Order Sales'!$A$2:$G$2154,G$1,FALSE())</f>
        <v>Home Office</v>
      </c>
    </row>
    <row r="1373" customFormat="false" ht="14.25" hidden="false" customHeight="false" outlineLevel="0" collapsed="false">
      <c r="A1373" s="1" t="n">
        <v>2550</v>
      </c>
      <c r="B1373" s="30" t="n">
        <v>43375</v>
      </c>
      <c r="C1373" s="30" t="n">
        <v>44495</v>
      </c>
      <c r="D1373" s="31" t="n">
        <f aca="false">VLOOKUP(A1373,'Order Shipping'!$A$2:$C$2000,3,FALSE())</f>
        <v>32.1</v>
      </c>
      <c r="E1373" s="32" t="n">
        <f aca="false">VLOOKUP($A1373,'Order Sales'!$A$2:$G$2154,E$1,FALSE())</f>
        <v>11</v>
      </c>
      <c r="F1373" s="32" t="n">
        <f aca="false">VLOOKUP($A1373,'Order Sales'!$A$2:$G$2154,F$1,FALSE())</f>
        <v>1582.68</v>
      </c>
      <c r="G1373" s="32" t="str">
        <f aca="false">VLOOKUP($A1373,'Order Sales'!$A$2:$G$2154,G$1,FALSE())</f>
        <v>Corporate</v>
      </c>
    </row>
    <row r="1374" customFormat="false" ht="14.25" hidden="false" customHeight="false" outlineLevel="0" collapsed="false">
      <c r="A1374" s="1" t="n">
        <v>1510</v>
      </c>
      <c r="B1374" s="30" t="n">
        <v>43202</v>
      </c>
      <c r="C1374" s="30" t="n">
        <v>44496</v>
      </c>
      <c r="D1374" s="31" t="n">
        <f aca="false">VLOOKUP(A1374,'Order Shipping'!$A$2:$C$2000,3,FALSE())</f>
        <v>0.8</v>
      </c>
      <c r="E1374" s="32" t="n">
        <f aca="false">VLOOKUP($A1374,'Order Sales'!$A$2:$G$2154,E$1,FALSE())</f>
        <v>19</v>
      </c>
      <c r="F1374" s="32" t="n">
        <f aca="false">VLOOKUP($A1374,'Order Sales'!$A$2:$G$2154,F$1,FALSE())</f>
        <v>76.79</v>
      </c>
      <c r="G1374" s="32" t="str">
        <f aca="false">VLOOKUP($A1374,'Order Sales'!$A$2:$G$2154,G$1,FALSE())</f>
        <v>Corporate</v>
      </c>
    </row>
    <row r="1375" customFormat="false" ht="14.25" hidden="false" customHeight="false" outlineLevel="0" collapsed="false">
      <c r="A1375" s="1" t="n">
        <v>1777</v>
      </c>
      <c r="B1375" s="30" t="n">
        <v>43224</v>
      </c>
      <c r="C1375" s="30" t="n">
        <v>44497</v>
      </c>
      <c r="D1375" s="31" t="n">
        <f aca="false">VLOOKUP(A1375,'Order Shipping'!$A$2:$C$2000,3,FALSE())</f>
        <v>3.2</v>
      </c>
      <c r="E1375" s="32" t="n">
        <f aca="false">VLOOKUP($A1375,'Order Sales'!$A$2:$G$2154,E$1,FALSE())</f>
        <v>6</v>
      </c>
      <c r="F1375" s="32" t="n">
        <f aca="false">VLOOKUP($A1375,'Order Sales'!$A$2:$G$2154,F$1,FALSE())</f>
        <v>264.65</v>
      </c>
      <c r="G1375" s="32" t="str">
        <f aca="false">VLOOKUP($A1375,'Order Sales'!$A$2:$G$2154,G$1,FALSE())</f>
        <v>Consumer</v>
      </c>
    </row>
    <row r="1376" customFormat="false" ht="14.25" hidden="false" customHeight="false" outlineLevel="0" collapsed="false">
      <c r="A1376" s="1" t="n">
        <v>2353</v>
      </c>
      <c r="B1376" s="30" t="n">
        <v>43444</v>
      </c>
      <c r="C1376" s="30" t="n">
        <v>44498</v>
      </c>
      <c r="D1376" s="31" t="n">
        <f aca="false">VLOOKUP(A1376,'Order Shipping'!$A$2:$C$2000,3,FALSE())</f>
        <v>7.7</v>
      </c>
      <c r="E1376" s="32" t="n">
        <f aca="false">VLOOKUP($A1376,'Order Sales'!$A$2:$G$2154,E$1,FALSE())</f>
        <v>43</v>
      </c>
      <c r="F1376" s="32" t="n">
        <f aca="false">VLOOKUP($A1376,'Order Sales'!$A$2:$G$2154,F$1,FALSE())</f>
        <v>13759</v>
      </c>
      <c r="G1376" s="32" t="str">
        <f aca="false">VLOOKUP($A1376,'Order Sales'!$A$2:$G$2154,G$1,FALSE())</f>
        <v>Corporate</v>
      </c>
    </row>
    <row r="1377" customFormat="false" ht="14.25" hidden="false" customHeight="false" outlineLevel="0" collapsed="false">
      <c r="A1377" s="1" t="n">
        <v>1809</v>
      </c>
      <c r="B1377" s="30" t="n">
        <v>43204</v>
      </c>
      <c r="C1377" s="30" t="n">
        <v>44499</v>
      </c>
      <c r="D1377" s="31" t="n">
        <f aca="false">VLOOKUP(A1377,'Order Shipping'!$A$2:$C$2000,3,FALSE())</f>
        <v>0.7</v>
      </c>
      <c r="E1377" s="32" t="n">
        <f aca="false">VLOOKUP($A1377,'Order Sales'!$A$2:$G$2154,E$1,FALSE())</f>
        <v>21</v>
      </c>
      <c r="F1377" s="32" t="n">
        <f aca="false">VLOOKUP($A1377,'Order Sales'!$A$2:$G$2154,F$1,FALSE())</f>
        <v>65.46</v>
      </c>
      <c r="G1377" s="32" t="str">
        <f aca="false">VLOOKUP($A1377,'Order Sales'!$A$2:$G$2154,G$1,FALSE())</f>
        <v>Small Business</v>
      </c>
    </row>
    <row r="1378" customFormat="false" ht="14.25" hidden="false" customHeight="false" outlineLevel="0" collapsed="false">
      <c r="A1378" s="1" t="n">
        <v>2409</v>
      </c>
      <c r="B1378" s="30" t="n">
        <v>43243</v>
      </c>
      <c r="C1378" s="30" t="n">
        <v>44500</v>
      </c>
      <c r="D1378" s="31" t="n">
        <f aca="false">VLOOKUP(A1378,'Order Shipping'!$A$2:$C$2000,3,FALSE())</f>
        <v>3</v>
      </c>
      <c r="E1378" s="32" t="n">
        <f aca="false">VLOOKUP($A1378,'Order Sales'!$A$2:$G$2154,E$1,FALSE())</f>
        <v>46</v>
      </c>
      <c r="F1378" s="32" t="n">
        <f aca="false">VLOOKUP($A1378,'Order Sales'!$A$2:$G$2154,F$1,FALSE())</f>
        <v>609.81</v>
      </c>
      <c r="G1378" s="32" t="str">
        <f aca="false">VLOOKUP($A1378,'Order Sales'!$A$2:$G$2154,G$1,FALSE())</f>
        <v>Home Office</v>
      </c>
    </row>
    <row r="1379" customFormat="false" ht="14.25" hidden="false" customHeight="false" outlineLevel="0" collapsed="false">
      <c r="A1379" s="1" t="n">
        <v>1748</v>
      </c>
      <c r="B1379" s="30" t="n">
        <v>43219</v>
      </c>
      <c r="C1379" s="30" t="n">
        <v>44501</v>
      </c>
      <c r="D1379" s="31" t="n">
        <f aca="false">VLOOKUP(A1379,'Order Shipping'!$A$2:$C$2000,3,FALSE())</f>
        <v>4.3</v>
      </c>
      <c r="E1379" s="32" t="n">
        <f aca="false">VLOOKUP($A1379,'Order Sales'!$A$2:$G$2154,E$1,FALSE())</f>
        <v>4</v>
      </c>
      <c r="F1379" s="32" t="n">
        <f aca="false">VLOOKUP($A1379,'Order Sales'!$A$2:$G$2154,F$1,FALSE())</f>
        <v>112.49</v>
      </c>
      <c r="G1379" s="32" t="str">
        <f aca="false">VLOOKUP($A1379,'Order Sales'!$A$2:$G$2154,G$1,FALSE())</f>
        <v>Home Office</v>
      </c>
    </row>
    <row r="1380" customFormat="false" ht="14.25" hidden="false" customHeight="false" outlineLevel="0" collapsed="false">
      <c r="A1380" s="1" t="n">
        <v>1924</v>
      </c>
      <c r="B1380" s="30" t="n">
        <v>43344</v>
      </c>
      <c r="C1380" s="30" t="n">
        <v>44502</v>
      </c>
      <c r="D1380" s="31" t="n">
        <f aca="false">VLOOKUP(A1380,'Order Shipping'!$A$2:$C$2000,3,FALSE())</f>
        <v>38.6</v>
      </c>
      <c r="E1380" s="32" t="n">
        <f aca="false">VLOOKUP($A1380,'Order Sales'!$A$2:$G$2154,E$1,FALSE())</f>
        <v>34</v>
      </c>
      <c r="F1380" s="32" t="n">
        <f aca="false">VLOOKUP($A1380,'Order Sales'!$A$2:$G$2154,F$1,FALSE())</f>
        <v>5142.33</v>
      </c>
      <c r="G1380" s="32" t="str">
        <f aca="false">VLOOKUP($A1380,'Order Sales'!$A$2:$G$2154,G$1,FALSE())</f>
        <v>Corporate</v>
      </c>
    </row>
    <row r="1381" customFormat="false" ht="14.25" hidden="false" customHeight="false" outlineLevel="0" collapsed="false">
      <c r="A1381" s="1" t="n">
        <v>2668</v>
      </c>
      <c r="B1381" s="30" t="n">
        <v>43262</v>
      </c>
      <c r="C1381" s="30" t="n">
        <v>44503</v>
      </c>
      <c r="D1381" s="31" t="n">
        <f aca="false">VLOOKUP(A1381,'Order Shipping'!$A$2:$C$2000,3,FALSE())</f>
        <v>12.3</v>
      </c>
      <c r="E1381" s="32" t="n">
        <f aca="false">VLOOKUP($A1381,'Order Sales'!$A$2:$G$2154,E$1,FALSE())</f>
        <v>24</v>
      </c>
      <c r="F1381" s="32" t="n">
        <f aca="false">VLOOKUP($A1381,'Order Sales'!$A$2:$G$2154,F$1,FALSE())</f>
        <v>201.66</v>
      </c>
      <c r="G1381" s="32" t="str">
        <f aca="false">VLOOKUP($A1381,'Order Sales'!$A$2:$G$2154,G$1,FALSE())</f>
        <v>Small Business</v>
      </c>
    </row>
    <row r="1382" customFormat="false" ht="14.25" hidden="false" customHeight="false" outlineLevel="0" collapsed="false">
      <c r="A1382" s="1" t="n">
        <v>1911</v>
      </c>
      <c r="B1382" s="30" t="n">
        <v>43130</v>
      </c>
      <c r="C1382" s="30" t="n">
        <v>44504</v>
      </c>
      <c r="D1382" s="31" t="n">
        <f aca="false">VLOOKUP(A1382,'Order Shipping'!$A$2:$C$2000,3,FALSE())</f>
        <v>2.5</v>
      </c>
      <c r="E1382" s="32" t="n">
        <f aca="false">VLOOKUP($A1382,'Order Sales'!$A$2:$G$2154,E$1,FALSE())</f>
        <v>12</v>
      </c>
      <c r="F1382" s="32" t="n">
        <f aca="false">VLOOKUP($A1382,'Order Sales'!$A$2:$G$2154,F$1,FALSE())</f>
        <v>88.42</v>
      </c>
      <c r="G1382" s="32" t="str">
        <f aca="false">VLOOKUP($A1382,'Order Sales'!$A$2:$G$2154,G$1,FALSE())</f>
        <v>Small Business</v>
      </c>
    </row>
    <row r="1383" customFormat="false" ht="14.25" hidden="false" customHeight="false" outlineLevel="0" collapsed="false">
      <c r="A1383" s="1" t="n">
        <v>2446</v>
      </c>
      <c r="B1383" s="30" t="n">
        <v>43410</v>
      </c>
      <c r="C1383" s="30" t="n">
        <v>44505</v>
      </c>
      <c r="D1383" s="31" t="n">
        <f aca="false">VLOOKUP(A1383,'Order Shipping'!$A$2:$C$2000,3,FALSE())</f>
        <v>26.2</v>
      </c>
      <c r="E1383" s="32" t="n">
        <f aca="false">VLOOKUP($A1383,'Order Sales'!$A$2:$G$2154,E$1,FALSE())</f>
        <v>26</v>
      </c>
      <c r="F1383" s="32" t="n">
        <f aca="false">VLOOKUP($A1383,'Order Sales'!$A$2:$G$2154,F$1,FALSE())</f>
        <v>14879.29</v>
      </c>
      <c r="G1383" s="32" t="str">
        <f aca="false">VLOOKUP($A1383,'Order Sales'!$A$2:$G$2154,G$1,FALSE())</f>
        <v>Consumer</v>
      </c>
    </row>
    <row r="1384" customFormat="false" ht="14.25" hidden="false" customHeight="false" outlineLevel="0" collapsed="false">
      <c r="A1384" s="1" t="n">
        <v>1274</v>
      </c>
      <c r="B1384" s="30" t="n">
        <v>43280</v>
      </c>
      <c r="C1384" s="30" t="n">
        <v>44506</v>
      </c>
      <c r="D1384" s="31" t="n">
        <f aca="false">VLOOKUP(A1384,'Order Shipping'!$A$2:$C$2000,3,FALSE())</f>
        <v>1.1</v>
      </c>
      <c r="E1384" s="32" t="n">
        <f aca="false">VLOOKUP($A1384,'Order Sales'!$A$2:$G$2154,E$1,FALSE())</f>
        <v>38</v>
      </c>
      <c r="F1384" s="32" t="n">
        <f aca="false">VLOOKUP($A1384,'Order Sales'!$A$2:$G$2154,F$1,FALSE())</f>
        <v>85.4</v>
      </c>
      <c r="G1384" s="32" t="str">
        <f aca="false">VLOOKUP($A1384,'Order Sales'!$A$2:$G$2154,G$1,FALSE())</f>
        <v>Home Office</v>
      </c>
    </row>
    <row r="1385" customFormat="false" ht="14.25" hidden="false" customHeight="false" outlineLevel="0" collapsed="false">
      <c r="A1385" s="1" t="n">
        <v>2262</v>
      </c>
      <c r="B1385" s="30" t="n">
        <v>43440</v>
      </c>
      <c r="C1385" s="30" t="n">
        <v>44507</v>
      </c>
      <c r="D1385" s="31" t="n">
        <f aca="false">VLOOKUP(A1385,'Order Shipping'!$A$2:$C$2000,3,FALSE())</f>
        <v>15.9</v>
      </c>
      <c r="E1385" s="32" t="n">
        <f aca="false">VLOOKUP($A1385,'Order Sales'!$A$2:$G$2154,E$1,FALSE())</f>
        <v>41</v>
      </c>
      <c r="F1385" s="32" t="n">
        <f aca="false">VLOOKUP($A1385,'Order Sales'!$A$2:$G$2154,F$1,FALSE())</f>
        <v>836.79</v>
      </c>
      <c r="G1385" s="32" t="str">
        <f aca="false">VLOOKUP($A1385,'Order Sales'!$A$2:$G$2154,G$1,FALSE())</f>
        <v>Small Business</v>
      </c>
    </row>
    <row r="1386" customFormat="false" ht="14.25" hidden="false" customHeight="false" outlineLevel="0" collapsed="false">
      <c r="A1386" s="1" t="n">
        <v>2314</v>
      </c>
      <c r="B1386" s="30" t="n">
        <v>43206</v>
      </c>
      <c r="C1386" s="30" t="n">
        <v>44508</v>
      </c>
      <c r="D1386" s="31" t="n">
        <f aca="false">VLOOKUP(A1386,'Order Shipping'!$A$2:$C$2000,3,FALSE())</f>
        <v>6.1</v>
      </c>
      <c r="E1386" s="32" t="n">
        <f aca="false">VLOOKUP($A1386,'Order Sales'!$A$2:$G$2154,E$1,FALSE())</f>
        <v>40</v>
      </c>
      <c r="F1386" s="32" t="n">
        <f aca="false">VLOOKUP($A1386,'Order Sales'!$A$2:$G$2154,F$1,FALSE())</f>
        <v>181.34</v>
      </c>
      <c r="G1386" s="32" t="str">
        <f aca="false">VLOOKUP($A1386,'Order Sales'!$A$2:$G$2154,G$1,FALSE())</f>
        <v>Corporate</v>
      </c>
    </row>
    <row r="1387" customFormat="false" ht="14.25" hidden="false" customHeight="false" outlineLevel="0" collapsed="false">
      <c r="A1387" s="1" t="n">
        <v>2458</v>
      </c>
      <c r="B1387" s="30" t="n">
        <v>43103</v>
      </c>
      <c r="C1387" s="30" t="n">
        <v>44509</v>
      </c>
      <c r="D1387" s="31" t="n">
        <f aca="false">VLOOKUP(A1387,'Order Shipping'!$A$2:$C$2000,3,FALSE())</f>
        <v>3.5</v>
      </c>
      <c r="E1387" s="32" t="n">
        <f aca="false">VLOOKUP($A1387,'Order Sales'!$A$2:$G$2154,E$1,FALSE())</f>
        <v>35</v>
      </c>
      <c r="F1387" s="32" t="n">
        <f aca="false">VLOOKUP($A1387,'Order Sales'!$A$2:$G$2154,F$1,FALSE())</f>
        <v>669.76</v>
      </c>
      <c r="G1387" s="32" t="str">
        <f aca="false">VLOOKUP($A1387,'Order Sales'!$A$2:$G$2154,G$1,FALSE())</f>
        <v>Home Office</v>
      </c>
    </row>
    <row r="1388" customFormat="false" ht="14.25" hidden="false" customHeight="false" outlineLevel="0" collapsed="false">
      <c r="A1388" s="1" t="n">
        <v>2963</v>
      </c>
      <c r="B1388" s="30" t="n">
        <v>43333</v>
      </c>
      <c r="C1388" s="30" t="n">
        <v>44510</v>
      </c>
      <c r="D1388" s="31" t="n">
        <f aca="false">VLOOKUP(A1388,'Order Shipping'!$A$2:$C$2000,3,FALSE())</f>
        <v>0.7</v>
      </c>
      <c r="E1388" s="32" t="n">
        <f aca="false">VLOOKUP($A1388,'Order Sales'!$A$2:$G$2154,E$1,FALSE())</f>
        <v>25</v>
      </c>
      <c r="F1388" s="32" t="n">
        <f aca="false">VLOOKUP($A1388,'Order Sales'!$A$2:$G$2154,F$1,FALSE())</f>
        <v>95.57</v>
      </c>
      <c r="G1388" s="32" t="str">
        <f aca="false">VLOOKUP($A1388,'Order Sales'!$A$2:$G$2154,G$1,FALSE())</f>
        <v>Home Office</v>
      </c>
    </row>
    <row r="1389" customFormat="false" ht="14.25" hidden="false" customHeight="false" outlineLevel="0" collapsed="false">
      <c r="A1389" s="1" t="n">
        <v>1502</v>
      </c>
      <c r="B1389" s="30" t="n">
        <v>43278</v>
      </c>
      <c r="C1389" s="30" t="n">
        <v>44511</v>
      </c>
      <c r="D1389" s="31" t="n">
        <f aca="false">VLOOKUP(A1389,'Order Shipping'!$A$2:$C$2000,3,FALSE())</f>
        <v>32.1</v>
      </c>
      <c r="E1389" s="32" t="n">
        <f aca="false">VLOOKUP($A1389,'Order Sales'!$A$2:$G$2154,E$1,FALSE())</f>
        <v>9</v>
      </c>
      <c r="F1389" s="32" t="n">
        <f aca="false">VLOOKUP($A1389,'Order Sales'!$A$2:$G$2154,F$1,FALSE())</f>
        <v>1524.97</v>
      </c>
      <c r="G1389" s="32" t="str">
        <f aca="false">VLOOKUP($A1389,'Order Sales'!$A$2:$G$2154,G$1,FALSE())</f>
        <v>Corporate</v>
      </c>
    </row>
    <row r="1390" customFormat="false" ht="14.25" hidden="false" customHeight="false" outlineLevel="0" collapsed="false">
      <c r="A1390" s="1" t="n">
        <v>1448</v>
      </c>
      <c r="B1390" s="30" t="n">
        <v>43207</v>
      </c>
      <c r="C1390" s="30" t="n">
        <v>44512</v>
      </c>
      <c r="D1390" s="31" t="n">
        <f aca="false">VLOOKUP(A1390,'Order Shipping'!$A$2:$C$2000,3,FALSE())</f>
        <v>7.6</v>
      </c>
      <c r="E1390" s="32" t="n">
        <f aca="false">VLOOKUP($A1390,'Order Sales'!$A$2:$G$2154,E$1,FALSE())</f>
        <v>46</v>
      </c>
      <c r="F1390" s="32" t="n">
        <f aca="false">VLOOKUP($A1390,'Order Sales'!$A$2:$G$2154,F$1,FALSE())</f>
        <v>1951.82</v>
      </c>
      <c r="G1390" s="32" t="str">
        <f aca="false">VLOOKUP($A1390,'Order Sales'!$A$2:$G$2154,G$1,FALSE())</f>
        <v>Consumer</v>
      </c>
    </row>
    <row r="1391" customFormat="false" ht="14.25" hidden="false" customHeight="false" outlineLevel="0" collapsed="false">
      <c r="A1391" s="1" t="n">
        <v>2303</v>
      </c>
      <c r="B1391" s="30" t="n">
        <v>43337</v>
      </c>
      <c r="C1391" s="30" t="n">
        <v>44513</v>
      </c>
      <c r="D1391" s="31" t="n">
        <f aca="false">VLOOKUP(A1391,'Order Shipping'!$A$2:$C$2000,3,FALSE())</f>
        <v>0.8</v>
      </c>
      <c r="E1391" s="32" t="n">
        <f aca="false">VLOOKUP($A1391,'Order Sales'!$A$2:$G$2154,E$1,FALSE())</f>
        <v>5</v>
      </c>
      <c r="F1391" s="32" t="n">
        <f aca="false">VLOOKUP($A1391,'Order Sales'!$A$2:$G$2154,F$1,FALSE())</f>
        <v>26.65</v>
      </c>
      <c r="G1391" s="32" t="str">
        <f aca="false">VLOOKUP($A1391,'Order Sales'!$A$2:$G$2154,G$1,FALSE())</f>
        <v>Home Office</v>
      </c>
    </row>
    <row r="1392" customFormat="false" ht="14.25" hidden="false" customHeight="false" outlineLevel="0" collapsed="false">
      <c r="A1392" s="1" t="n">
        <v>2808</v>
      </c>
      <c r="B1392" s="30" t="n">
        <v>43103</v>
      </c>
      <c r="C1392" s="30" t="n">
        <v>44514</v>
      </c>
      <c r="D1392" s="31" t="n">
        <f aca="false">VLOOKUP(A1392,'Order Shipping'!$A$2:$C$2000,3,FALSE())</f>
        <v>3.1</v>
      </c>
      <c r="E1392" s="32" t="n">
        <f aca="false">VLOOKUP($A1392,'Order Sales'!$A$2:$G$2154,E$1,FALSE())</f>
        <v>8</v>
      </c>
      <c r="F1392" s="32" t="n">
        <f aca="false">VLOOKUP($A1392,'Order Sales'!$A$2:$G$2154,F$1,FALSE())</f>
        <v>94.16</v>
      </c>
      <c r="G1392" s="32" t="str">
        <f aca="false">VLOOKUP($A1392,'Order Sales'!$A$2:$G$2154,G$1,FALSE())</f>
        <v>Consumer</v>
      </c>
    </row>
    <row r="1393" customFormat="false" ht="14.25" hidden="false" customHeight="false" outlineLevel="0" collapsed="false">
      <c r="A1393" s="1" t="n">
        <v>2681</v>
      </c>
      <c r="B1393" s="30" t="n">
        <v>43454</v>
      </c>
      <c r="C1393" s="30" t="n">
        <v>44515</v>
      </c>
      <c r="D1393" s="31" t="n">
        <f aca="false">VLOOKUP(A1393,'Order Shipping'!$A$2:$C$2000,3,FALSE())</f>
        <v>48.9</v>
      </c>
      <c r="E1393" s="32" t="n">
        <f aca="false">VLOOKUP($A1393,'Order Sales'!$A$2:$G$2154,E$1,FALSE())</f>
        <v>49</v>
      </c>
      <c r="F1393" s="32" t="n">
        <f aca="false">VLOOKUP($A1393,'Order Sales'!$A$2:$G$2154,F$1,FALSE())</f>
        <v>28486.13</v>
      </c>
      <c r="G1393" s="32" t="str">
        <f aca="false">VLOOKUP($A1393,'Order Sales'!$A$2:$G$2154,G$1,FALSE())</f>
        <v>Home Office</v>
      </c>
    </row>
    <row r="1394" customFormat="false" ht="14.25" hidden="false" customHeight="false" outlineLevel="0" collapsed="false">
      <c r="A1394" s="1" t="n">
        <v>2607</v>
      </c>
      <c r="B1394" s="30" t="n">
        <v>43336</v>
      </c>
      <c r="C1394" s="30" t="n">
        <v>44516</v>
      </c>
      <c r="D1394" s="31" t="n">
        <f aca="false">VLOOKUP(A1394,'Order Shipping'!$A$2:$C$2000,3,FALSE())</f>
        <v>6.6</v>
      </c>
      <c r="E1394" s="32" t="n">
        <f aca="false">VLOOKUP($A1394,'Order Sales'!$A$2:$G$2154,E$1,FALSE())</f>
        <v>40</v>
      </c>
      <c r="F1394" s="32" t="n">
        <f aca="false">VLOOKUP($A1394,'Order Sales'!$A$2:$G$2154,F$1,FALSE())</f>
        <v>309.43</v>
      </c>
      <c r="G1394" s="32" t="str">
        <f aca="false">VLOOKUP($A1394,'Order Sales'!$A$2:$G$2154,G$1,FALSE())</f>
        <v>Corporate</v>
      </c>
    </row>
    <row r="1395" customFormat="false" ht="14.25" hidden="false" customHeight="false" outlineLevel="0" collapsed="false">
      <c r="A1395" s="1" t="n">
        <v>2205</v>
      </c>
      <c r="B1395" s="30" t="n">
        <v>43410</v>
      </c>
      <c r="C1395" s="30" t="n">
        <v>44517</v>
      </c>
      <c r="D1395" s="31" t="n">
        <f aca="false">VLOOKUP(A1395,'Order Shipping'!$A$2:$C$2000,3,FALSE())</f>
        <v>2.1</v>
      </c>
      <c r="E1395" s="32" t="n">
        <f aca="false">VLOOKUP($A1395,'Order Sales'!$A$2:$G$2154,E$1,FALSE())</f>
        <v>32</v>
      </c>
      <c r="F1395" s="32" t="n">
        <f aca="false">VLOOKUP($A1395,'Order Sales'!$A$2:$G$2154,F$1,FALSE())</f>
        <v>659.54</v>
      </c>
      <c r="G1395" s="32" t="str">
        <f aca="false">VLOOKUP($A1395,'Order Sales'!$A$2:$G$2154,G$1,FALSE())</f>
        <v>Corporate</v>
      </c>
    </row>
    <row r="1396" customFormat="false" ht="14.25" hidden="false" customHeight="false" outlineLevel="0" collapsed="false">
      <c r="A1396" s="1" t="n">
        <v>1864</v>
      </c>
      <c r="B1396" s="30" t="n">
        <v>43319</v>
      </c>
      <c r="C1396" s="30" t="n">
        <v>44518</v>
      </c>
      <c r="D1396" s="31" t="n">
        <f aca="false">VLOOKUP(A1396,'Order Shipping'!$A$2:$C$2000,3,FALSE())</f>
        <v>5.9</v>
      </c>
      <c r="E1396" s="32" t="n">
        <f aca="false">VLOOKUP($A1396,'Order Sales'!$A$2:$G$2154,E$1,FALSE())</f>
        <v>12</v>
      </c>
      <c r="F1396" s="32" t="n">
        <f aca="false">VLOOKUP($A1396,'Order Sales'!$A$2:$G$2154,F$1,FALSE())</f>
        <v>289.15</v>
      </c>
      <c r="G1396" s="32" t="str">
        <f aca="false">VLOOKUP($A1396,'Order Sales'!$A$2:$G$2154,G$1,FALSE())</f>
        <v>Home Office</v>
      </c>
    </row>
    <row r="1397" customFormat="false" ht="14.25" hidden="false" customHeight="false" outlineLevel="0" collapsed="false">
      <c r="A1397" s="1" t="n">
        <v>2739</v>
      </c>
      <c r="B1397" s="30" t="n">
        <v>43453</v>
      </c>
      <c r="C1397" s="30" t="n">
        <v>44519</v>
      </c>
      <c r="D1397" s="31" t="n">
        <f aca="false">VLOOKUP(A1397,'Order Shipping'!$A$2:$C$2000,3,FALSE())</f>
        <v>5</v>
      </c>
      <c r="E1397" s="32" t="n">
        <f aca="false">VLOOKUP($A1397,'Order Sales'!$A$2:$G$2154,E$1,FALSE())</f>
        <v>5</v>
      </c>
      <c r="F1397" s="32" t="n">
        <f aca="false">VLOOKUP($A1397,'Order Sales'!$A$2:$G$2154,F$1,FALSE())</f>
        <v>30.21</v>
      </c>
      <c r="G1397" s="32" t="str">
        <f aca="false">VLOOKUP($A1397,'Order Sales'!$A$2:$G$2154,G$1,FALSE())</f>
        <v>Home Office</v>
      </c>
    </row>
    <row r="1398" customFormat="false" ht="14.25" hidden="false" customHeight="false" outlineLevel="0" collapsed="false">
      <c r="A1398" s="1" t="n">
        <v>2181</v>
      </c>
      <c r="B1398" s="30" t="n">
        <v>43162</v>
      </c>
      <c r="C1398" s="30" t="n">
        <v>44520</v>
      </c>
      <c r="D1398" s="31" t="n">
        <f aca="false">VLOOKUP(A1398,'Order Shipping'!$A$2:$C$2000,3,FALSE())</f>
        <v>0.9</v>
      </c>
      <c r="E1398" s="32" t="n">
        <f aca="false">VLOOKUP($A1398,'Order Sales'!$A$2:$G$2154,E$1,FALSE())</f>
        <v>2</v>
      </c>
      <c r="F1398" s="32" t="n">
        <f aca="false">VLOOKUP($A1398,'Order Sales'!$A$2:$G$2154,F$1,FALSE())</f>
        <v>11.16</v>
      </c>
      <c r="G1398" s="32" t="str">
        <f aca="false">VLOOKUP($A1398,'Order Sales'!$A$2:$G$2154,G$1,FALSE())</f>
        <v>Corporate</v>
      </c>
    </row>
    <row r="1399" customFormat="false" ht="14.25" hidden="false" customHeight="false" outlineLevel="0" collapsed="false">
      <c r="A1399" s="1" t="n">
        <v>1803</v>
      </c>
      <c r="B1399" s="30" t="n">
        <v>43211</v>
      </c>
      <c r="C1399" s="30" t="n">
        <v>44521</v>
      </c>
      <c r="D1399" s="31" t="n">
        <f aca="false">VLOOKUP(A1399,'Order Shipping'!$A$2:$C$2000,3,FALSE())</f>
        <v>3</v>
      </c>
      <c r="E1399" s="32" t="n">
        <f aca="false">VLOOKUP($A1399,'Order Sales'!$A$2:$G$2154,E$1,FALSE())</f>
        <v>3</v>
      </c>
      <c r="F1399" s="32" t="n">
        <f aca="false">VLOOKUP($A1399,'Order Sales'!$A$2:$G$2154,F$1,FALSE())</f>
        <v>30.08</v>
      </c>
      <c r="G1399" s="32" t="str">
        <f aca="false">VLOOKUP($A1399,'Order Sales'!$A$2:$G$2154,G$1,FALSE())</f>
        <v>Consumer</v>
      </c>
    </row>
    <row r="1400" customFormat="false" ht="14.25" hidden="false" customHeight="false" outlineLevel="0" collapsed="false">
      <c r="A1400" s="1" t="n">
        <v>2991</v>
      </c>
      <c r="B1400" s="30" t="n">
        <v>43418</v>
      </c>
      <c r="C1400" s="30" t="n">
        <v>44522</v>
      </c>
      <c r="D1400" s="31" t="n">
        <f aca="false">VLOOKUP(A1400,'Order Shipping'!$A$2:$C$2000,3,FALSE())</f>
        <v>4.3</v>
      </c>
      <c r="E1400" s="32" t="n">
        <f aca="false">VLOOKUP($A1400,'Order Sales'!$A$2:$G$2154,E$1,FALSE())</f>
        <v>40</v>
      </c>
      <c r="F1400" s="32" t="n">
        <f aca="false">VLOOKUP($A1400,'Order Sales'!$A$2:$G$2154,F$1,FALSE())</f>
        <v>768.9</v>
      </c>
      <c r="G1400" s="32" t="str">
        <f aca="false">VLOOKUP($A1400,'Order Sales'!$A$2:$G$2154,G$1,FALSE())</f>
        <v>Consumer</v>
      </c>
    </row>
    <row r="1401" customFormat="false" ht="14.25" hidden="false" customHeight="false" outlineLevel="0" collapsed="false">
      <c r="A1401" s="1" t="n">
        <v>1731</v>
      </c>
      <c r="B1401" s="30" t="n">
        <v>43138</v>
      </c>
      <c r="C1401" s="30" t="n">
        <v>44523</v>
      </c>
      <c r="D1401" s="31" t="n">
        <f aca="false">VLOOKUP(A1401,'Order Shipping'!$A$2:$C$2000,3,FALSE())</f>
        <v>6</v>
      </c>
      <c r="E1401" s="32" t="n">
        <f aca="false">VLOOKUP($A1401,'Order Sales'!$A$2:$G$2154,E$1,FALSE())</f>
        <v>13</v>
      </c>
      <c r="F1401" s="32" t="n">
        <f aca="false">VLOOKUP($A1401,'Order Sales'!$A$2:$G$2154,F$1,FALSE())</f>
        <v>130.18</v>
      </c>
      <c r="G1401" s="32" t="str">
        <f aca="false">VLOOKUP($A1401,'Order Sales'!$A$2:$G$2154,G$1,FALSE())</f>
        <v>Consumer</v>
      </c>
    </row>
    <row r="1402" customFormat="false" ht="14.25" hidden="false" customHeight="false" outlineLevel="0" collapsed="false">
      <c r="A1402" s="1" t="n">
        <v>1073</v>
      </c>
      <c r="B1402" s="30" t="n">
        <v>43389</v>
      </c>
      <c r="C1402" s="30" t="n">
        <v>44524</v>
      </c>
      <c r="D1402" s="31" t="n">
        <f aca="false">VLOOKUP(A1402,'Order Shipping'!$A$2:$C$2000,3,FALSE())</f>
        <v>21.4</v>
      </c>
      <c r="E1402" s="32" t="n">
        <f aca="false">VLOOKUP($A1402,'Order Sales'!$A$2:$G$2154,E$1,FALSE())</f>
        <v>19</v>
      </c>
      <c r="F1402" s="32" t="n">
        <f aca="false">VLOOKUP($A1402,'Order Sales'!$A$2:$G$2154,F$1,FALSE())</f>
        <v>6037.13</v>
      </c>
      <c r="G1402" s="32" t="str">
        <f aca="false">VLOOKUP($A1402,'Order Sales'!$A$2:$G$2154,G$1,FALSE())</f>
        <v>Corporate</v>
      </c>
    </row>
    <row r="1403" customFormat="false" ht="14.25" hidden="false" customHeight="false" outlineLevel="0" collapsed="false">
      <c r="A1403" s="1" t="n">
        <v>1219</v>
      </c>
      <c r="B1403" s="30" t="n">
        <v>43322</v>
      </c>
      <c r="C1403" s="30" t="n">
        <v>44525</v>
      </c>
      <c r="D1403" s="31" t="n">
        <f aca="false">VLOOKUP(A1403,'Order Shipping'!$A$2:$C$2000,3,FALSE())</f>
        <v>5.6</v>
      </c>
      <c r="E1403" s="32" t="n">
        <f aca="false">VLOOKUP($A1403,'Order Sales'!$A$2:$G$2154,E$1,FALSE())</f>
        <v>13</v>
      </c>
      <c r="F1403" s="32" t="n">
        <f aca="false">VLOOKUP($A1403,'Order Sales'!$A$2:$G$2154,F$1,FALSE())</f>
        <v>2555.84</v>
      </c>
      <c r="G1403" s="32" t="str">
        <f aca="false">VLOOKUP($A1403,'Order Sales'!$A$2:$G$2154,G$1,FALSE())</f>
        <v>Corporate</v>
      </c>
    </row>
    <row r="1404" customFormat="false" ht="14.25" hidden="false" customHeight="false" outlineLevel="0" collapsed="false">
      <c r="A1404" s="1" t="n">
        <v>2014</v>
      </c>
      <c r="B1404" s="30" t="n">
        <v>43136</v>
      </c>
      <c r="C1404" s="30" t="n">
        <v>44526</v>
      </c>
      <c r="D1404" s="31" t="n">
        <f aca="false">VLOOKUP(A1404,'Order Shipping'!$A$2:$C$2000,3,FALSE())</f>
        <v>9.4</v>
      </c>
      <c r="E1404" s="32" t="n">
        <f aca="false">VLOOKUP($A1404,'Order Sales'!$A$2:$G$2154,E$1,FALSE())</f>
        <v>34</v>
      </c>
      <c r="F1404" s="32" t="n">
        <f aca="false">VLOOKUP($A1404,'Order Sales'!$A$2:$G$2154,F$1,FALSE())</f>
        <v>756.39</v>
      </c>
      <c r="G1404" s="32" t="str">
        <f aca="false">VLOOKUP($A1404,'Order Sales'!$A$2:$G$2154,G$1,FALSE())</f>
        <v>Corporate</v>
      </c>
    </row>
    <row r="1405" customFormat="false" ht="14.25" hidden="false" customHeight="false" outlineLevel="0" collapsed="false">
      <c r="A1405" s="1" t="n">
        <v>1227</v>
      </c>
      <c r="B1405" s="30" t="n">
        <v>43419</v>
      </c>
      <c r="C1405" s="30" t="n">
        <v>44527</v>
      </c>
      <c r="D1405" s="31" t="n">
        <f aca="false">VLOOKUP(A1405,'Order Shipping'!$A$2:$C$2000,3,FALSE())</f>
        <v>61.4</v>
      </c>
      <c r="E1405" s="32" t="n">
        <f aca="false">VLOOKUP($A1405,'Order Sales'!$A$2:$G$2154,E$1,FALSE())</f>
        <v>5</v>
      </c>
      <c r="F1405" s="32" t="n">
        <f aca="false">VLOOKUP($A1405,'Order Sales'!$A$2:$G$2154,F$1,FALSE())</f>
        <v>582.52</v>
      </c>
      <c r="G1405" s="32" t="str">
        <f aca="false">VLOOKUP($A1405,'Order Sales'!$A$2:$G$2154,G$1,FALSE())</f>
        <v>Corporate</v>
      </c>
    </row>
    <row r="1406" customFormat="false" ht="14.25" hidden="false" customHeight="false" outlineLevel="0" collapsed="false">
      <c r="A1406" s="1" t="n">
        <v>1549</v>
      </c>
      <c r="B1406" s="30" t="n">
        <v>43218</v>
      </c>
      <c r="C1406" s="30" t="n">
        <v>44528</v>
      </c>
      <c r="D1406" s="31" t="n">
        <f aca="false">VLOOKUP(A1406,'Order Shipping'!$A$2:$C$2000,3,FALSE())</f>
        <v>57.9</v>
      </c>
      <c r="E1406" s="32" t="n">
        <f aca="false">VLOOKUP($A1406,'Order Sales'!$A$2:$G$2154,E$1,FALSE())</f>
        <v>49</v>
      </c>
      <c r="F1406" s="32" t="n">
        <f aca="false">VLOOKUP($A1406,'Order Sales'!$A$2:$G$2154,F$1,FALSE())</f>
        <v>12161.21</v>
      </c>
      <c r="G1406" s="32" t="str">
        <f aca="false">VLOOKUP($A1406,'Order Sales'!$A$2:$G$2154,G$1,FALSE())</f>
        <v>Consumer</v>
      </c>
    </row>
    <row r="1407" customFormat="false" ht="14.25" hidden="false" customHeight="false" outlineLevel="0" collapsed="false">
      <c r="A1407" s="1" t="n">
        <v>1613</v>
      </c>
      <c r="B1407" s="30" t="n">
        <v>43279</v>
      </c>
      <c r="C1407" s="30" t="n">
        <v>44529</v>
      </c>
      <c r="D1407" s="31" t="n">
        <f aca="false">VLOOKUP(A1407,'Order Shipping'!$A$2:$C$2000,3,FALSE())</f>
        <v>3.2</v>
      </c>
      <c r="E1407" s="32" t="n">
        <f aca="false">VLOOKUP($A1407,'Order Sales'!$A$2:$G$2154,E$1,FALSE())</f>
        <v>16</v>
      </c>
      <c r="F1407" s="32" t="n">
        <f aca="false">VLOOKUP($A1407,'Order Sales'!$A$2:$G$2154,F$1,FALSE())</f>
        <v>65.81</v>
      </c>
      <c r="G1407" s="32" t="str">
        <f aca="false">VLOOKUP($A1407,'Order Sales'!$A$2:$G$2154,G$1,FALSE())</f>
        <v>Corporate</v>
      </c>
    </row>
    <row r="1408" customFormat="false" ht="14.25" hidden="false" customHeight="false" outlineLevel="0" collapsed="false">
      <c r="A1408" s="1" t="n">
        <v>1672</v>
      </c>
      <c r="B1408" s="30" t="n">
        <v>43173</v>
      </c>
      <c r="C1408" s="30" t="n">
        <v>44530</v>
      </c>
      <c r="D1408" s="31" t="n">
        <f aca="false">VLOOKUP(A1408,'Order Shipping'!$A$2:$C$2000,3,FALSE())</f>
        <v>26.2</v>
      </c>
      <c r="E1408" s="32" t="n">
        <f aca="false">VLOOKUP($A1408,'Order Sales'!$A$2:$G$2154,E$1,FALSE())</f>
        <v>50</v>
      </c>
      <c r="F1408" s="32" t="n">
        <f aca="false">VLOOKUP($A1408,'Order Sales'!$A$2:$G$2154,F$1,FALSE())</f>
        <v>30671.04</v>
      </c>
      <c r="G1408" s="32" t="str">
        <f aca="false">VLOOKUP($A1408,'Order Sales'!$A$2:$G$2154,G$1,FALSE())</f>
        <v>Small Business</v>
      </c>
    </row>
    <row r="1409" customFormat="false" ht="14.25" hidden="false" customHeight="false" outlineLevel="0" collapsed="false">
      <c r="A1409" s="1" t="n">
        <v>1080</v>
      </c>
      <c r="B1409" s="30" t="n">
        <v>43354</v>
      </c>
      <c r="C1409" s="30" t="n">
        <v>44531</v>
      </c>
      <c r="D1409" s="31" t="n">
        <f aca="false">VLOOKUP(A1409,'Order Shipping'!$A$2:$C$2000,3,FALSE())</f>
        <v>0.8</v>
      </c>
      <c r="E1409" s="32" t="n">
        <f aca="false">VLOOKUP($A1409,'Order Sales'!$A$2:$G$2154,E$1,FALSE())</f>
        <v>3</v>
      </c>
      <c r="F1409" s="32" t="n">
        <f aca="false">VLOOKUP($A1409,'Order Sales'!$A$2:$G$2154,F$1,FALSE())</f>
        <v>16.98</v>
      </c>
      <c r="G1409" s="32" t="str">
        <f aca="false">VLOOKUP($A1409,'Order Sales'!$A$2:$G$2154,G$1,FALSE())</f>
        <v>Home Office</v>
      </c>
    </row>
    <row r="1410" customFormat="false" ht="14.25" hidden="false" customHeight="false" outlineLevel="0" collapsed="false">
      <c r="A1410" s="1" t="n">
        <v>1454</v>
      </c>
      <c r="B1410" s="30" t="n">
        <v>43199</v>
      </c>
      <c r="C1410" s="30" t="n">
        <v>44532</v>
      </c>
      <c r="D1410" s="31" t="n">
        <f aca="false">VLOOKUP(A1410,'Order Shipping'!$A$2:$C$2000,3,FALSE())</f>
        <v>14.1</v>
      </c>
      <c r="E1410" s="32" t="n">
        <f aca="false">VLOOKUP($A1410,'Order Sales'!$A$2:$G$2154,E$1,FALSE())</f>
        <v>30</v>
      </c>
      <c r="F1410" s="32" t="n">
        <f aca="false">VLOOKUP($A1410,'Order Sales'!$A$2:$G$2154,F$1,FALSE())</f>
        <v>536.41</v>
      </c>
      <c r="G1410" s="32" t="str">
        <f aca="false">VLOOKUP($A1410,'Order Sales'!$A$2:$G$2154,G$1,FALSE())</f>
        <v>Small Business</v>
      </c>
    </row>
    <row r="1411" customFormat="false" ht="14.25" hidden="false" customHeight="false" outlineLevel="0" collapsed="false">
      <c r="A1411" s="1" t="n">
        <v>1658</v>
      </c>
      <c r="B1411" s="30" t="n">
        <v>43163</v>
      </c>
      <c r="C1411" s="30" t="n">
        <v>44533</v>
      </c>
      <c r="D1411" s="31" t="n">
        <f aca="false">VLOOKUP(A1411,'Order Shipping'!$A$2:$C$2000,3,FALSE())</f>
        <v>0.7</v>
      </c>
      <c r="E1411" s="32" t="n">
        <f aca="false">VLOOKUP($A1411,'Order Sales'!$A$2:$G$2154,E$1,FALSE())</f>
        <v>42</v>
      </c>
      <c r="F1411" s="32" t="n">
        <f aca="false">VLOOKUP($A1411,'Order Sales'!$A$2:$G$2154,F$1,FALSE())</f>
        <v>175.46</v>
      </c>
      <c r="G1411" s="32" t="str">
        <f aca="false">VLOOKUP($A1411,'Order Sales'!$A$2:$G$2154,G$1,FALSE())</f>
        <v>Corporate</v>
      </c>
    </row>
    <row r="1412" customFormat="false" ht="14.25" hidden="false" customHeight="false" outlineLevel="0" collapsed="false">
      <c r="A1412" s="1" t="n">
        <v>2540</v>
      </c>
      <c r="B1412" s="30" t="n">
        <v>43462</v>
      </c>
      <c r="C1412" s="30" t="n">
        <v>44534</v>
      </c>
      <c r="D1412" s="31" t="n">
        <f aca="false">VLOOKUP(A1412,'Order Shipping'!$A$2:$C$2000,3,FALSE())</f>
        <v>7.1</v>
      </c>
      <c r="E1412" s="32" t="n">
        <f aca="false">VLOOKUP($A1412,'Order Sales'!$A$2:$G$2154,E$1,FALSE())</f>
        <v>8</v>
      </c>
      <c r="F1412" s="32" t="n">
        <f aca="false">VLOOKUP($A1412,'Order Sales'!$A$2:$G$2154,F$1,FALSE())</f>
        <v>61.23</v>
      </c>
      <c r="G1412" s="32" t="str">
        <f aca="false">VLOOKUP($A1412,'Order Sales'!$A$2:$G$2154,G$1,FALSE())</f>
        <v>Home Office</v>
      </c>
    </row>
    <row r="1413" customFormat="false" ht="14.25" hidden="false" customHeight="false" outlineLevel="0" collapsed="false">
      <c r="A1413" s="1" t="n">
        <v>1600</v>
      </c>
      <c r="B1413" s="30" t="n">
        <v>43392</v>
      </c>
      <c r="C1413" s="30" t="n">
        <v>44535</v>
      </c>
      <c r="D1413" s="31" t="n">
        <f aca="false">VLOOKUP(A1413,'Order Shipping'!$A$2:$C$2000,3,FALSE())</f>
        <v>11.4</v>
      </c>
      <c r="E1413" s="32" t="n">
        <f aca="false">VLOOKUP($A1413,'Order Sales'!$A$2:$G$2154,E$1,FALSE())</f>
        <v>31</v>
      </c>
      <c r="F1413" s="32" t="n">
        <f aca="false">VLOOKUP($A1413,'Order Sales'!$A$2:$G$2154,F$1,FALSE())</f>
        <v>543.11</v>
      </c>
      <c r="G1413" s="32" t="str">
        <f aca="false">VLOOKUP($A1413,'Order Sales'!$A$2:$G$2154,G$1,FALSE())</f>
        <v>Home Office</v>
      </c>
    </row>
    <row r="1414" customFormat="false" ht="14.25" hidden="false" customHeight="false" outlineLevel="0" collapsed="false">
      <c r="A1414" s="1" t="n">
        <v>2226</v>
      </c>
      <c r="B1414" s="30" t="n">
        <v>43173</v>
      </c>
      <c r="C1414" s="30" t="n">
        <v>44536</v>
      </c>
      <c r="D1414" s="31" t="n">
        <f aca="false">VLOOKUP(A1414,'Order Shipping'!$A$2:$C$2000,3,FALSE())</f>
        <v>68.7</v>
      </c>
      <c r="E1414" s="32" t="n">
        <f aca="false">VLOOKUP($A1414,'Order Sales'!$A$2:$G$2154,E$1,FALSE())</f>
        <v>44</v>
      </c>
      <c r="F1414" s="32" t="n">
        <f aca="false">VLOOKUP($A1414,'Order Sales'!$A$2:$G$2154,F$1,FALSE())</f>
        <v>10164.25</v>
      </c>
      <c r="G1414" s="32" t="str">
        <f aca="false">VLOOKUP($A1414,'Order Sales'!$A$2:$G$2154,G$1,FALSE())</f>
        <v>Corporate</v>
      </c>
    </row>
    <row r="1415" customFormat="false" ht="14.25" hidden="false" customHeight="false" outlineLevel="0" collapsed="false">
      <c r="A1415" s="1" t="n">
        <v>1897</v>
      </c>
      <c r="B1415" s="30" t="n">
        <v>43434</v>
      </c>
      <c r="C1415" s="30" t="n">
        <v>44537</v>
      </c>
      <c r="D1415" s="31" t="n">
        <f aca="false">VLOOKUP(A1415,'Order Shipping'!$A$2:$C$2000,3,FALSE())</f>
        <v>1.5</v>
      </c>
      <c r="E1415" s="32" t="n">
        <f aca="false">VLOOKUP($A1415,'Order Sales'!$A$2:$G$2154,E$1,FALSE())</f>
        <v>50</v>
      </c>
      <c r="F1415" s="32" t="n">
        <f aca="false">VLOOKUP($A1415,'Order Sales'!$A$2:$G$2154,F$1,FALSE())</f>
        <v>568.68</v>
      </c>
      <c r="G1415" s="32" t="str">
        <f aca="false">VLOOKUP($A1415,'Order Sales'!$A$2:$G$2154,G$1,FALSE())</f>
        <v>Home Office</v>
      </c>
    </row>
    <row r="1416" customFormat="false" ht="14.25" hidden="false" customHeight="false" outlineLevel="0" collapsed="false">
      <c r="A1416" s="1" t="n">
        <v>1936</v>
      </c>
      <c r="B1416" s="30" t="n">
        <v>43287</v>
      </c>
      <c r="C1416" s="30" t="n">
        <v>44538</v>
      </c>
      <c r="D1416" s="31" t="n">
        <f aca="false">VLOOKUP(A1416,'Order Shipping'!$A$2:$C$2000,3,FALSE())</f>
        <v>1.3</v>
      </c>
      <c r="E1416" s="32" t="n">
        <f aca="false">VLOOKUP($A1416,'Order Sales'!$A$2:$G$2154,E$1,FALSE())</f>
        <v>23</v>
      </c>
      <c r="F1416" s="32" t="n">
        <f aca="false">VLOOKUP($A1416,'Order Sales'!$A$2:$G$2154,F$1,FALSE())</f>
        <v>1100.13</v>
      </c>
      <c r="G1416" s="32" t="str">
        <f aca="false">VLOOKUP($A1416,'Order Sales'!$A$2:$G$2154,G$1,FALSE())</f>
        <v>Consumer</v>
      </c>
    </row>
    <row r="1417" customFormat="false" ht="14.25" hidden="false" customHeight="false" outlineLevel="0" collapsed="false">
      <c r="A1417" s="1" t="n">
        <v>1010</v>
      </c>
      <c r="B1417" s="30" t="n">
        <v>43394</v>
      </c>
      <c r="C1417" s="30" t="n">
        <v>44539</v>
      </c>
      <c r="D1417" s="31" t="n">
        <f aca="false">VLOOKUP(A1417,'Order Shipping'!$A$2:$C$2000,3,FALSE())</f>
        <v>9.6</v>
      </c>
      <c r="E1417" s="32" t="n">
        <f aca="false">VLOOKUP($A1417,'Order Sales'!$A$2:$G$2154,E$1,FALSE())</f>
        <v>14</v>
      </c>
      <c r="F1417" s="32" t="n">
        <f aca="false">VLOOKUP($A1417,'Order Sales'!$A$2:$G$2154,F$1,FALSE())</f>
        <v>2025.35</v>
      </c>
      <c r="G1417" s="32" t="str">
        <f aca="false">VLOOKUP($A1417,'Order Sales'!$A$2:$G$2154,G$1,FALSE())</f>
        <v>Corporate</v>
      </c>
    </row>
    <row r="1418" customFormat="false" ht="14.25" hidden="false" customHeight="false" outlineLevel="0" collapsed="false">
      <c r="A1418" s="1" t="n">
        <v>2020</v>
      </c>
      <c r="B1418" s="30" t="n">
        <v>43281</v>
      </c>
      <c r="C1418" s="30" t="n">
        <v>44540</v>
      </c>
      <c r="D1418" s="31" t="n">
        <f aca="false">VLOOKUP(A1418,'Order Shipping'!$A$2:$C$2000,3,FALSE())</f>
        <v>10.2</v>
      </c>
      <c r="E1418" s="32" t="n">
        <f aca="false">VLOOKUP($A1418,'Order Sales'!$A$2:$G$2154,E$1,FALSE())</f>
        <v>34</v>
      </c>
      <c r="F1418" s="32" t="n">
        <f aca="false">VLOOKUP($A1418,'Order Sales'!$A$2:$G$2154,F$1,FALSE())</f>
        <v>241.23</v>
      </c>
      <c r="G1418" s="32" t="str">
        <f aca="false">VLOOKUP($A1418,'Order Sales'!$A$2:$G$2154,G$1,FALSE())</f>
        <v>Small Business</v>
      </c>
    </row>
    <row r="1419" customFormat="false" ht="14.25" hidden="false" customHeight="false" outlineLevel="0" collapsed="false">
      <c r="A1419" s="1" t="n">
        <v>1766</v>
      </c>
      <c r="B1419" s="30" t="n">
        <v>43146</v>
      </c>
      <c r="C1419" s="30" t="n">
        <v>44541</v>
      </c>
      <c r="D1419" s="31" t="n">
        <f aca="false">VLOOKUP(A1419,'Order Shipping'!$A$2:$C$2000,3,FALSE())</f>
        <v>2.1</v>
      </c>
      <c r="E1419" s="32" t="n">
        <f aca="false">VLOOKUP($A1419,'Order Sales'!$A$2:$G$2154,E$1,FALSE())</f>
        <v>45</v>
      </c>
      <c r="F1419" s="32" t="n">
        <f aca="false">VLOOKUP($A1419,'Order Sales'!$A$2:$G$2154,F$1,FALSE())</f>
        <v>1080.49</v>
      </c>
      <c r="G1419" s="32" t="str">
        <f aca="false">VLOOKUP($A1419,'Order Sales'!$A$2:$G$2154,G$1,FALSE())</f>
        <v>Consumer</v>
      </c>
    </row>
    <row r="1420" customFormat="false" ht="14.25" hidden="false" customHeight="false" outlineLevel="0" collapsed="false">
      <c r="A1420" s="1" t="n">
        <v>1682</v>
      </c>
      <c r="B1420" s="30" t="n">
        <v>43154</v>
      </c>
      <c r="C1420" s="30" t="n">
        <v>44542</v>
      </c>
      <c r="D1420" s="31" t="n">
        <f aca="false">VLOOKUP(A1420,'Order Shipping'!$A$2:$C$2000,3,FALSE())</f>
        <v>10.6</v>
      </c>
      <c r="E1420" s="32" t="n">
        <f aca="false">VLOOKUP($A1420,'Order Sales'!$A$2:$G$2154,E$1,FALSE())</f>
        <v>30</v>
      </c>
      <c r="F1420" s="32" t="n">
        <f aca="false">VLOOKUP($A1420,'Order Sales'!$A$2:$G$2154,F$1,FALSE())</f>
        <v>298.47</v>
      </c>
      <c r="G1420" s="32" t="str">
        <f aca="false">VLOOKUP($A1420,'Order Sales'!$A$2:$G$2154,G$1,FALSE())</f>
        <v>Corporate</v>
      </c>
    </row>
    <row r="1421" customFormat="false" ht="14.25" hidden="false" customHeight="false" outlineLevel="0" collapsed="false">
      <c r="A1421" s="1" t="n">
        <v>2245</v>
      </c>
      <c r="B1421" s="30" t="n">
        <v>43435</v>
      </c>
      <c r="C1421" s="30" t="n">
        <v>44543</v>
      </c>
      <c r="D1421" s="31" t="n">
        <f aca="false">VLOOKUP(A1421,'Order Shipping'!$A$2:$C$2000,3,FALSE())</f>
        <v>6.9</v>
      </c>
      <c r="E1421" s="32" t="n">
        <f aca="false">VLOOKUP($A1421,'Order Sales'!$A$2:$G$2154,E$1,FALSE())</f>
        <v>31</v>
      </c>
      <c r="F1421" s="32" t="n">
        <f aca="false">VLOOKUP($A1421,'Order Sales'!$A$2:$G$2154,F$1,FALSE())</f>
        <v>505.41</v>
      </c>
      <c r="G1421" s="32" t="str">
        <f aca="false">VLOOKUP($A1421,'Order Sales'!$A$2:$G$2154,G$1,FALSE())</f>
        <v>Consumer</v>
      </c>
    </row>
    <row r="1422" customFormat="false" ht="14.25" hidden="false" customHeight="false" outlineLevel="0" collapsed="false">
      <c r="A1422" s="1" t="n">
        <v>1966</v>
      </c>
      <c r="B1422" s="30" t="n">
        <v>43135</v>
      </c>
      <c r="C1422" s="30" t="n">
        <v>44544</v>
      </c>
      <c r="D1422" s="31" t="n">
        <f aca="false">VLOOKUP(A1422,'Order Shipping'!$A$2:$C$2000,3,FALSE())</f>
        <v>15.7</v>
      </c>
      <c r="E1422" s="32" t="n">
        <f aca="false">VLOOKUP($A1422,'Order Sales'!$A$2:$G$2154,E$1,FALSE())</f>
        <v>43</v>
      </c>
      <c r="F1422" s="32" t="n">
        <f aca="false">VLOOKUP($A1422,'Order Sales'!$A$2:$G$2154,F$1,FALSE())</f>
        <v>18330.56</v>
      </c>
      <c r="G1422" s="32" t="str">
        <f aca="false">VLOOKUP($A1422,'Order Sales'!$A$2:$G$2154,G$1,FALSE())</f>
        <v>Corporate</v>
      </c>
    </row>
    <row r="1423" customFormat="false" ht="14.25" hidden="false" customHeight="false" outlineLevel="0" collapsed="false">
      <c r="A1423" s="1" t="n">
        <v>2707</v>
      </c>
      <c r="B1423" s="30" t="n">
        <v>43198</v>
      </c>
      <c r="C1423" s="30" t="n">
        <v>44545</v>
      </c>
      <c r="D1423" s="31" t="n">
        <f aca="false">VLOOKUP(A1423,'Order Shipping'!$A$2:$C$2000,3,FALSE())</f>
        <v>21.4</v>
      </c>
      <c r="E1423" s="32" t="n">
        <f aca="false">VLOOKUP($A1423,'Order Sales'!$A$2:$G$2154,E$1,FALSE())</f>
        <v>38</v>
      </c>
      <c r="F1423" s="32" t="n">
        <f aca="false">VLOOKUP($A1423,'Order Sales'!$A$2:$G$2154,F$1,FALSE())</f>
        <v>5342.11</v>
      </c>
      <c r="G1423" s="32" t="str">
        <f aca="false">VLOOKUP($A1423,'Order Sales'!$A$2:$G$2154,G$1,FALSE())</f>
        <v>Home Office</v>
      </c>
    </row>
    <row r="1424" customFormat="false" ht="14.25" hidden="false" customHeight="false" outlineLevel="0" collapsed="false">
      <c r="A1424" s="1" t="n">
        <v>2445</v>
      </c>
      <c r="B1424" s="30" t="n">
        <v>43329</v>
      </c>
      <c r="C1424" s="30" t="n">
        <v>44546</v>
      </c>
      <c r="D1424" s="31" t="n">
        <f aca="false">VLOOKUP(A1424,'Order Shipping'!$A$2:$C$2000,3,FALSE())</f>
        <v>4.8</v>
      </c>
      <c r="E1424" s="32" t="n">
        <f aca="false">VLOOKUP($A1424,'Order Sales'!$A$2:$G$2154,E$1,FALSE())</f>
        <v>34</v>
      </c>
      <c r="F1424" s="32" t="n">
        <f aca="false">VLOOKUP($A1424,'Order Sales'!$A$2:$G$2154,F$1,FALSE())</f>
        <v>826.64</v>
      </c>
      <c r="G1424" s="32" t="str">
        <f aca="false">VLOOKUP($A1424,'Order Sales'!$A$2:$G$2154,G$1,FALSE())</f>
        <v>Home Office</v>
      </c>
    </row>
    <row r="1425" customFormat="false" ht="14.25" hidden="false" customHeight="false" outlineLevel="0" collapsed="false">
      <c r="A1425" s="1" t="n">
        <v>2299</v>
      </c>
      <c r="B1425" s="30" t="n">
        <v>43398</v>
      </c>
      <c r="C1425" s="30" t="n">
        <v>44547</v>
      </c>
      <c r="D1425" s="31" t="n">
        <f aca="false">VLOOKUP(A1425,'Order Shipping'!$A$2:$C$2000,3,FALSE())</f>
        <v>8.5</v>
      </c>
      <c r="E1425" s="32" t="n">
        <f aca="false">VLOOKUP($A1425,'Order Sales'!$A$2:$G$2154,E$1,FALSE())</f>
        <v>47</v>
      </c>
      <c r="F1425" s="32" t="n">
        <f aca="false">VLOOKUP($A1425,'Order Sales'!$A$2:$G$2154,F$1,FALSE())</f>
        <v>447.29</v>
      </c>
      <c r="G1425" s="32" t="str">
        <f aca="false">VLOOKUP($A1425,'Order Sales'!$A$2:$G$2154,G$1,FALSE())</f>
        <v>Corporate</v>
      </c>
    </row>
    <row r="1426" customFormat="false" ht="14.25" hidden="false" customHeight="false" outlineLevel="0" collapsed="false">
      <c r="A1426" s="1" t="n">
        <v>1840</v>
      </c>
      <c r="B1426" s="30" t="n">
        <v>43451</v>
      </c>
      <c r="C1426" s="30" t="n">
        <v>44548</v>
      </c>
      <c r="D1426" s="31" t="n">
        <f aca="false">VLOOKUP(A1426,'Order Shipping'!$A$2:$C$2000,3,FALSE())</f>
        <v>8.2</v>
      </c>
      <c r="E1426" s="32" t="n">
        <f aca="false">VLOOKUP($A1426,'Order Sales'!$A$2:$G$2154,E$1,FALSE())</f>
        <v>48</v>
      </c>
      <c r="F1426" s="32" t="n">
        <f aca="false">VLOOKUP($A1426,'Order Sales'!$A$2:$G$2154,F$1,FALSE())</f>
        <v>3972.92</v>
      </c>
      <c r="G1426" s="32" t="str">
        <f aca="false">VLOOKUP($A1426,'Order Sales'!$A$2:$G$2154,G$1,FALSE())</f>
        <v>Corporate</v>
      </c>
    </row>
    <row r="1427" customFormat="false" ht="14.25" hidden="false" customHeight="false" outlineLevel="0" collapsed="false">
      <c r="A1427" s="1" t="n">
        <v>2754</v>
      </c>
      <c r="B1427" s="30" t="n">
        <v>43107</v>
      </c>
      <c r="C1427" s="30" t="n">
        <v>44549</v>
      </c>
      <c r="D1427" s="31" t="n">
        <f aca="false">VLOOKUP(A1427,'Order Shipping'!$A$2:$C$2000,3,FALSE())</f>
        <v>5.6</v>
      </c>
      <c r="E1427" s="32" t="n">
        <f aca="false">VLOOKUP($A1427,'Order Sales'!$A$2:$G$2154,E$1,FALSE())</f>
        <v>29</v>
      </c>
      <c r="F1427" s="32" t="n">
        <f aca="false">VLOOKUP($A1427,'Order Sales'!$A$2:$G$2154,F$1,FALSE())</f>
        <v>1604.49</v>
      </c>
      <c r="G1427" s="32" t="str">
        <f aca="false">VLOOKUP($A1427,'Order Sales'!$A$2:$G$2154,G$1,FALSE())</f>
        <v>Home Office</v>
      </c>
    </row>
    <row r="1428" customFormat="false" ht="14.25" hidden="false" customHeight="false" outlineLevel="0" collapsed="false">
      <c r="A1428" s="1" t="n">
        <v>2041</v>
      </c>
      <c r="B1428" s="30" t="n">
        <v>43259</v>
      </c>
      <c r="C1428" s="30" t="n">
        <v>44550</v>
      </c>
      <c r="D1428" s="31" t="n">
        <f aca="false">VLOOKUP(A1428,'Order Shipping'!$A$2:$C$2000,3,FALSE())</f>
        <v>15.5</v>
      </c>
      <c r="E1428" s="32" t="n">
        <f aca="false">VLOOKUP($A1428,'Order Sales'!$A$2:$G$2154,E$1,FALSE())</f>
        <v>6</v>
      </c>
      <c r="F1428" s="32" t="n">
        <f aca="false">VLOOKUP($A1428,'Order Sales'!$A$2:$G$2154,F$1,FALSE())</f>
        <v>272.59</v>
      </c>
      <c r="G1428" s="32" t="str">
        <f aca="false">VLOOKUP($A1428,'Order Sales'!$A$2:$G$2154,G$1,FALSE())</f>
        <v>Home Office</v>
      </c>
    </row>
    <row r="1429" customFormat="false" ht="14.25" hidden="false" customHeight="false" outlineLevel="0" collapsed="false">
      <c r="A1429" s="1" t="n">
        <v>2851</v>
      </c>
      <c r="B1429" s="30" t="n">
        <v>43144</v>
      </c>
      <c r="C1429" s="30" t="n">
        <v>44551</v>
      </c>
      <c r="D1429" s="31" t="n">
        <f aca="false">VLOOKUP(A1429,'Order Shipping'!$A$2:$C$2000,3,FALSE())</f>
        <v>75.1</v>
      </c>
      <c r="E1429" s="32" t="n">
        <f aca="false">VLOOKUP($A1429,'Order Sales'!$A$2:$G$2154,E$1,FALSE())</f>
        <v>6</v>
      </c>
      <c r="F1429" s="32" t="n">
        <f aca="false">VLOOKUP($A1429,'Order Sales'!$A$2:$G$2154,F$1,FALSE())</f>
        <v>888.4</v>
      </c>
      <c r="G1429" s="32" t="str">
        <f aca="false">VLOOKUP($A1429,'Order Sales'!$A$2:$G$2154,G$1,FALSE())</f>
        <v>Home Office</v>
      </c>
    </row>
    <row r="1430" customFormat="false" ht="14.25" hidden="false" customHeight="false" outlineLevel="0" collapsed="false">
      <c r="A1430" s="1" t="n">
        <v>2182</v>
      </c>
      <c r="B1430" s="30" t="n">
        <v>43162</v>
      </c>
      <c r="C1430" s="30" t="n">
        <v>44552</v>
      </c>
      <c r="D1430" s="31" t="n">
        <f aca="false">VLOOKUP(A1430,'Order Shipping'!$A$2:$C$2000,3,FALSE())</f>
        <v>5.3</v>
      </c>
      <c r="E1430" s="32" t="n">
        <f aca="false">VLOOKUP($A1430,'Order Sales'!$A$2:$G$2154,E$1,FALSE())</f>
        <v>15</v>
      </c>
      <c r="F1430" s="32" t="n">
        <f aca="false">VLOOKUP($A1430,'Order Sales'!$A$2:$G$2154,F$1,FALSE())</f>
        <v>76.62</v>
      </c>
      <c r="G1430" s="32" t="str">
        <f aca="false">VLOOKUP($A1430,'Order Sales'!$A$2:$G$2154,G$1,FALSE())</f>
        <v>Corporate</v>
      </c>
    </row>
    <row r="1431" customFormat="false" ht="14.25" hidden="false" customHeight="false" outlineLevel="0" collapsed="false">
      <c r="A1431" s="1" t="n">
        <v>2817</v>
      </c>
      <c r="B1431" s="30" t="n">
        <v>43301</v>
      </c>
      <c r="C1431" s="30" t="n">
        <v>44553</v>
      </c>
      <c r="D1431" s="31" t="n">
        <f aca="false">VLOOKUP(A1431,'Order Shipping'!$A$2:$C$2000,3,FALSE())</f>
        <v>3.3</v>
      </c>
      <c r="E1431" s="32" t="n">
        <f aca="false">VLOOKUP($A1431,'Order Sales'!$A$2:$G$2154,E$1,FALSE())</f>
        <v>17</v>
      </c>
      <c r="F1431" s="32" t="n">
        <f aca="false">VLOOKUP($A1431,'Order Sales'!$A$2:$G$2154,F$1,FALSE())</f>
        <v>125.54</v>
      </c>
      <c r="G1431" s="32" t="str">
        <f aca="false">VLOOKUP($A1431,'Order Sales'!$A$2:$G$2154,G$1,FALSE())</f>
        <v>Small Business</v>
      </c>
    </row>
    <row r="1432" customFormat="false" ht="14.25" hidden="false" customHeight="false" outlineLevel="0" collapsed="false">
      <c r="A1432" s="1" t="n">
        <v>1388</v>
      </c>
      <c r="B1432" s="30" t="n">
        <v>43135</v>
      </c>
      <c r="C1432" s="30" t="n">
        <v>44554</v>
      </c>
      <c r="D1432" s="31" t="n">
        <f aca="false">VLOOKUP(A1432,'Order Shipping'!$A$2:$C$2000,3,FALSE())</f>
        <v>74.2</v>
      </c>
      <c r="E1432" s="32" t="n">
        <f aca="false">VLOOKUP($A1432,'Order Sales'!$A$2:$G$2154,E$1,FALSE())</f>
        <v>3</v>
      </c>
      <c r="F1432" s="32" t="n">
        <f aca="false">VLOOKUP($A1432,'Order Sales'!$A$2:$G$2154,F$1,FALSE())</f>
        <v>1676.48</v>
      </c>
      <c r="G1432" s="32" t="str">
        <f aca="false">VLOOKUP($A1432,'Order Sales'!$A$2:$G$2154,G$1,FALSE())</f>
        <v>Home Office</v>
      </c>
    </row>
    <row r="1433" customFormat="false" ht="14.25" hidden="false" customHeight="false" outlineLevel="0" collapsed="false">
      <c r="A1433" s="1" t="n">
        <v>1724</v>
      </c>
      <c r="B1433" s="30" t="n">
        <v>43379</v>
      </c>
      <c r="C1433" s="30" t="n">
        <v>44555</v>
      </c>
      <c r="D1433" s="31" t="n">
        <f aca="false">VLOOKUP(A1433,'Order Shipping'!$A$2:$C$2000,3,FALSE())</f>
        <v>1.9</v>
      </c>
      <c r="E1433" s="32" t="n">
        <f aca="false">VLOOKUP($A1433,'Order Sales'!$A$2:$G$2154,E$1,FALSE())</f>
        <v>41</v>
      </c>
      <c r="F1433" s="32" t="n">
        <f aca="false">VLOOKUP($A1433,'Order Sales'!$A$2:$G$2154,F$1,FALSE())</f>
        <v>276.2</v>
      </c>
      <c r="G1433" s="32" t="str">
        <f aca="false">VLOOKUP($A1433,'Order Sales'!$A$2:$G$2154,G$1,FALSE())</f>
        <v>Corporate</v>
      </c>
    </row>
    <row r="1434" customFormat="false" ht="14.25" hidden="false" customHeight="false" outlineLevel="0" collapsed="false">
      <c r="A1434" s="1" t="n">
        <v>1908</v>
      </c>
      <c r="B1434" s="30" t="n">
        <v>43239</v>
      </c>
      <c r="C1434" s="30" t="n">
        <v>44556</v>
      </c>
      <c r="D1434" s="31" t="n">
        <f aca="false">VLOOKUP(A1434,'Order Shipping'!$A$2:$C$2000,3,FALSE())</f>
        <v>1.6</v>
      </c>
      <c r="E1434" s="32" t="n">
        <f aca="false">VLOOKUP($A1434,'Order Sales'!$A$2:$G$2154,E$1,FALSE())</f>
        <v>25</v>
      </c>
      <c r="F1434" s="32" t="n">
        <f aca="false">VLOOKUP($A1434,'Order Sales'!$A$2:$G$2154,F$1,FALSE())</f>
        <v>79.25</v>
      </c>
      <c r="G1434" s="32" t="str">
        <f aca="false">VLOOKUP($A1434,'Order Sales'!$A$2:$G$2154,G$1,FALSE())</f>
        <v>Corporate</v>
      </c>
    </row>
    <row r="1435" customFormat="false" ht="14.25" hidden="false" customHeight="false" outlineLevel="0" collapsed="false">
      <c r="A1435" s="1" t="n">
        <v>1789</v>
      </c>
      <c r="B1435" s="30" t="n">
        <v>43173</v>
      </c>
      <c r="C1435" s="30" t="n">
        <v>44557</v>
      </c>
      <c r="D1435" s="31" t="n">
        <f aca="false">VLOOKUP(A1435,'Order Shipping'!$A$2:$C$2000,3,FALSE())</f>
        <v>0.7</v>
      </c>
      <c r="E1435" s="32" t="n">
        <f aca="false">VLOOKUP($A1435,'Order Sales'!$A$2:$G$2154,E$1,FALSE())</f>
        <v>48</v>
      </c>
      <c r="F1435" s="32" t="n">
        <f aca="false">VLOOKUP($A1435,'Order Sales'!$A$2:$G$2154,F$1,FALSE())</f>
        <v>314.86</v>
      </c>
      <c r="G1435" s="32" t="str">
        <f aca="false">VLOOKUP($A1435,'Order Sales'!$A$2:$G$2154,G$1,FALSE())</f>
        <v>Corporate</v>
      </c>
    </row>
    <row r="1436" customFormat="false" ht="14.25" hidden="false" customHeight="false" outlineLevel="0" collapsed="false">
      <c r="A1436" s="1" t="n">
        <v>1157</v>
      </c>
      <c r="B1436" s="30" t="n">
        <v>43342</v>
      </c>
      <c r="C1436" s="30" t="n">
        <v>44558</v>
      </c>
      <c r="D1436" s="31" t="n">
        <f aca="false">VLOOKUP(A1436,'Order Shipping'!$A$2:$C$2000,3,FALSE())</f>
        <v>6.9</v>
      </c>
      <c r="E1436" s="32" t="n">
        <f aca="false">VLOOKUP($A1436,'Order Sales'!$A$2:$G$2154,E$1,FALSE())</f>
        <v>3</v>
      </c>
      <c r="F1436" s="32" t="n">
        <f aca="false">VLOOKUP($A1436,'Order Sales'!$A$2:$G$2154,F$1,FALSE())</f>
        <v>53.06</v>
      </c>
      <c r="G1436" s="32" t="str">
        <f aca="false">VLOOKUP($A1436,'Order Sales'!$A$2:$G$2154,G$1,FALSE())</f>
        <v>Home Office</v>
      </c>
    </row>
    <row r="1437" customFormat="false" ht="14.25" hidden="false" customHeight="false" outlineLevel="0" collapsed="false">
      <c r="A1437" s="1" t="n">
        <v>2887</v>
      </c>
      <c r="B1437" s="30" t="n">
        <v>43325</v>
      </c>
      <c r="C1437" s="30" t="n">
        <v>44559</v>
      </c>
      <c r="D1437" s="31" t="n">
        <f aca="false">VLOOKUP(A1437,'Order Shipping'!$A$2:$C$2000,3,FALSE())</f>
        <v>66.1</v>
      </c>
      <c r="E1437" s="32" t="n">
        <f aca="false">VLOOKUP($A1437,'Order Sales'!$A$2:$G$2154,E$1,FALSE())</f>
        <v>29</v>
      </c>
      <c r="F1437" s="32" t="n">
        <f aca="false">VLOOKUP($A1437,'Order Sales'!$A$2:$G$2154,F$1,FALSE())</f>
        <v>8691.11</v>
      </c>
      <c r="G1437" s="32" t="str">
        <f aca="false">VLOOKUP($A1437,'Order Sales'!$A$2:$G$2154,G$1,FALSE())</f>
        <v>Consumer</v>
      </c>
    </row>
    <row r="1438" customFormat="false" ht="14.25" hidden="false" customHeight="false" outlineLevel="0" collapsed="false">
      <c r="A1438" s="1" t="n">
        <v>2734</v>
      </c>
      <c r="B1438" s="30" t="n">
        <v>43321</v>
      </c>
      <c r="C1438" s="30" t="n">
        <v>44560</v>
      </c>
      <c r="D1438" s="31" t="n">
        <f aca="false">VLOOKUP(A1438,'Order Shipping'!$A$2:$C$2000,3,FALSE())</f>
        <v>21.4</v>
      </c>
      <c r="E1438" s="32" t="n">
        <f aca="false">VLOOKUP($A1438,'Order Sales'!$A$2:$G$2154,E$1,FALSE())</f>
        <v>19</v>
      </c>
      <c r="F1438" s="32" t="n">
        <f aca="false">VLOOKUP($A1438,'Order Sales'!$A$2:$G$2154,F$1,FALSE())</f>
        <v>1509.17</v>
      </c>
      <c r="G1438" s="32" t="str">
        <f aca="false">VLOOKUP($A1438,'Order Sales'!$A$2:$G$2154,G$1,FALSE())</f>
        <v>Home Office</v>
      </c>
    </row>
    <row r="1439" customFormat="false" ht="14.25" hidden="false" customHeight="false" outlineLevel="0" collapsed="false">
      <c r="A1439" s="1" t="n">
        <v>1280</v>
      </c>
      <c r="B1439" s="30" t="n">
        <v>43278</v>
      </c>
      <c r="C1439" s="30" t="n">
        <v>44561</v>
      </c>
      <c r="D1439" s="31" t="n">
        <f aca="false">VLOOKUP(A1439,'Order Shipping'!$A$2:$C$2000,3,FALSE())</f>
        <v>64.2</v>
      </c>
      <c r="E1439" s="32" t="n">
        <f aca="false">VLOOKUP($A1439,'Order Sales'!$A$2:$G$2154,E$1,FALSE())</f>
        <v>48</v>
      </c>
      <c r="F1439" s="32" t="n">
        <f aca="false">VLOOKUP($A1439,'Order Sales'!$A$2:$G$2154,F$1,FALSE())</f>
        <v>4970.01</v>
      </c>
      <c r="G1439" s="32" t="str">
        <f aca="false">VLOOKUP($A1439,'Order Sales'!$A$2:$G$2154,G$1,FALSE())</f>
        <v>Small Business</v>
      </c>
    </row>
    <row r="1440" customFormat="false" ht="14.25" hidden="false" customHeight="false" outlineLevel="0" collapsed="false">
      <c r="A1440" s="1" t="n">
        <v>2829</v>
      </c>
      <c r="B1440" s="30" t="n">
        <v>43335</v>
      </c>
      <c r="C1440" s="30" t="n">
        <v>44562</v>
      </c>
      <c r="D1440" s="31" t="n">
        <f aca="false">VLOOKUP(A1440,'Order Shipping'!$A$2:$C$2000,3,FALSE())</f>
        <v>9.6</v>
      </c>
      <c r="E1440" s="32" t="n">
        <f aca="false">VLOOKUP($A1440,'Order Sales'!$A$2:$G$2154,E$1,FALSE())</f>
        <v>49</v>
      </c>
      <c r="F1440" s="32" t="n">
        <f aca="false">VLOOKUP($A1440,'Order Sales'!$A$2:$G$2154,F$1,FALSE())</f>
        <v>6779.37</v>
      </c>
      <c r="G1440" s="32" t="str">
        <f aca="false">VLOOKUP($A1440,'Order Sales'!$A$2:$G$2154,G$1,FALSE())</f>
        <v>Small Business</v>
      </c>
    </row>
    <row r="1441" customFormat="false" ht="14.25" hidden="false" customHeight="false" outlineLevel="0" collapsed="false">
      <c r="A1441" s="1" t="n">
        <v>1828</v>
      </c>
      <c r="B1441" s="30" t="n">
        <v>43451</v>
      </c>
      <c r="C1441" s="30" t="n">
        <v>44563</v>
      </c>
      <c r="D1441" s="31" t="n">
        <f aca="false">VLOOKUP(A1441,'Order Shipping'!$A$2:$C$2000,3,FALSE())</f>
        <v>7.7</v>
      </c>
      <c r="E1441" s="32" t="n">
        <f aca="false">VLOOKUP($A1441,'Order Sales'!$A$2:$G$2154,E$1,FALSE())</f>
        <v>20</v>
      </c>
      <c r="F1441" s="32" t="n">
        <f aca="false">VLOOKUP($A1441,'Order Sales'!$A$2:$G$2154,F$1,FALSE())</f>
        <v>1007.01</v>
      </c>
      <c r="G1441" s="32" t="str">
        <f aca="false">VLOOKUP($A1441,'Order Sales'!$A$2:$G$2154,G$1,FALSE())</f>
        <v>Home Office</v>
      </c>
    </row>
    <row r="1442" customFormat="false" ht="14.25" hidden="false" customHeight="false" outlineLevel="0" collapsed="false">
      <c r="A1442" s="1" t="n">
        <v>2621</v>
      </c>
      <c r="B1442" s="30" t="n">
        <v>43373</v>
      </c>
      <c r="C1442" s="30" t="n">
        <v>44564</v>
      </c>
      <c r="D1442" s="31" t="n">
        <f aca="false">VLOOKUP(A1442,'Order Shipping'!$A$2:$C$2000,3,FALSE())</f>
        <v>6.3</v>
      </c>
      <c r="E1442" s="32" t="n">
        <f aca="false">VLOOKUP($A1442,'Order Sales'!$A$2:$G$2154,E$1,FALSE())</f>
        <v>13</v>
      </c>
      <c r="F1442" s="32" t="n">
        <f aca="false">VLOOKUP($A1442,'Order Sales'!$A$2:$G$2154,F$1,FALSE())</f>
        <v>1370.86</v>
      </c>
      <c r="G1442" s="32" t="str">
        <f aca="false">VLOOKUP($A1442,'Order Sales'!$A$2:$G$2154,G$1,FALSE())</f>
        <v>Home Office</v>
      </c>
    </row>
    <row r="1443" customFormat="false" ht="14.25" hidden="false" customHeight="false" outlineLevel="0" collapsed="false">
      <c r="A1443" s="1" t="n">
        <v>2546</v>
      </c>
      <c r="B1443" s="30" t="n">
        <v>43375</v>
      </c>
      <c r="C1443" s="30" t="n">
        <v>44565</v>
      </c>
      <c r="D1443" s="31" t="n">
        <f aca="false">VLOOKUP(A1443,'Order Shipping'!$A$2:$C$2000,3,FALSE())</f>
        <v>21.4</v>
      </c>
      <c r="E1443" s="32" t="n">
        <f aca="false">VLOOKUP($A1443,'Order Sales'!$A$2:$G$2154,E$1,FALSE())</f>
        <v>40</v>
      </c>
      <c r="F1443" s="32" t="n">
        <f aca="false">VLOOKUP($A1443,'Order Sales'!$A$2:$G$2154,F$1,FALSE())</f>
        <v>2255.78</v>
      </c>
      <c r="G1443" s="32" t="str">
        <f aca="false">VLOOKUP($A1443,'Order Sales'!$A$2:$G$2154,G$1,FALSE())</f>
        <v>Home Office</v>
      </c>
    </row>
    <row r="1444" customFormat="false" ht="14.25" hidden="false" customHeight="false" outlineLevel="0" collapsed="false">
      <c r="A1444" s="1" t="n">
        <v>2632</v>
      </c>
      <c r="B1444" s="30" t="n">
        <v>43147</v>
      </c>
      <c r="C1444" s="30" t="n">
        <v>44566</v>
      </c>
      <c r="D1444" s="31" t="n">
        <f aca="false">VLOOKUP(A1444,'Order Shipping'!$A$2:$C$2000,3,FALSE())</f>
        <v>6.6</v>
      </c>
      <c r="E1444" s="32" t="n">
        <f aca="false">VLOOKUP($A1444,'Order Sales'!$A$2:$G$2154,E$1,FALSE())</f>
        <v>1</v>
      </c>
      <c r="F1444" s="32" t="n">
        <f aca="false">VLOOKUP($A1444,'Order Sales'!$A$2:$G$2154,F$1,FALSE())</f>
        <v>19.42</v>
      </c>
      <c r="G1444" s="32" t="str">
        <f aca="false">VLOOKUP($A1444,'Order Sales'!$A$2:$G$2154,G$1,FALSE())</f>
        <v>Small Business</v>
      </c>
    </row>
    <row r="1445" customFormat="false" ht="14.25" hidden="false" customHeight="false" outlineLevel="0" collapsed="false">
      <c r="A1445" s="1" t="n">
        <v>1257</v>
      </c>
      <c r="B1445" s="30" t="n">
        <v>43276</v>
      </c>
      <c r="C1445" s="30" t="n">
        <v>44567</v>
      </c>
      <c r="D1445" s="31" t="n">
        <f aca="false">VLOOKUP(A1445,'Order Shipping'!$A$2:$C$2000,3,FALSE())</f>
        <v>5.4</v>
      </c>
      <c r="E1445" s="32" t="n">
        <f aca="false">VLOOKUP($A1445,'Order Sales'!$A$2:$G$2154,E$1,FALSE())</f>
        <v>16</v>
      </c>
      <c r="F1445" s="32" t="n">
        <f aca="false">VLOOKUP($A1445,'Order Sales'!$A$2:$G$2154,F$1,FALSE())</f>
        <v>826.48</v>
      </c>
      <c r="G1445" s="32" t="str">
        <f aca="false">VLOOKUP($A1445,'Order Sales'!$A$2:$G$2154,G$1,FALSE())</f>
        <v>Consumer</v>
      </c>
    </row>
    <row r="1446" customFormat="false" ht="14.25" hidden="false" customHeight="false" outlineLevel="0" collapsed="false">
      <c r="A1446" s="1" t="n">
        <v>2884</v>
      </c>
      <c r="B1446" s="30" t="n">
        <v>43405</v>
      </c>
      <c r="C1446" s="30" t="n">
        <v>44568</v>
      </c>
      <c r="D1446" s="31" t="n">
        <f aca="false">VLOOKUP(A1446,'Order Shipping'!$A$2:$C$2000,3,FALSE())</f>
        <v>57.9</v>
      </c>
      <c r="E1446" s="32" t="n">
        <f aca="false">VLOOKUP($A1446,'Order Sales'!$A$2:$G$2154,E$1,FALSE())</f>
        <v>30</v>
      </c>
      <c r="F1446" s="32" t="n">
        <f aca="false">VLOOKUP($A1446,'Order Sales'!$A$2:$G$2154,F$1,FALSE())</f>
        <v>8021.88</v>
      </c>
      <c r="G1446" s="32" t="str">
        <f aca="false">VLOOKUP($A1446,'Order Sales'!$A$2:$G$2154,G$1,FALSE())</f>
        <v>Small Business</v>
      </c>
    </row>
    <row r="1447" customFormat="false" ht="14.25" hidden="false" customHeight="false" outlineLevel="0" collapsed="false">
      <c r="A1447" s="1" t="n">
        <v>1754</v>
      </c>
      <c r="B1447" s="30" t="n">
        <v>43198</v>
      </c>
      <c r="C1447" s="30" t="n">
        <v>44569</v>
      </c>
      <c r="D1447" s="31" t="n">
        <f aca="false">VLOOKUP(A1447,'Order Shipping'!$A$2:$C$2000,3,FALSE())</f>
        <v>3</v>
      </c>
      <c r="E1447" s="32" t="n">
        <f aca="false">VLOOKUP($A1447,'Order Sales'!$A$2:$G$2154,E$1,FALSE())</f>
        <v>3</v>
      </c>
      <c r="F1447" s="32" t="n">
        <f aca="false">VLOOKUP($A1447,'Order Sales'!$A$2:$G$2154,F$1,FALSE())</f>
        <v>33.08</v>
      </c>
      <c r="G1447" s="32" t="str">
        <f aca="false">VLOOKUP($A1447,'Order Sales'!$A$2:$G$2154,G$1,FALSE())</f>
        <v>Small Business</v>
      </c>
    </row>
    <row r="1448" customFormat="false" ht="14.25" hidden="false" customHeight="false" outlineLevel="0" collapsed="false">
      <c r="A1448" s="1" t="n">
        <v>1036</v>
      </c>
      <c r="B1448" s="30" t="n">
        <v>43182</v>
      </c>
      <c r="C1448" s="30" t="n">
        <v>44570</v>
      </c>
      <c r="D1448" s="31" t="n">
        <f aca="false">VLOOKUP(A1448,'Order Shipping'!$A$2:$C$2000,3,FALSE())</f>
        <v>37.5</v>
      </c>
      <c r="E1448" s="32" t="n">
        <f aca="false">VLOOKUP($A1448,'Order Sales'!$A$2:$G$2154,E$1,FALSE())</f>
        <v>21</v>
      </c>
      <c r="F1448" s="32" t="n">
        <f aca="false">VLOOKUP($A1448,'Order Sales'!$A$2:$G$2154,F$1,FALSE())</f>
        <v>2976.55</v>
      </c>
      <c r="G1448" s="32" t="str">
        <f aca="false">VLOOKUP($A1448,'Order Sales'!$A$2:$G$2154,G$1,FALSE())</f>
        <v>Corporate</v>
      </c>
    </row>
    <row r="1449" customFormat="false" ht="14.25" hidden="false" customHeight="false" outlineLevel="0" collapsed="false">
      <c r="A1449" s="1" t="n">
        <v>1460</v>
      </c>
      <c r="B1449" s="30" t="n">
        <v>43315</v>
      </c>
      <c r="C1449" s="30" t="n">
        <v>44571</v>
      </c>
      <c r="D1449" s="31" t="n">
        <f aca="false">VLOOKUP(A1449,'Order Shipping'!$A$2:$C$2000,3,FALSE())</f>
        <v>91.6</v>
      </c>
      <c r="E1449" s="32" t="n">
        <f aca="false">VLOOKUP($A1449,'Order Sales'!$A$2:$G$2154,E$1,FALSE())</f>
        <v>22</v>
      </c>
      <c r="F1449" s="32" t="n">
        <f aca="false">VLOOKUP($A1449,'Order Sales'!$A$2:$G$2154,F$1,FALSE())</f>
        <v>8793.43</v>
      </c>
      <c r="G1449" s="32" t="str">
        <f aca="false">VLOOKUP($A1449,'Order Sales'!$A$2:$G$2154,G$1,FALSE())</f>
        <v>Home Office</v>
      </c>
    </row>
    <row r="1450" customFormat="false" ht="14.25" hidden="false" customHeight="false" outlineLevel="0" collapsed="false">
      <c r="A1450" s="1" t="n">
        <v>1722</v>
      </c>
      <c r="B1450" s="30" t="n">
        <v>43365</v>
      </c>
      <c r="C1450" s="30" t="n">
        <v>44572</v>
      </c>
      <c r="D1450" s="31" t="n">
        <f aca="false">VLOOKUP(A1450,'Order Shipping'!$A$2:$C$2000,3,FALSE())</f>
        <v>1.3</v>
      </c>
      <c r="E1450" s="32" t="n">
        <f aca="false">VLOOKUP($A1450,'Order Sales'!$A$2:$G$2154,E$1,FALSE())</f>
        <v>47</v>
      </c>
      <c r="F1450" s="32" t="n">
        <f aca="false">VLOOKUP($A1450,'Order Sales'!$A$2:$G$2154,F$1,FALSE())</f>
        <v>204.51</v>
      </c>
      <c r="G1450" s="32" t="str">
        <f aca="false">VLOOKUP($A1450,'Order Sales'!$A$2:$G$2154,G$1,FALSE())</f>
        <v>Small Business</v>
      </c>
    </row>
    <row r="1451" customFormat="false" ht="14.25" hidden="false" customHeight="false" outlineLevel="0" collapsed="false">
      <c r="A1451" s="1" t="n">
        <v>1217</v>
      </c>
      <c r="B1451" s="30" t="n">
        <v>43240</v>
      </c>
      <c r="C1451" s="30" t="n">
        <v>44573</v>
      </c>
      <c r="D1451" s="31" t="n">
        <f aca="false">VLOOKUP(A1451,'Order Shipping'!$A$2:$C$2000,3,FALSE())</f>
        <v>2.1</v>
      </c>
      <c r="E1451" s="32" t="n">
        <f aca="false">VLOOKUP($A1451,'Order Sales'!$A$2:$G$2154,E$1,FALSE())</f>
        <v>21</v>
      </c>
      <c r="F1451" s="32" t="n">
        <f aca="false">VLOOKUP($A1451,'Order Sales'!$A$2:$G$2154,F$1,FALSE())</f>
        <v>801.25</v>
      </c>
      <c r="G1451" s="32" t="str">
        <f aca="false">VLOOKUP($A1451,'Order Sales'!$A$2:$G$2154,G$1,FALSE())</f>
        <v>Corporate</v>
      </c>
    </row>
    <row r="1452" customFormat="false" ht="14.25" hidden="false" customHeight="false" outlineLevel="0" collapsed="false">
      <c r="A1452" s="1" t="n">
        <v>1771</v>
      </c>
      <c r="B1452" s="30" t="n">
        <v>43200</v>
      </c>
      <c r="C1452" s="30" t="n">
        <v>44574</v>
      </c>
      <c r="D1452" s="31" t="n">
        <f aca="false">VLOOKUP(A1452,'Order Shipping'!$A$2:$C$2000,3,FALSE())</f>
        <v>5.9</v>
      </c>
      <c r="E1452" s="32" t="n">
        <f aca="false">VLOOKUP($A1452,'Order Sales'!$A$2:$G$2154,E$1,FALSE())</f>
        <v>19</v>
      </c>
      <c r="F1452" s="32" t="n">
        <f aca="false">VLOOKUP($A1452,'Order Sales'!$A$2:$G$2154,F$1,FALSE())</f>
        <v>3102.98</v>
      </c>
      <c r="G1452" s="32" t="str">
        <f aca="false">VLOOKUP($A1452,'Order Sales'!$A$2:$G$2154,G$1,FALSE())</f>
        <v>Small Business</v>
      </c>
    </row>
    <row r="1453" customFormat="false" ht="14.25" hidden="false" customHeight="false" outlineLevel="0" collapsed="false">
      <c r="A1453" s="1" t="n">
        <v>2151</v>
      </c>
      <c r="B1453" s="30" t="n">
        <v>43141</v>
      </c>
      <c r="C1453" s="30" t="n">
        <v>44575</v>
      </c>
      <c r="D1453" s="31" t="n">
        <f aca="false">VLOOKUP(A1453,'Order Shipping'!$A$2:$C$2000,3,FALSE())</f>
        <v>37.5</v>
      </c>
      <c r="E1453" s="32" t="n">
        <f aca="false">VLOOKUP($A1453,'Order Sales'!$A$2:$G$2154,E$1,FALSE())</f>
        <v>35</v>
      </c>
      <c r="F1453" s="32" t="n">
        <f aca="false">VLOOKUP($A1453,'Order Sales'!$A$2:$G$2154,F$1,FALSE())</f>
        <v>1352.62</v>
      </c>
      <c r="G1453" s="32" t="str">
        <f aca="false">VLOOKUP($A1453,'Order Sales'!$A$2:$G$2154,G$1,FALSE())</f>
        <v>Home Office</v>
      </c>
    </row>
    <row r="1454" customFormat="false" ht="14.25" hidden="false" customHeight="false" outlineLevel="0" collapsed="false">
      <c r="A1454" s="1" t="n">
        <v>1315</v>
      </c>
      <c r="B1454" s="30" t="n">
        <v>43121</v>
      </c>
      <c r="C1454" s="30" t="n">
        <v>44576</v>
      </c>
      <c r="D1454" s="31" t="n">
        <f aca="false">VLOOKUP(A1454,'Order Shipping'!$A$2:$C$2000,3,FALSE())</f>
        <v>4.8</v>
      </c>
      <c r="E1454" s="32" t="n">
        <f aca="false">VLOOKUP($A1454,'Order Sales'!$A$2:$G$2154,E$1,FALSE())</f>
        <v>39</v>
      </c>
      <c r="F1454" s="32" t="n">
        <f aca="false">VLOOKUP($A1454,'Order Sales'!$A$2:$G$2154,F$1,FALSE())</f>
        <v>2075.44</v>
      </c>
      <c r="G1454" s="32" t="str">
        <f aca="false">VLOOKUP($A1454,'Order Sales'!$A$2:$G$2154,G$1,FALSE())</f>
        <v>Consumer</v>
      </c>
    </row>
    <row r="1455" customFormat="false" ht="14.25" hidden="false" customHeight="false" outlineLevel="0" collapsed="false">
      <c r="A1455" s="1" t="n">
        <v>1006</v>
      </c>
      <c r="B1455" s="30" t="n">
        <v>43295</v>
      </c>
      <c r="C1455" s="30" t="n">
        <v>44577</v>
      </c>
      <c r="D1455" s="31" t="n">
        <f aca="false">VLOOKUP(A1455,'Order Shipping'!$A$2:$C$2000,3,FALSE())</f>
        <v>5.4</v>
      </c>
      <c r="E1455" s="32" t="n">
        <f aca="false">VLOOKUP($A1455,'Order Sales'!$A$2:$G$2154,E$1,FALSE())</f>
        <v>23</v>
      </c>
      <c r="F1455" s="32" t="n">
        <f aca="false">VLOOKUP($A1455,'Order Sales'!$A$2:$G$2154,F$1,FALSE())</f>
        <v>171.45</v>
      </c>
      <c r="G1455" s="32" t="str">
        <f aca="false">VLOOKUP($A1455,'Order Sales'!$A$2:$G$2154,G$1,FALSE())</f>
        <v>Corporate</v>
      </c>
    </row>
    <row r="1456" customFormat="false" ht="14.25" hidden="false" customHeight="false" outlineLevel="0" collapsed="false">
      <c r="A1456" s="1" t="n">
        <v>2291</v>
      </c>
      <c r="B1456" s="30" t="n">
        <v>43316</v>
      </c>
      <c r="C1456" s="30" t="n">
        <v>44578</v>
      </c>
      <c r="D1456" s="31" t="n">
        <f aca="false">VLOOKUP(A1456,'Order Shipping'!$A$2:$C$2000,3,FALSE())</f>
        <v>5.4</v>
      </c>
      <c r="E1456" s="32" t="n">
        <f aca="false">VLOOKUP($A1456,'Order Sales'!$A$2:$G$2154,E$1,FALSE())</f>
        <v>22</v>
      </c>
      <c r="F1456" s="32" t="n">
        <f aca="false">VLOOKUP($A1456,'Order Sales'!$A$2:$G$2154,F$1,FALSE())</f>
        <v>84.57</v>
      </c>
      <c r="G1456" s="32" t="str">
        <f aca="false">VLOOKUP($A1456,'Order Sales'!$A$2:$G$2154,G$1,FALSE())</f>
        <v>Consumer</v>
      </c>
    </row>
    <row r="1457" customFormat="false" ht="14.25" hidden="false" customHeight="false" outlineLevel="0" collapsed="false">
      <c r="A1457" s="1" t="n">
        <v>1868</v>
      </c>
      <c r="B1457" s="30" t="n">
        <v>43357</v>
      </c>
      <c r="C1457" s="30" t="n">
        <v>44579</v>
      </c>
      <c r="D1457" s="31" t="n">
        <f aca="false">VLOOKUP(A1457,'Order Shipping'!$A$2:$C$2000,3,FALSE())</f>
        <v>5.3</v>
      </c>
      <c r="E1457" s="32" t="n">
        <f aca="false">VLOOKUP($A1457,'Order Sales'!$A$2:$G$2154,E$1,FALSE())</f>
        <v>23</v>
      </c>
      <c r="F1457" s="32" t="n">
        <f aca="false">VLOOKUP($A1457,'Order Sales'!$A$2:$G$2154,F$1,FALSE())</f>
        <v>1259.33</v>
      </c>
      <c r="G1457" s="32" t="str">
        <f aca="false">VLOOKUP($A1457,'Order Sales'!$A$2:$G$2154,G$1,FALSE())</f>
        <v>Corporate</v>
      </c>
    </row>
    <row r="1458" customFormat="false" ht="14.25" hidden="false" customHeight="false" outlineLevel="0" collapsed="false">
      <c r="A1458" s="1" t="n">
        <v>2311</v>
      </c>
      <c r="B1458" s="30" t="n">
        <v>43252</v>
      </c>
      <c r="C1458" s="30" t="n">
        <v>44580</v>
      </c>
      <c r="D1458" s="31" t="n">
        <f aca="false">VLOOKUP(A1458,'Order Shipping'!$A$2:$C$2000,3,FALSE())</f>
        <v>75.1</v>
      </c>
      <c r="E1458" s="32" t="n">
        <f aca="false">VLOOKUP($A1458,'Order Sales'!$A$2:$G$2154,E$1,FALSE())</f>
        <v>40</v>
      </c>
      <c r="F1458" s="32" t="n">
        <f aca="false">VLOOKUP($A1458,'Order Sales'!$A$2:$G$2154,F$1,FALSE())</f>
        <v>5181.16</v>
      </c>
      <c r="G1458" s="32" t="str">
        <f aca="false">VLOOKUP($A1458,'Order Sales'!$A$2:$G$2154,G$1,FALSE())</f>
        <v>Home Office</v>
      </c>
    </row>
    <row r="1459" customFormat="false" ht="14.25" hidden="false" customHeight="false" outlineLevel="0" collapsed="false">
      <c r="A1459" s="1" t="n">
        <v>2272</v>
      </c>
      <c r="B1459" s="30" t="n">
        <v>43212</v>
      </c>
      <c r="C1459" s="30" t="n">
        <v>44581</v>
      </c>
      <c r="D1459" s="31" t="n">
        <f aca="false">VLOOKUP(A1459,'Order Shipping'!$A$2:$C$2000,3,FALSE())</f>
        <v>21.4</v>
      </c>
      <c r="E1459" s="32" t="n">
        <f aca="false">VLOOKUP($A1459,'Order Sales'!$A$2:$G$2154,E$1,FALSE())</f>
        <v>9</v>
      </c>
      <c r="F1459" s="32" t="n">
        <f aca="false">VLOOKUP($A1459,'Order Sales'!$A$2:$G$2154,F$1,FALSE())</f>
        <v>1285.62</v>
      </c>
      <c r="G1459" s="32" t="str">
        <f aca="false">VLOOKUP($A1459,'Order Sales'!$A$2:$G$2154,G$1,FALSE())</f>
        <v>Consumer</v>
      </c>
    </row>
    <row r="1460" customFormat="false" ht="14.25" hidden="false" customHeight="false" outlineLevel="0" collapsed="false">
      <c r="A1460" s="1" t="n">
        <v>2012</v>
      </c>
      <c r="B1460" s="30" t="n">
        <v>43182</v>
      </c>
      <c r="C1460" s="30" t="n">
        <v>44582</v>
      </c>
      <c r="D1460" s="31" t="n">
        <f aca="false">VLOOKUP(A1460,'Order Shipping'!$A$2:$C$2000,3,FALSE())</f>
        <v>2.8</v>
      </c>
      <c r="E1460" s="32" t="n">
        <f aca="false">VLOOKUP($A1460,'Order Sales'!$A$2:$G$2154,E$1,FALSE())</f>
        <v>21</v>
      </c>
      <c r="F1460" s="32" t="n">
        <f aca="false">VLOOKUP($A1460,'Order Sales'!$A$2:$G$2154,F$1,FALSE())</f>
        <v>186.42</v>
      </c>
      <c r="G1460" s="32" t="str">
        <f aca="false">VLOOKUP($A1460,'Order Sales'!$A$2:$G$2154,G$1,FALSE())</f>
        <v>Home Office</v>
      </c>
    </row>
    <row r="1461" customFormat="false" ht="14.25" hidden="false" customHeight="false" outlineLevel="0" collapsed="false">
      <c r="A1461" s="1" t="n">
        <v>1170</v>
      </c>
      <c r="B1461" s="30" t="n">
        <v>43384</v>
      </c>
      <c r="C1461" s="30" t="n">
        <v>44583</v>
      </c>
      <c r="D1461" s="31" t="n">
        <f aca="false">VLOOKUP(A1461,'Order Shipping'!$A$2:$C$2000,3,FALSE())</f>
        <v>1.1</v>
      </c>
      <c r="E1461" s="32" t="n">
        <f aca="false">VLOOKUP($A1461,'Order Sales'!$A$2:$G$2154,E$1,FALSE())</f>
        <v>11</v>
      </c>
      <c r="F1461" s="32" t="n">
        <f aca="false">VLOOKUP($A1461,'Order Sales'!$A$2:$G$2154,F$1,FALSE())</f>
        <v>36.03</v>
      </c>
      <c r="G1461" s="32" t="str">
        <f aca="false">VLOOKUP($A1461,'Order Sales'!$A$2:$G$2154,G$1,FALSE())</f>
        <v>Home Office</v>
      </c>
    </row>
    <row r="1462" customFormat="false" ht="14.25" hidden="false" customHeight="false" outlineLevel="0" collapsed="false">
      <c r="A1462" s="1" t="n">
        <v>2335</v>
      </c>
      <c r="B1462" s="30" t="n">
        <v>43160</v>
      </c>
      <c r="C1462" s="30" t="n">
        <v>44584</v>
      </c>
      <c r="D1462" s="31" t="n">
        <f aca="false">VLOOKUP(A1462,'Order Shipping'!$A$2:$C$2000,3,FALSE())</f>
        <v>4.8</v>
      </c>
      <c r="E1462" s="32" t="n">
        <f aca="false">VLOOKUP($A1462,'Order Sales'!$A$2:$G$2154,E$1,FALSE())</f>
        <v>50</v>
      </c>
      <c r="F1462" s="32" t="n">
        <f aca="false">VLOOKUP($A1462,'Order Sales'!$A$2:$G$2154,F$1,FALSE())</f>
        <v>450.86</v>
      </c>
      <c r="G1462" s="32" t="str">
        <f aca="false">VLOOKUP($A1462,'Order Sales'!$A$2:$G$2154,G$1,FALSE())</f>
        <v>Consumer</v>
      </c>
    </row>
    <row r="1463" customFormat="false" ht="14.25" hidden="false" customHeight="false" outlineLevel="0" collapsed="false">
      <c r="A1463" s="1" t="n">
        <v>2551</v>
      </c>
      <c r="B1463" s="30" t="n">
        <v>43143</v>
      </c>
      <c r="C1463" s="30" t="n">
        <v>44585</v>
      </c>
      <c r="D1463" s="31" t="n">
        <f aca="false">VLOOKUP(A1463,'Order Shipping'!$A$2:$C$2000,3,FALSE())</f>
        <v>66.1</v>
      </c>
      <c r="E1463" s="32" t="n">
        <f aca="false">VLOOKUP($A1463,'Order Sales'!$A$2:$G$2154,E$1,FALSE())</f>
        <v>19</v>
      </c>
      <c r="F1463" s="32" t="n">
        <f aca="false">VLOOKUP($A1463,'Order Sales'!$A$2:$G$2154,F$1,FALSE())</f>
        <v>5821.93</v>
      </c>
      <c r="G1463" s="32" t="str">
        <f aca="false">VLOOKUP($A1463,'Order Sales'!$A$2:$G$2154,G$1,FALSE())</f>
        <v>Corporate</v>
      </c>
    </row>
    <row r="1464" customFormat="false" ht="14.25" hidden="false" customHeight="false" outlineLevel="0" collapsed="false">
      <c r="A1464" s="1" t="n">
        <v>2581</v>
      </c>
      <c r="B1464" s="30" t="n">
        <v>43325</v>
      </c>
      <c r="C1464" s="30" t="n">
        <v>44586</v>
      </c>
      <c r="D1464" s="31" t="n">
        <f aca="false">VLOOKUP(A1464,'Order Shipping'!$A$2:$C$2000,3,FALSE())</f>
        <v>1.3</v>
      </c>
      <c r="E1464" s="32" t="n">
        <f aca="false">VLOOKUP($A1464,'Order Sales'!$A$2:$G$2154,E$1,FALSE())</f>
        <v>3</v>
      </c>
      <c r="F1464" s="32" t="n">
        <f aca="false">VLOOKUP($A1464,'Order Sales'!$A$2:$G$2154,F$1,FALSE())</f>
        <v>20.94</v>
      </c>
      <c r="G1464" s="32" t="str">
        <f aca="false">VLOOKUP($A1464,'Order Sales'!$A$2:$G$2154,G$1,FALSE())</f>
        <v>Home Office</v>
      </c>
    </row>
    <row r="1465" customFormat="false" ht="14.25" hidden="false" customHeight="false" outlineLevel="0" collapsed="false">
      <c r="A1465" s="1" t="n">
        <v>1040</v>
      </c>
      <c r="B1465" s="30" t="n">
        <v>43436</v>
      </c>
      <c r="C1465" s="30" t="n">
        <v>44587</v>
      </c>
      <c r="D1465" s="31" t="n">
        <f aca="false">VLOOKUP(A1465,'Order Shipping'!$A$2:$C$2000,3,FALSE())</f>
        <v>52.4</v>
      </c>
      <c r="E1465" s="32" t="n">
        <f aca="false">VLOOKUP($A1465,'Order Sales'!$A$2:$G$2154,E$1,FALSE())</f>
        <v>17</v>
      </c>
      <c r="F1465" s="32" t="n">
        <f aca="false">VLOOKUP($A1465,'Order Sales'!$A$2:$G$2154,F$1,FALSE())</f>
        <v>135.43</v>
      </c>
      <c r="G1465" s="32" t="str">
        <f aca="false">VLOOKUP($A1465,'Order Sales'!$A$2:$G$2154,G$1,FALSE())</f>
        <v>Small Business</v>
      </c>
    </row>
    <row r="1466" customFormat="false" ht="14.25" hidden="false" customHeight="false" outlineLevel="0" collapsed="false">
      <c r="A1466" s="1" t="n">
        <v>2630</v>
      </c>
      <c r="B1466" s="30" t="n">
        <v>43140</v>
      </c>
      <c r="C1466" s="30" t="n">
        <v>44588</v>
      </c>
      <c r="D1466" s="31" t="n">
        <f aca="false">VLOOKUP(A1466,'Order Shipping'!$A$2:$C$2000,3,FALSE())</f>
        <v>52.4</v>
      </c>
      <c r="E1466" s="32" t="n">
        <f aca="false">VLOOKUP($A1466,'Order Sales'!$A$2:$G$2154,E$1,FALSE())</f>
        <v>26</v>
      </c>
      <c r="F1466" s="32" t="n">
        <f aca="false">VLOOKUP($A1466,'Order Sales'!$A$2:$G$2154,F$1,FALSE())</f>
        <v>183.12</v>
      </c>
      <c r="G1466" s="32" t="str">
        <f aca="false">VLOOKUP($A1466,'Order Sales'!$A$2:$G$2154,G$1,FALSE())</f>
        <v>Corporate</v>
      </c>
    </row>
    <row r="1467" customFormat="false" ht="14.25" hidden="false" customHeight="false" outlineLevel="0" collapsed="false">
      <c r="A1467" s="1" t="n">
        <v>2648</v>
      </c>
      <c r="B1467" s="30" t="n">
        <v>43184</v>
      </c>
      <c r="C1467" s="30" t="n">
        <v>44589</v>
      </c>
      <c r="D1467" s="31" t="n">
        <f aca="false">VLOOKUP(A1467,'Order Shipping'!$A$2:$C$2000,3,FALSE())</f>
        <v>10.7</v>
      </c>
      <c r="E1467" s="32" t="n">
        <f aca="false">VLOOKUP($A1467,'Order Sales'!$A$2:$G$2154,E$1,FALSE())</f>
        <v>18</v>
      </c>
      <c r="F1467" s="32" t="n">
        <f aca="false">VLOOKUP($A1467,'Order Sales'!$A$2:$G$2154,F$1,FALSE())</f>
        <v>4045.06</v>
      </c>
      <c r="G1467" s="32" t="str">
        <f aca="false">VLOOKUP($A1467,'Order Sales'!$A$2:$G$2154,G$1,FALSE())</f>
        <v>Corporate</v>
      </c>
    </row>
    <row r="1468" customFormat="false" ht="14.25" hidden="false" customHeight="false" outlineLevel="0" collapsed="false">
      <c r="A1468" s="1" t="n">
        <v>1341</v>
      </c>
      <c r="B1468" s="30" t="n">
        <v>43294</v>
      </c>
      <c r="C1468" s="30" t="n">
        <v>44590</v>
      </c>
      <c r="D1468" s="31" t="n">
        <f aca="false">VLOOKUP(A1468,'Order Shipping'!$A$2:$C$2000,3,FALSE())</f>
        <v>15</v>
      </c>
      <c r="E1468" s="32" t="n">
        <f aca="false">VLOOKUP($A1468,'Order Sales'!$A$2:$G$2154,E$1,FALSE())</f>
        <v>9</v>
      </c>
      <c r="F1468" s="32" t="n">
        <f aca="false">VLOOKUP($A1468,'Order Sales'!$A$2:$G$2154,F$1,FALSE())</f>
        <v>855.98</v>
      </c>
      <c r="G1468" s="32" t="str">
        <f aca="false">VLOOKUP($A1468,'Order Sales'!$A$2:$G$2154,G$1,FALSE())</f>
        <v>Corporate</v>
      </c>
    </row>
    <row r="1469" customFormat="false" ht="14.25" hidden="false" customHeight="false" outlineLevel="0" collapsed="false">
      <c r="A1469" s="1" t="n">
        <v>2135</v>
      </c>
      <c r="B1469" s="30" t="n">
        <v>43222</v>
      </c>
      <c r="C1469" s="30" t="n">
        <v>44591</v>
      </c>
      <c r="D1469" s="31" t="n">
        <f aca="false">VLOOKUP(A1469,'Order Shipping'!$A$2:$C$2000,3,FALSE())</f>
        <v>21.4</v>
      </c>
      <c r="E1469" s="32" t="n">
        <f aca="false">VLOOKUP($A1469,'Order Sales'!$A$2:$G$2154,E$1,FALSE())</f>
        <v>47</v>
      </c>
      <c r="F1469" s="32" t="n">
        <f aca="false">VLOOKUP($A1469,'Order Sales'!$A$2:$G$2154,F$1,FALSE())</f>
        <v>1593.08</v>
      </c>
      <c r="G1469" s="32" t="str">
        <f aca="false">VLOOKUP($A1469,'Order Sales'!$A$2:$G$2154,G$1,FALSE())</f>
        <v>Home Office</v>
      </c>
    </row>
    <row r="1470" customFormat="false" ht="14.25" hidden="false" customHeight="false" outlineLevel="0" collapsed="false">
      <c r="A1470" s="1" t="n">
        <v>2959</v>
      </c>
      <c r="B1470" s="30" t="n">
        <v>43334</v>
      </c>
      <c r="C1470" s="30" t="n">
        <v>44592</v>
      </c>
      <c r="D1470" s="31" t="n">
        <f aca="false">VLOOKUP(A1470,'Order Shipping'!$A$2:$C$2000,3,FALSE())</f>
        <v>5.3</v>
      </c>
      <c r="E1470" s="32" t="n">
        <f aca="false">VLOOKUP($A1470,'Order Sales'!$A$2:$G$2154,E$1,FALSE())</f>
        <v>42</v>
      </c>
      <c r="F1470" s="32" t="n">
        <f aca="false">VLOOKUP($A1470,'Order Sales'!$A$2:$G$2154,F$1,FALSE())</f>
        <v>2584.04</v>
      </c>
      <c r="G1470" s="32" t="str">
        <f aca="false">VLOOKUP($A1470,'Order Sales'!$A$2:$G$2154,G$1,FALSE())</f>
        <v>Consumer</v>
      </c>
    </row>
    <row r="1471" customFormat="false" ht="14.25" hidden="false" customHeight="false" outlineLevel="0" collapsed="false">
      <c r="A1471" s="1" t="n">
        <v>1738</v>
      </c>
      <c r="B1471" s="30" t="n">
        <v>43381</v>
      </c>
      <c r="C1471" s="30" t="n">
        <v>44593</v>
      </c>
      <c r="D1471" s="31" t="n">
        <f aca="false">VLOOKUP(A1471,'Order Shipping'!$A$2:$C$2000,3,FALSE())</f>
        <v>1.1</v>
      </c>
      <c r="E1471" s="32" t="n">
        <f aca="false">VLOOKUP($A1471,'Order Sales'!$A$2:$G$2154,E$1,FALSE())</f>
        <v>39</v>
      </c>
      <c r="F1471" s="32" t="n">
        <f aca="false">VLOOKUP($A1471,'Order Sales'!$A$2:$G$2154,F$1,FALSE())</f>
        <v>2573.35</v>
      </c>
      <c r="G1471" s="32" t="str">
        <f aca="false">VLOOKUP($A1471,'Order Sales'!$A$2:$G$2154,G$1,FALSE())</f>
        <v>Home Office</v>
      </c>
    </row>
    <row r="1472" customFormat="false" ht="14.25" hidden="false" customHeight="false" outlineLevel="0" collapsed="false">
      <c r="A1472" s="1" t="n">
        <v>2215</v>
      </c>
      <c r="B1472" s="30" t="n">
        <v>43336</v>
      </c>
      <c r="C1472" s="30" t="n">
        <v>44594</v>
      </c>
      <c r="D1472" s="31" t="n">
        <f aca="false">VLOOKUP(A1472,'Order Shipping'!$A$2:$C$2000,3,FALSE())</f>
        <v>8.8</v>
      </c>
      <c r="E1472" s="32" t="n">
        <f aca="false">VLOOKUP($A1472,'Order Sales'!$A$2:$G$2154,E$1,FALSE())</f>
        <v>15</v>
      </c>
      <c r="F1472" s="32" t="n">
        <f aca="false">VLOOKUP($A1472,'Order Sales'!$A$2:$G$2154,F$1,FALSE())</f>
        <v>378.27</v>
      </c>
      <c r="G1472" s="32" t="str">
        <f aca="false">VLOOKUP($A1472,'Order Sales'!$A$2:$G$2154,G$1,FALSE())</f>
        <v>Corporate</v>
      </c>
    </row>
    <row r="1473" customFormat="false" ht="14.25" hidden="false" customHeight="false" outlineLevel="0" collapsed="false">
      <c r="A1473" s="1" t="n">
        <v>1869</v>
      </c>
      <c r="B1473" s="30" t="n">
        <v>43357</v>
      </c>
      <c r="C1473" s="30" t="n">
        <v>44595</v>
      </c>
      <c r="D1473" s="31" t="n">
        <f aca="false">VLOOKUP(A1473,'Order Shipping'!$A$2:$C$2000,3,FALSE())</f>
        <v>7</v>
      </c>
      <c r="E1473" s="32" t="n">
        <f aca="false">VLOOKUP($A1473,'Order Sales'!$A$2:$G$2154,E$1,FALSE())</f>
        <v>38</v>
      </c>
      <c r="F1473" s="32" t="n">
        <f aca="false">VLOOKUP($A1473,'Order Sales'!$A$2:$G$2154,F$1,FALSE())</f>
        <v>1316.99</v>
      </c>
      <c r="G1473" s="32" t="str">
        <f aca="false">VLOOKUP($A1473,'Order Sales'!$A$2:$G$2154,G$1,FALSE())</f>
        <v>Corporate</v>
      </c>
    </row>
    <row r="1474" customFormat="false" ht="14.25" hidden="false" customHeight="false" outlineLevel="0" collapsed="false">
      <c r="A1474" s="1" t="n">
        <v>2657</v>
      </c>
      <c r="B1474" s="30" t="n">
        <v>43296</v>
      </c>
      <c r="C1474" s="30" t="n">
        <v>44596</v>
      </c>
      <c r="D1474" s="31" t="n">
        <f aca="false">VLOOKUP(A1474,'Order Shipping'!$A$2:$C$2000,3,FALSE())</f>
        <v>10.7</v>
      </c>
      <c r="E1474" s="32" t="n">
        <f aca="false">VLOOKUP($A1474,'Order Sales'!$A$2:$G$2154,E$1,FALSE())</f>
        <v>2</v>
      </c>
      <c r="F1474" s="32" t="n">
        <f aca="false">VLOOKUP($A1474,'Order Sales'!$A$2:$G$2154,F$1,FALSE())</f>
        <v>452.65</v>
      </c>
      <c r="G1474" s="32" t="str">
        <f aca="false">VLOOKUP($A1474,'Order Sales'!$A$2:$G$2154,G$1,FALSE())</f>
        <v>Small Business</v>
      </c>
    </row>
    <row r="1475" customFormat="false" ht="14.25" hidden="false" customHeight="false" outlineLevel="0" collapsed="false">
      <c r="A1475" s="1" t="n">
        <v>2548</v>
      </c>
      <c r="B1475" s="30" t="n">
        <v>43420</v>
      </c>
      <c r="C1475" s="30" t="n">
        <v>44597</v>
      </c>
      <c r="D1475" s="31" t="n">
        <f aca="false">VLOOKUP(A1475,'Order Shipping'!$A$2:$C$2000,3,FALSE())</f>
        <v>6.3</v>
      </c>
      <c r="E1475" s="32" t="n">
        <f aca="false">VLOOKUP($A1475,'Order Sales'!$A$2:$G$2154,E$1,FALSE())</f>
        <v>26</v>
      </c>
      <c r="F1475" s="32" t="n">
        <f aca="false">VLOOKUP($A1475,'Order Sales'!$A$2:$G$2154,F$1,FALSE())</f>
        <v>2545.88</v>
      </c>
      <c r="G1475" s="32" t="str">
        <f aca="false">VLOOKUP($A1475,'Order Sales'!$A$2:$G$2154,G$1,FALSE())</f>
        <v>Corporate</v>
      </c>
    </row>
    <row r="1476" customFormat="false" ht="14.25" hidden="false" customHeight="false" outlineLevel="0" collapsed="false">
      <c r="A1476" s="1" t="n">
        <v>2461</v>
      </c>
      <c r="B1476" s="30" t="n">
        <v>43422</v>
      </c>
      <c r="C1476" s="30" t="n">
        <v>44598</v>
      </c>
      <c r="D1476" s="31" t="n">
        <f aca="false">VLOOKUP(A1476,'Order Shipping'!$A$2:$C$2000,3,FALSE())</f>
        <v>6.2</v>
      </c>
      <c r="E1476" s="32" t="n">
        <f aca="false">VLOOKUP($A1476,'Order Sales'!$A$2:$G$2154,E$1,FALSE())</f>
        <v>17</v>
      </c>
      <c r="F1476" s="32" t="n">
        <f aca="false">VLOOKUP($A1476,'Order Sales'!$A$2:$G$2154,F$1,FALSE())</f>
        <v>122.28</v>
      </c>
      <c r="G1476" s="32" t="str">
        <f aca="false">VLOOKUP($A1476,'Order Sales'!$A$2:$G$2154,G$1,FALSE())</f>
        <v>Corporate</v>
      </c>
    </row>
    <row r="1477" customFormat="false" ht="14.25" hidden="false" customHeight="false" outlineLevel="0" collapsed="false">
      <c r="A1477" s="1" t="n">
        <v>1028</v>
      </c>
      <c r="B1477" s="30" t="n">
        <v>43459</v>
      </c>
      <c r="C1477" s="30" t="n">
        <v>44599</v>
      </c>
      <c r="D1477" s="31" t="n">
        <f aca="false">VLOOKUP(A1477,'Order Shipping'!$A$2:$C$2000,3,FALSE())</f>
        <v>1.9</v>
      </c>
      <c r="E1477" s="32" t="n">
        <f aca="false">VLOOKUP($A1477,'Order Sales'!$A$2:$G$2154,E$1,FALSE())</f>
        <v>42</v>
      </c>
      <c r="F1477" s="32" t="n">
        <f aca="false">VLOOKUP($A1477,'Order Sales'!$A$2:$G$2154,F$1,FALSE())</f>
        <v>250.59</v>
      </c>
      <c r="G1477" s="32" t="str">
        <f aca="false">VLOOKUP($A1477,'Order Sales'!$A$2:$G$2154,G$1,FALSE())</f>
        <v>Small Business</v>
      </c>
    </row>
    <row r="1478" customFormat="false" ht="14.25" hidden="false" customHeight="false" outlineLevel="0" collapsed="false">
      <c r="A1478" s="1" t="n">
        <v>2065</v>
      </c>
      <c r="B1478" s="30" t="n">
        <v>43311</v>
      </c>
      <c r="C1478" s="30" t="n">
        <v>44600</v>
      </c>
      <c r="D1478" s="31" t="n">
        <f aca="false">VLOOKUP(A1478,'Order Shipping'!$A$2:$C$2000,3,FALSE())</f>
        <v>0.7</v>
      </c>
      <c r="E1478" s="32" t="n">
        <f aca="false">VLOOKUP($A1478,'Order Sales'!$A$2:$G$2154,E$1,FALSE())</f>
        <v>31</v>
      </c>
      <c r="F1478" s="32" t="n">
        <f aca="false">VLOOKUP($A1478,'Order Sales'!$A$2:$G$2154,F$1,FALSE())</f>
        <v>41.22</v>
      </c>
      <c r="G1478" s="32" t="str">
        <f aca="false">VLOOKUP($A1478,'Order Sales'!$A$2:$G$2154,G$1,FALSE())</f>
        <v>Small Business</v>
      </c>
    </row>
    <row r="1479" customFormat="false" ht="14.25" hidden="false" customHeight="false" outlineLevel="0" collapsed="false">
      <c r="A1479" s="1" t="n">
        <v>2465</v>
      </c>
      <c r="B1479" s="30" t="n">
        <v>43353</v>
      </c>
      <c r="C1479" s="30" t="n">
        <v>44601</v>
      </c>
      <c r="D1479" s="31" t="n">
        <f aca="false">VLOOKUP(A1479,'Order Shipping'!$A$2:$C$2000,3,FALSE())</f>
        <v>8.1</v>
      </c>
      <c r="E1479" s="32" t="n">
        <f aca="false">VLOOKUP($A1479,'Order Sales'!$A$2:$G$2154,E$1,FALSE())</f>
        <v>4</v>
      </c>
      <c r="F1479" s="32" t="n">
        <f aca="false">VLOOKUP($A1479,'Order Sales'!$A$2:$G$2154,F$1,FALSE())</f>
        <v>111.17</v>
      </c>
      <c r="G1479" s="32" t="str">
        <f aca="false">VLOOKUP($A1479,'Order Sales'!$A$2:$G$2154,G$1,FALSE())</f>
        <v>Home Office</v>
      </c>
    </row>
    <row r="1480" customFormat="false" ht="14.25" hidden="false" customHeight="false" outlineLevel="0" collapsed="false">
      <c r="A1480" s="1" t="n">
        <v>1848</v>
      </c>
      <c r="B1480" s="30" t="n">
        <v>43154</v>
      </c>
      <c r="C1480" s="30" t="n">
        <v>44602</v>
      </c>
      <c r="D1480" s="31" t="n">
        <f aca="false">VLOOKUP(A1480,'Order Shipping'!$A$2:$C$2000,3,FALSE())</f>
        <v>8</v>
      </c>
      <c r="E1480" s="32" t="n">
        <f aca="false">VLOOKUP($A1480,'Order Sales'!$A$2:$G$2154,E$1,FALSE())</f>
        <v>38</v>
      </c>
      <c r="F1480" s="32" t="n">
        <f aca="false">VLOOKUP($A1480,'Order Sales'!$A$2:$G$2154,F$1,FALSE())</f>
        <v>146.06</v>
      </c>
      <c r="G1480" s="32" t="str">
        <f aca="false">VLOOKUP($A1480,'Order Sales'!$A$2:$G$2154,G$1,FALSE())</f>
        <v>Corporate</v>
      </c>
    </row>
    <row r="1481" customFormat="false" ht="14.25" hidden="false" customHeight="false" outlineLevel="0" collapsed="false">
      <c r="A1481" s="1" t="n">
        <v>1113</v>
      </c>
      <c r="B1481" s="30" t="n">
        <v>43417</v>
      </c>
      <c r="C1481" s="30" t="n">
        <v>44603</v>
      </c>
      <c r="D1481" s="31" t="n">
        <f aca="false">VLOOKUP(A1481,'Order Shipping'!$A$2:$C$2000,3,FALSE())</f>
        <v>0.7</v>
      </c>
      <c r="E1481" s="32" t="n">
        <f aca="false">VLOOKUP($A1481,'Order Sales'!$A$2:$G$2154,E$1,FALSE())</f>
        <v>31</v>
      </c>
      <c r="F1481" s="32" t="n">
        <f aca="false">VLOOKUP($A1481,'Order Sales'!$A$2:$G$2154,F$1,FALSE())</f>
        <v>152.98</v>
      </c>
      <c r="G1481" s="32" t="str">
        <f aca="false">VLOOKUP($A1481,'Order Sales'!$A$2:$G$2154,G$1,FALSE())</f>
        <v>Corporate</v>
      </c>
    </row>
    <row r="1482" customFormat="false" ht="14.25" hidden="false" customHeight="false" outlineLevel="0" collapsed="false">
      <c r="A1482" s="1" t="n">
        <v>2537</v>
      </c>
      <c r="B1482" s="30" t="n">
        <v>43272</v>
      </c>
      <c r="C1482" s="30" t="n">
        <v>44604</v>
      </c>
      <c r="D1482" s="31" t="n">
        <f aca="false">VLOOKUP(A1482,'Order Shipping'!$A$2:$C$2000,3,FALSE())</f>
        <v>37.5</v>
      </c>
      <c r="E1482" s="32" t="n">
        <f aca="false">VLOOKUP($A1482,'Order Sales'!$A$2:$G$2154,E$1,FALSE())</f>
        <v>8</v>
      </c>
      <c r="F1482" s="32" t="n">
        <f aca="false">VLOOKUP($A1482,'Order Sales'!$A$2:$G$2154,F$1,FALSE())</f>
        <v>607.24</v>
      </c>
      <c r="G1482" s="32" t="str">
        <f aca="false">VLOOKUP($A1482,'Order Sales'!$A$2:$G$2154,G$1,FALSE())</f>
        <v>Home Office</v>
      </c>
    </row>
    <row r="1483" customFormat="false" ht="14.25" hidden="false" customHeight="false" outlineLevel="0" collapsed="false">
      <c r="A1483" s="1" t="n">
        <v>1402</v>
      </c>
      <c r="B1483" s="30" t="n">
        <v>43443</v>
      </c>
      <c r="C1483" s="30" t="n">
        <v>44605</v>
      </c>
      <c r="D1483" s="31" t="n">
        <f aca="false">VLOOKUP(A1483,'Order Shipping'!$A$2:$C$2000,3,FALSE())</f>
        <v>48.7</v>
      </c>
      <c r="E1483" s="32" t="n">
        <f aca="false">VLOOKUP($A1483,'Order Sales'!$A$2:$G$2154,E$1,FALSE())</f>
        <v>45</v>
      </c>
      <c r="F1483" s="32" t="n">
        <f aca="false">VLOOKUP($A1483,'Order Sales'!$A$2:$G$2154,F$1,FALSE())</f>
        <v>1297.83</v>
      </c>
      <c r="G1483" s="32" t="str">
        <f aca="false">VLOOKUP($A1483,'Order Sales'!$A$2:$G$2154,G$1,FALSE())</f>
        <v>Home Office</v>
      </c>
    </row>
    <row r="1484" customFormat="false" ht="14.25" hidden="false" customHeight="false" outlineLevel="0" collapsed="false">
      <c r="A1484" s="1" t="n">
        <v>1071</v>
      </c>
      <c r="B1484" s="30" t="n">
        <v>43137</v>
      </c>
      <c r="C1484" s="30" t="n">
        <v>44606</v>
      </c>
      <c r="D1484" s="31" t="n">
        <f aca="false">VLOOKUP(A1484,'Order Shipping'!$A$2:$C$2000,3,FALSE())</f>
        <v>9.6</v>
      </c>
      <c r="E1484" s="32" t="n">
        <f aca="false">VLOOKUP($A1484,'Order Sales'!$A$2:$G$2154,E$1,FALSE())</f>
        <v>47</v>
      </c>
      <c r="F1484" s="32" t="n">
        <f aca="false">VLOOKUP($A1484,'Order Sales'!$A$2:$G$2154,F$1,FALSE())</f>
        <v>1442.97</v>
      </c>
      <c r="G1484" s="32" t="str">
        <f aca="false">VLOOKUP($A1484,'Order Sales'!$A$2:$G$2154,G$1,FALSE())</f>
        <v>Corporate</v>
      </c>
    </row>
    <row r="1485" customFormat="false" ht="14.25" hidden="false" customHeight="false" outlineLevel="0" collapsed="false">
      <c r="A1485" s="1" t="n">
        <v>1049</v>
      </c>
      <c r="B1485" s="30" t="n">
        <v>43159</v>
      </c>
      <c r="C1485" s="30" t="n">
        <v>44607</v>
      </c>
      <c r="D1485" s="31" t="n">
        <f aca="false">VLOOKUP(A1485,'Order Shipping'!$A$2:$C$2000,3,FALSE())</f>
        <v>4.3</v>
      </c>
      <c r="E1485" s="32" t="n">
        <f aca="false">VLOOKUP($A1485,'Order Sales'!$A$2:$G$2154,E$1,FALSE())</f>
        <v>21</v>
      </c>
      <c r="F1485" s="32" t="n">
        <f aca="false">VLOOKUP($A1485,'Order Sales'!$A$2:$G$2154,F$1,FALSE())</f>
        <v>1308.27</v>
      </c>
      <c r="G1485" s="32" t="str">
        <f aca="false">VLOOKUP($A1485,'Order Sales'!$A$2:$G$2154,G$1,FALSE())</f>
        <v>Consumer</v>
      </c>
    </row>
    <row r="1486" customFormat="false" ht="14.25" hidden="false" customHeight="false" outlineLevel="0" collapsed="false">
      <c r="A1486" s="1" t="n">
        <v>2048</v>
      </c>
      <c r="B1486" s="30" t="n">
        <v>43178</v>
      </c>
      <c r="C1486" s="30" t="n">
        <v>44608</v>
      </c>
      <c r="D1486" s="31" t="n">
        <f aca="false">VLOOKUP(A1486,'Order Shipping'!$A$2:$C$2000,3,FALSE())</f>
        <v>1.6</v>
      </c>
      <c r="E1486" s="32" t="n">
        <f aca="false">VLOOKUP($A1486,'Order Sales'!$A$2:$G$2154,E$1,FALSE())</f>
        <v>50</v>
      </c>
      <c r="F1486" s="32" t="n">
        <f aca="false">VLOOKUP($A1486,'Order Sales'!$A$2:$G$2154,F$1,FALSE())</f>
        <v>327.56</v>
      </c>
      <c r="G1486" s="32" t="str">
        <f aca="false">VLOOKUP($A1486,'Order Sales'!$A$2:$G$2154,G$1,FALSE())</f>
        <v>Home Office</v>
      </c>
    </row>
    <row r="1487" customFormat="false" ht="14.25" hidden="false" customHeight="false" outlineLevel="0" collapsed="false">
      <c r="A1487" s="1" t="n">
        <v>1815</v>
      </c>
      <c r="B1487" s="30" t="n">
        <v>43331</v>
      </c>
      <c r="C1487" s="30" t="n">
        <v>44609</v>
      </c>
      <c r="D1487" s="31" t="n">
        <f aca="false">VLOOKUP(A1487,'Order Shipping'!$A$2:$C$2000,3,FALSE())</f>
        <v>2.5</v>
      </c>
      <c r="E1487" s="32" t="n">
        <f aca="false">VLOOKUP($A1487,'Order Sales'!$A$2:$G$2154,E$1,FALSE())</f>
        <v>37</v>
      </c>
      <c r="F1487" s="32" t="n">
        <f aca="false">VLOOKUP($A1487,'Order Sales'!$A$2:$G$2154,F$1,FALSE())</f>
        <v>270.7</v>
      </c>
      <c r="G1487" s="32" t="str">
        <f aca="false">VLOOKUP($A1487,'Order Sales'!$A$2:$G$2154,G$1,FALSE())</f>
        <v>Home Office</v>
      </c>
    </row>
    <row r="1488" customFormat="false" ht="14.25" hidden="false" customHeight="false" outlineLevel="0" collapsed="false">
      <c r="A1488" s="1" t="n">
        <v>1880</v>
      </c>
      <c r="B1488" s="30" t="n">
        <v>43361</v>
      </c>
      <c r="C1488" s="30" t="n">
        <v>44610</v>
      </c>
      <c r="D1488" s="31" t="n">
        <f aca="false">VLOOKUP(A1488,'Order Shipping'!$A$2:$C$2000,3,FALSE())</f>
        <v>6.2</v>
      </c>
      <c r="E1488" s="32" t="n">
        <f aca="false">VLOOKUP($A1488,'Order Sales'!$A$2:$G$2154,E$1,FALSE())</f>
        <v>25</v>
      </c>
      <c r="F1488" s="32" t="n">
        <f aca="false">VLOOKUP($A1488,'Order Sales'!$A$2:$G$2154,F$1,FALSE())</f>
        <v>1198.3</v>
      </c>
      <c r="G1488" s="32" t="str">
        <f aca="false">VLOOKUP($A1488,'Order Sales'!$A$2:$G$2154,G$1,FALSE())</f>
        <v>Small Business</v>
      </c>
    </row>
    <row r="1489" customFormat="false" ht="14.25" hidden="false" customHeight="false" outlineLevel="0" collapsed="false">
      <c r="A1489" s="1" t="n">
        <v>1244</v>
      </c>
      <c r="B1489" s="30" t="n">
        <v>43209</v>
      </c>
      <c r="C1489" s="30" t="n">
        <v>44611</v>
      </c>
      <c r="D1489" s="31" t="n">
        <f aca="false">VLOOKUP(A1489,'Order Shipping'!$A$2:$C$2000,3,FALSE())</f>
        <v>31.2</v>
      </c>
      <c r="E1489" s="32" t="n">
        <f aca="false">VLOOKUP($A1489,'Order Sales'!$A$2:$G$2154,E$1,FALSE())</f>
        <v>12</v>
      </c>
      <c r="F1489" s="32" t="n">
        <f aca="false">VLOOKUP($A1489,'Order Sales'!$A$2:$G$2154,F$1,FALSE())</f>
        <v>3890.12</v>
      </c>
      <c r="G1489" s="32" t="str">
        <f aca="false">VLOOKUP($A1489,'Order Sales'!$A$2:$G$2154,G$1,FALSE())</f>
        <v>Corporate</v>
      </c>
    </row>
    <row r="1490" customFormat="false" ht="14.25" hidden="false" customHeight="false" outlineLevel="0" collapsed="false">
      <c r="A1490" s="1" t="n">
        <v>1171</v>
      </c>
      <c r="B1490" s="30" t="n">
        <v>43258</v>
      </c>
      <c r="C1490" s="30" t="n">
        <v>44612</v>
      </c>
      <c r="D1490" s="31" t="n">
        <f aca="false">VLOOKUP(A1490,'Order Shipping'!$A$2:$C$2000,3,FALSE())</f>
        <v>2.1</v>
      </c>
      <c r="E1490" s="32" t="n">
        <f aca="false">VLOOKUP($A1490,'Order Sales'!$A$2:$G$2154,E$1,FALSE())</f>
        <v>48</v>
      </c>
      <c r="F1490" s="32" t="n">
        <f aca="false">VLOOKUP($A1490,'Order Sales'!$A$2:$G$2154,F$1,FALSE())</f>
        <v>1441.96</v>
      </c>
      <c r="G1490" s="32" t="str">
        <f aca="false">VLOOKUP($A1490,'Order Sales'!$A$2:$G$2154,G$1,FALSE())</f>
        <v>Corporate</v>
      </c>
    </row>
    <row r="1491" customFormat="false" ht="14.25" hidden="false" customHeight="false" outlineLevel="0" collapsed="false">
      <c r="A1491" s="1" t="n">
        <v>2103</v>
      </c>
      <c r="B1491" s="30" t="n">
        <v>43271</v>
      </c>
      <c r="C1491" s="30" t="n">
        <v>44613</v>
      </c>
      <c r="D1491" s="31" t="n">
        <f aca="false">VLOOKUP(A1491,'Order Shipping'!$A$2:$C$2000,3,FALSE())</f>
        <v>5.6</v>
      </c>
      <c r="E1491" s="32" t="n">
        <f aca="false">VLOOKUP($A1491,'Order Sales'!$A$2:$G$2154,E$1,FALSE())</f>
        <v>33</v>
      </c>
      <c r="F1491" s="32" t="n">
        <f aca="false">VLOOKUP($A1491,'Order Sales'!$A$2:$G$2154,F$1,FALSE())</f>
        <v>236.72</v>
      </c>
      <c r="G1491" s="32" t="str">
        <f aca="false">VLOOKUP($A1491,'Order Sales'!$A$2:$G$2154,G$1,FALSE())</f>
        <v>Home Office</v>
      </c>
    </row>
    <row r="1492" customFormat="false" ht="14.25" hidden="false" customHeight="false" outlineLevel="0" collapsed="false">
      <c r="A1492" s="1" t="n">
        <v>1418</v>
      </c>
      <c r="B1492" s="30" t="n">
        <v>43290</v>
      </c>
      <c r="C1492" s="30" t="n">
        <v>44614</v>
      </c>
      <c r="D1492" s="31" t="n">
        <f aca="false">VLOOKUP(A1492,'Order Shipping'!$A$2:$C$2000,3,FALSE())</f>
        <v>1.1</v>
      </c>
      <c r="E1492" s="32" t="n">
        <f aca="false">VLOOKUP($A1492,'Order Sales'!$A$2:$G$2154,E$1,FALSE())</f>
        <v>12</v>
      </c>
      <c r="F1492" s="32" t="n">
        <f aca="false">VLOOKUP($A1492,'Order Sales'!$A$2:$G$2154,F$1,FALSE())</f>
        <v>416.09</v>
      </c>
      <c r="G1492" s="32" t="str">
        <f aca="false">VLOOKUP($A1492,'Order Sales'!$A$2:$G$2154,G$1,FALSE())</f>
        <v>Corporate</v>
      </c>
    </row>
    <row r="1493" customFormat="false" ht="14.25" hidden="false" customHeight="false" outlineLevel="0" collapsed="false">
      <c r="A1493" s="1" t="n">
        <v>2492</v>
      </c>
      <c r="B1493" s="30" t="n">
        <v>43192</v>
      </c>
      <c r="C1493" s="30" t="n">
        <v>44615</v>
      </c>
      <c r="D1493" s="31" t="n">
        <f aca="false">VLOOKUP(A1493,'Order Shipping'!$A$2:$C$2000,3,FALSE())</f>
        <v>1.6</v>
      </c>
      <c r="E1493" s="32" t="n">
        <f aca="false">VLOOKUP($A1493,'Order Sales'!$A$2:$G$2154,E$1,FALSE())</f>
        <v>47</v>
      </c>
      <c r="F1493" s="32" t="n">
        <f aca="false">VLOOKUP($A1493,'Order Sales'!$A$2:$G$2154,F$1,FALSE())</f>
        <v>97.83</v>
      </c>
      <c r="G1493" s="32" t="str">
        <f aca="false">VLOOKUP($A1493,'Order Sales'!$A$2:$G$2154,G$1,FALSE())</f>
        <v>Home Office</v>
      </c>
    </row>
    <row r="1494" customFormat="false" ht="14.25" hidden="false" customHeight="false" outlineLevel="0" collapsed="false">
      <c r="A1494" s="1" t="n">
        <v>2988</v>
      </c>
      <c r="B1494" s="30" t="n">
        <v>43403</v>
      </c>
      <c r="C1494" s="30" t="n">
        <v>44616</v>
      </c>
      <c r="D1494" s="31" t="n">
        <f aca="false">VLOOKUP(A1494,'Order Shipping'!$A$2:$C$2000,3,FALSE())</f>
        <v>7.4</v>
      </c>
      <c r="E1494" s="32" t="n">
        <f aca="false">VLOOKUP($A1494,'Order Sales'!$A$2:$G$2154,E$1,FALSE())</f>
        <v>11</v>
      </c>
      <c r="F1494" s="32" t="n">
        <f aca="false">VLOOKUP($A1494,'Order Sales'!$A$2:$G$2154,F$1,FALSE())</f>
        <v>58.41</v>
      </c>
      <c r="G1494" s="32" t="str">
        <f aca="false">VLOOKUP($A1494,'Order Sales'!$A$2:$G$2154,G$1,FALSE())</f>
        <v>Home Office</v>
      </c>
    </row>
    <row r="1495" customFormat="false" ht="14.25" hidden="false" customHeight="false" outlineLevel="0" collapsed="false">
      <c r="A1495" s="1" t="n">
        <v>1553</v>
      </c>
      <c r="B1495" s="30" t="n">
        <v>43194</v>
      </c>
      <c r="C1495" s="30" t="n">
        <v>44617</v>
      </c>
      <c r="D1495" s="31" t="n">
        <f aca="false">VLOOKUP(A1495,'Order Shipping'!$A$2:$C$2000,3,FALSE())</f>
        <v>12.2</v>
      </c>
      <c r="E1495" s="32" t="n">
        <f aca="false">VLOOKUP($A1495,'Order Sales'!$A$2:$G$2154,E$1,FALSE())</f>
        <v>11</v>
      </c>
      <c r="F1495" s="32" t="n">
        <f aca="false">VLOOKUP($A1495,'Order Sales'!$A$2:$G$2154,F$1,FALSE())</f>
        <v>4877.28</v>
      </c>
      <c r="G1495" s="32" t="str">
        <f aca="false">VLOOKUP($A1495,'Order Sales'!$A$2:$G$2154,G$1,FALSE())</f>
        <v>Home Office</v>
      </c>
    </row>
    <row r="1496" customFormat="false" ht="14.25" hidden="false" customHeight="false" outlineLevel="0" collapsed="false">
      <c r="A1496" s="1" t="n">
        <v>1483</v>
      </c>
      <c r="B1496" s="30" t="n">
        <v>43369</v>
      </c>
      <c r="C1496" s="30" t="n">
        <v>44618</v>
      </c>
      <c r="D1496" s="31" t="n">
        <f aca="false">VLOOKUP(A1496,'Order Shipping'!$A$2:$C$2000,3,FALSE())</f>
        <v>5.2</v>
      </c>
      <c r="E1496" s="32" t="n">
        <f aca="false">VLOOKUP($A1496,'Order Sales'!$A$2:$G$2154,E$1,FALSE())</f>
        <v>6</v>
      </c>
      <c r="F1496" s="32" t="n">
        <f aca="false">VLOOKUP($A1496,'Order Sales'!$A$2:$G$2154,F$1,FALSE())</f>
        <v>507.16</v>
      </c>
      <c r="G1496" s="32" t="str">
        <f aca="false">VLOOKUP($A1496,'Order Sales'!$A$2:$G$2154,G$1,FALSE())</f>
        <v>Corporate</v>
      </c>
    </row>
    <row r="1497" customFormat="false" ht="14.25" hidden="false" customHeight="false" outlineLevel="0" collapsed="false">
      <c r="A1497" s="1" t="n">
        <v>1580</v>
      </c>
      <c r="B1497" s="30" t="n">
        <v>43257</v>
      </c>
      <c r="C1497" s="30" t="n">
        <v>44619</v>
      </c>
      <c r="D1497" s="31" t="n">
        <f aca="false">VLOOKUP(A1497,'Order Shipping'!$A$2:$C$2000,3,FALSE())</f>
        <v>5.4</v>
      </c>
      <c r="E1497" s="32" t="n">
        <f aca="false">VLOOKUP($A1497,'Order Sales'!$A$2:$G$2154,E$1,FALSE())</f>
        <v>41</v>
      </c>
      <c r="F1497" s="32" t="n">
        <f aca="false">VLOOKUP($A1497,'Order Sales'!$A$2:$G$2154,F$1,FALSE())</f>
        <v>1904.48</v>
      </c>
      <c r="G1497" s="32" t="str">
        <f aca="false">VLOOKUP($A1497,'Order Sales'!$A$2:$G$2154,G$1,FALSE())</f>
        <v>Corporate</v>
      </c>
    </row>
    <row r="1498" customFormat="false" ht="14.25" hidden="false" customHeight="false" outlineLevel="0" collapsed="false">
      <c r="A1498" s="1" t="n">
        <v>1539</v>
      </c>
      <c r="B1498" s="30" t="n">
        <v>43270</v>
      </c>
      <c r="C1498" s="30" t="n">
        <v>44620</v>
      </c>
      <c r="D1498" s="31" t="n">
        <f aca="false">VLOOKUP(A1498,'Order Shipping'!$A$2:$C$2000,3,FALSE())</f>
        <v>21.4</v>
      </c>
      <c r="E1498" s="32" t="n">
        <f aca="false">VLOOKUP($A1498,'Order Sales'!$A$2:$G$2154,E$1,FALSE())</f>
        <v>15</v>
      </c>
      <c r="F1498" s="32" t="n">
        <f aca="false">VLOOKUP($A1498,'Order Sales'!$A$2:$G$2154,F$1,FALSE())</f>
        <v>1487.82</v>
      </c>
      <c r="G1498" s="32" t="str">
        <f aca="false">VLOOKUP($A1498,'Order Sales'!$A$2:$G$2154,G$1,FALSE())</f>
        <v>Home Office</v>
      </c>
    </row>
    <row r="1499" customFormat="false" ht="14.25" hidden="false" customHeight="false" outlineLevel="0" collapsed="false">
      <c r="A1499" s="1" t="n">
        <v>1406</v>
      </c>
      <c r="B1499" s="30" t="n">
        <v>43453</v>
      </c>
      <c r="C1499" s="30" t="n">
        <v>44621</v>
      </c>
      <c r="D1499" s="31" t="n">
        <f aca="false">VLOOKUP(A1499,'Order Shipping'!$A$2:$C$2000,3,FALSE())</f>
        <v>29.7</v>
      </c>
      <c r="E1499" s="32" t="n">
        <f aca="false">VLOOKUP($A1499,'Order Sales'!$A$2:$G$2154,E$1,FALSE())</f>
        <v>35</v>
      </c>
      <c r="F1499" s="32" t="n">
        <f aca="false">VLOOKUP($A1499,'Order Sales'!$A$2:$G$2154,F$1,FALSE())</f>
        <v>576.95</v>
      </c>
      <c r="G1499" s="32" t="str">
        <f aca="false">VLOOKUP($A1499,'Order Sales'!$A$2:$G$2154,G$1,FALSE())</f>
        <v>Corporate</v>
      </c>
    </row>
    <row r="1500" customFormat="false" ht="14.25" hidden="false" customHeight="false" outlineLevel="0" collapsed="false">
      <c r="A1500" s="1" t="n">
        <v>1751</v>
      </c>
      <c r="B1500" s="30" t="n">
        <v>43357</v>
      </c>
      <c r="C1500" s="30" t="n">
        <v>44622</v>
      </c>
      <c r="D1500" s="31" t="n">
        <f aca="false">VLOOKUP(A1500,'Order Shipping'!$A$2:$C$2000,3,FALSE())</f>
        <v>7.9</v>
      </c>
      <c r="E1500" s="32" t="n">
        <f aca="false">VLOOKUP($A1500,'Order Sales'!$A$2:$G$2154,E$1,FALSE())</f>
        <v>39</v>
      </c>
      <c r="F1500" s="32" t="n">
        <f aca="false">VLOOKUP($A1500,'Order Sales'!$A$2:$G$2154,F$1,FALSE())</f>
        <v>618.41</v>
      </c>
      <c r="G1500" s="32" t="str">
        <f aca="false">VLOOKUP($A1500,'Order Sales'!$A$2:$G$2154,G$1,FALSE())</f>
        <v>Consumer</v>
      </c>
    </row>
    <row r="1501" customFormat="false" ht="14.25" hidden="false" customHeight="false" outlineLevel="0" collapsed="false">
      <c r="A1501" s="1" t="n">
        <v>2892</v>
      </c>
      <c r="B1501" s="30" t="n">
        <v>43272</v>
      </c>
      <c r="C1501" s="30" t="n">
        <v>44623</v>
      </c>
      <c r="D1501" s="31" t="n">
        <f aca="false">VLOOKUP(A1501,'Order Shipping'!$A$2:$C$2000,3,FALSE())</f>
        <v>9.6</v>
      </c>
      <c r="E1501" s="32" t="n">
        <f aca="false">VLOOKUP($A1501,'Order Sales'!$A$2:$G$2154,E$1,FALSE())</f>
        <v>23</v>
      </c>
      <c r="F1501" s="32" t="n">
        <f aca="false">VLOOKUP($A1501,'Order Sales'!$A$2:$G$2154,F$1,FALSE())</f>
        <v>560.95</v>
      </c>
      <c r="G1501" s="32" t="str">
        <f aca="false">VLOOKUP($A1501,'Order Sales'!$A$2:$G$2154,G$1,FALSE())</f>
        <v>Corporate</v>
      </c>
    </row>
    <row r="1502" customFormat="false" ht="14.25" hidden="false" customHeight="false" outlineLevel="0" collapsed="false">
      <c r="A1502" s="1" t="n">
        <v>1455</v>
      </c>
      <c r="B1502" s="30" t="n">
        <v>43199</v>
      </c>
      <c r="C1502" s="30" t="n">
        <v>44624</v>
      </c>
      <c r="D1502" s="31" t="n">
        <f aca="false">VLOOKUP(A1502,'Order Shipping'!$A$2:$C$2000,3,FALSE())</f>
        <v>5.4</v>
      </c>
      <c r="E1502" s="32" t="n">
        <f aca="false">VLOOKUP($A1502,'Order Sales'!$A$2:$G$2154,E$1,FALSE())</f>
        <v>23</v>
      </c>
      <c r="F1502" s="32" t="n">
        <f aca="false">VLOOKUP($A1502,'Order Sales'!$A$2:$G$2154,F$1,FALSE())</f>
        <v>294.42</v>
      </c>
      <c r="G1502" s="32" t="str">
        <f aca="false">VLOOKUP($A1502,'Order Sales'!$A$2:$G$2154,G$1,FALSE())</f>
        <v>Small Business</v>
      </c>
    </row>
    <row r="1503" customFormat="false" ht="14.25" hidden="false" customHeight="false" outlineLevel="0" collapsed="false">
      <c r="A1503" s="1" t="n">
        <v>1692</v>
      </c>
      <c r="B1503" s="30" t="n">
        <v>43204</v>
      </c>
      <c r="C1503" s="30" t="n">
        <v>44625</v>
      </c>
      <c r="D1503" s="31" t="n">
        <f aca="false">VLOOKUP(A1503,'Order Shipping'!$A$2:$C$2000,3,FALSE())</f>
        <v>0.7</v>
      </c>
      <c r="E1503" s="32" t="n">
        <f aca="false">VLOOKUP($A1503,'Order Sales'!$A$2:$G$2154,E$1,FALSE())</f>
        <v>17</v>
      </c>
      <c r="F1503" s="32" t="n">
        <f aca="false">VLOOKUP($A1503,'Order Sales'!$A$2:$G$2154,F$1,FALSE())</f>
        <v>36.55</v>
      </c>
      <c r="G1503" s="32" t="str">
        <f aca="false">VLOOKUP($A1503,'Order Sales'!$A$2:$G$2154,G$1,FALSE())</f>
        <v>Corporate</v>
      </c>
    </row>
    <row r="1504" customFormat="false" ht="14.25" hidden="false" customHeight="false" outlineLevel="0" collapsed="false">
      <c r="A1504" s="1" t="n">
        <v>1264</v>
      </c>
      <c r="B1504" s="30" t="n">
        <v>43371</v>
      </c>
      <c r="C1504" s="30" t="n">
        <v>44626</v>
      </c>
      <c r="D1504" s="31" t="n">
        <f aca="false">VLOOKUP(A1504,'Order Shipping'!$A$2:$C$2000,3,FALSE())</f>
        <v>7.5</v>
      </c>
      <c r="E1504" s="32" t="n">
        <f aca="false">VLOOKUP($A1504,'Order Sales'!$A$2:$G$2154,E$1,FALSE())</f>
        <v>24</v>
      </c>
      <c r="F1504" s="32" t="n">
        <f aca="false">VLOOKUP($A1504,'Order Sales'!$A$2:$G$2154,F$1,FALSE())</f>
        <v>163.28</v>
      </c>
      <c r="G1504" s="32" t="str">
        <f aca="false">VLOOKUP($A1504,'Order Sales'!$A$2:$G$2154,G$1,FALSE())</f>
        <v>Small Business</v>
      </c>
    </row>
    <row r="1505" customFormat="false" ht="14.25" hidden="false" customHeight="false" outlineLevel="0" collapsed="false">
      <c r="A1505" s="1" t="n">
        <v>2025</v>
      </c>
      <c r="B1505" s="30" t="n">
        <v>43229</v>
      </c>
      <c r="C1505" s="30" t="n">
        <v>44627</v>
      </c>
      <c r="D1505" s="31" t="n">
        <f aca="false">VLOOKUP(A1505,'Order Shipping'!$A$2:$C$2000,3,FALSE())</f>
        <v>17.9</v>
      </c>
      <c r="E1505" s="32" t="n">
        <f aca="false">VLOOKUP($A1505,'Order Sales'!$A$2:$G$2154,E$1,FALSE())</f>
        <v>6</v>
      </c>
      <c r="F1505" s="32" t="n">
        <f aca="false">VLOOKUP($A1505,'Order Sales'!$A$2:$G$2154,F$1,FALSE())</f>
        <v>292.52</v>
      </c>
      <c r="G1505" s="32" t="str">
        <f aca="false">VLOOKUP($A1505,'Order Sales'!$A$2:$G$2154,G$1,FALSE())</f>
        <v>Corporate</v>
      </c>
    </row>
    <row r="1506" customFormat="false" ht="14.25" hidden="false" customHeight="false" outlineLevel="0" collapsed="false">
      <c r="A1506" s="1" t="n">
        <v>2333</v>
      </c>
      <c r="B1506" s="30" t="n">
        <v>43381</v>
      </c>
      <c r="C1506" s="30" t="n">
        <v>44628</v>
      </c>
      <c r="D1506" s="31" t="n">
        <f aca="false">VLOOKUP(A1506,'Order Shipping'!$A$2:$C$2000,3,FALSE())</f>
        <v>2.1</v>
      </c>
      <c r="E1506" s="32" t="n">
        <f aca="false">VLOOKUP($A1506,'Order Sales'!$A$2:$G$2154,E$1,FALSE())</f>
        <v>43</v>
      </c>
      <c r="F1506" s="32" t="n">
        <f aca="false">VLOOKUP($A1506,'Order Sales'!$A$2:$G$2154,F$1,FALSE())</f>
        <v>1563.38</v>
      </c>
      <c r="G1506" s="32" t="str">
        <f aca="false">VLOOKUP($A1506,'Order Sales'!$A$2:$G$2154,G$1,FALSE())</f>
        <v>Small Business</v>
      </c>
    </row>
    <row r="1507" customFormat="false" ht="14.25" hidden="false" customHeight="false" outlineLevel="0" collapsed="false">
      <c r="A1507" s="1" t="n">
        <v>1819</v>
      </c>
      <c r="B1507" s="30" t="n">
        <v>43126</v>
      </c>
      <c r="C1507" s="30" t="n">
        <v>44629</v>
      </c>
      <c r="D1507" s="31" t="n">
        <f aca="false">VLOOKUP(A1507,'Order Shipping'!$A$2:$C$2000,3,FALSE())</f>
        <v>4.5</v>
      </c>
      <c r="E1507" s="32" t="n">
        <f aca="false">VLOOKUP($A1507,'Order Sales'!$A$2:$G$2154,E$1,FALSE())</f>
        <v>35</v>
      </c>
      <c r="F1507" s="32" t="n">
        <f aca="false">VLOOKUP($A1507,'Order Sales'!$A$2:$G$2154,F$1,FALSE())</f>
        <v>6203.52</v>
      </c>
      <c r="G1507" s="32" t="str">
        <f aca="false">VLOOKUP($A1507,'Order Sales'!$A$2:$G$2154,G$1,FALSE())</f>
        <v>Small Business</v>
      </c>
    </row>
    <row r="1508" customFormat="false" ht="14.25" hidden="false" customHeight="false" outlineLevel="0" collapsed="false">
      <c r="A1508" s="1" t="n">
        <v>1890</v>
      </c>
      <c r="B1508" s="30" t="n">
        <v>43464</v>
      </c>
      <c r="C1508" s="30" t="n">
        <v>44630</v>
      </c>
      <c r="D1508" s="31" t="n">
        <f aca="false">VLOOKUP(A1508,'Order Shipping'!$A$2:$C$2000,3,FALSE())</f>
        <v>14.1</v>
      </c>
      <c r="E1508" s="32" t="n">
        <f aca="false">VLOOKUP($A1508,'Order Sales'!$A$2:$G$2154,E$1,FALSE())</f>
        <v>24</v>
      </c>
      <c r="F1508" s="32" t="n">
        <f aca="false">VLOOKUP($A1508,'Order Sales'!$A$2:$G$2154,F$1,FALSE())</f>
        <v>1433</v>
      </c>
      <c r="G1508" s="32" t="str">
        <f aca="false">VLOOKUP($A1508,'Order Sales'!$A$2:$G$2154,G$1,FALSE())</f>
        <v>Home Office</v>
      </c>
    </row>
    <row r="1509" customFormat="false" ht="14.25" hidden="false" customHeight="false" outlineLevel="0" collapsed="false">
      <c r="A1509" s="1" t="n">
        <v>2269</v>
      </c>
      <c r="B1509" s="30" t="n">
        <v>43260</v>
      </c>
      <c r="C1509" s="30" t="n">
        <v>44631</v>
      </c>
      <c r="D1509" s="31" t="n">
        <f aca="false">VLOOKUP(A1509,'Order Shipping'!$A$2:$C$2000,3,FALSE())</f>
        <v>17.5</v>
      </c>
      <c r="E1509" s="32" t="n">
        <f aca="false">VLOOKUP($A1509,'Order Sales'!$A$2:$G$2154,E$1,FALSE())</f>
        <v>27</v>
      </c>
      <c r="F1509" s="32" t="n">
        <f aca="false">VLOOKUP($A1509,'Order Sales'!$A$2:$G$2154,F$1,FALSE())</f>
        <v>1283.54</v>
      </c>
      <c r="G1509" s="32" t="str">
        <f aca="false">VLOOKUP($A1509,'Order Sales'!$A$2:$G$2154,G$1,FALSE())</f>
        <v>Consumer</v>
      </c>
    </row>
    <row r="1510" customFormat="false" ht="14.25" hidden="false" customHeight="false" outlineLevel="0" collapsed="false">
      <c r="A1510" s="1" t="n">
        <v>1524</v>
      </c>
      <c r="B1510" s="30" t="n">
        <v>43197</v>
      </c>
      <c r="C1510" s="30" t="n">
        <v>44632</v>
      </c>
      <c r="D1510" s="31" t="n">
        <f aca="false">VLOOKUP(A1510,'Order Shipping'!$A$2:$C$2000,3,FALSE())</f>
        <v>20.8</v>
      </c>
      <c r="E1510" s="32" t="n">
        <f aca="false">VLOOKUP($A1510,'Order Sales'!$A$2:$G$2154,E$1,FALSE())</f>
        <v>31</v>
      </c>
      <c r="F1510" s="32" t="n">
        <f aca="false">VLOOKUP($A1510,'Order Sales'!$A$2:$G$2154,F$1,FALSE())</f>
        <v>957.26</v>
      </c>
      <c r="G1510" s="32" t="str">
        <f aca="false">VLOOKUP($A1510,'Order Sales'!$A$2:$G$2154,G$1,FALSE())</f>
        <v>Consumer</v>
      </c>
    </row>
    <row r="1511" customFormat="false" ht="14.25" hidden="false" customHeight="false" outlineLevel="0" collapsed="false">
      <c r="A1511" s="1" t="n">
        <v>2835</v>
      </c>
      <c r="B1511" s="30" t="n">
        <v>43209</v>
      </c>
      <c r="C1511" s="30" t="n">
        <v>44633</v>
      </c>
      <c r="D1511" s="31" t="n">
        <f aca="false">VLOOKUP(A1511,'Order Shipping'!$A$2:$C$2000,3,FALSE())</f>
        <v>1.1</v>
      </c>
      <c r="E1511" s="32" t="n">
        <f aca="false">VLOOKUP($A1511,'Order Sales'!$A$2:$G$2154,E$1,FALSE())</f>
        <v>24</v>
      </c>
      <c r="F1511" s="32" t="n">
        <f aca="false">VLOOKUP($A1511,'Order Sales'!$A$2:$G$2154,F$1,FALSE())</f>
        <v>72.59</v>
      </c>
      <c r="G1511" s="32" t="str">
        <f aca="false">VLOOKUP($A1511,'Order Sales'!$A$2:$G$2154,G$1,FALSE())</f>
        <v>Corporate</v>
      </c>
    </row>
    <row r="1512" customFormat="false" ht="14.25" hidden="false" customHeight="false" outlineLevel="0" collapsed="false">
      <c r="A1512" s="1" t="n">
        <v>2764</v>
      </c>
      <c r="B1512" s="30" t="n">
        <v>43197</v>
      </c>
      <c r="C1512" s="30" t="n">
        <v>44634</v>
      </c>
      <c r="D1512" s="31" t="n">
        <f aca="false">VLOOKUP(A1512,'Order Shipping'!$A$2:$C$2000,3,FALSE())</f>
        <v>1.1</v>
      </c>
      <c r="E1512" s="32" t="n">
        <f aca="false">VLOOKUP($A1512,'Order Sales'!$A$2:$G$2154,E$1,FALSE())</f>
        <v>20</v>
      </c>
      <c r="F1512" s="32" t="n">
        <f aca="false">VLOOKUP($A1512,'Order Sales'!$A$2:$G$2154,F$1,FALSE())</f>
        <v>83.45</v>
      </c>
      <c r="G1512" s="32" t="str">
        <f aca="false">VLOOKUP($A1512,'Order Sales'!$A$2:$G$2154,G$1,FALSE())</f>
        <v>Small Business</v>
      </c>
    </row>
    <row r="1513" customFormat="false" ht="14.25" hidden="false" customHeight="false" outlineLevel="0" collapsed="false">
      <c r="A1513" s="1" t="n">
        <v>2145</v>
      </c>
      <c r="B1513" s="30" t="n">
        <v>43351</v>
      </c>
      <c r="C1513" s="30" t="n">
        <v>44635</v>
      </c>
      <c r="D1513" s="31" t="n">
        <f aca="false">VLOOKUP(A1513,'Order Shipping'!$A$2:$C$2000,3,FALSE())</f>
        <v>9.6</v>
      </c>
      <c r="E1513" s="32" t="n">
        <f aca="false">VLOOKUP($A1513,'Order Sales'!$A$2:$G$2154,E$1,FALSE())</f>
        <v>26</v>
      </c>
      <c r="F1513" s="32" t="n">
        <f aca="false">VLOOKUP($A1513,'Order Sales'!$A$2:$G$2154,F$1,FALSE())</f>
        <v>4383.94</v>
      </c>
      <c r="G1513" s="32" t="str">
        <f aca="false">VLOOKUP($A1513,'Order Sales'!$A$2:$G$2154,G$1,FALSE())</f>
        <v>Corporate</v>
      </c>
    </row>
    <row r="1514" customFormat="false" ht="14.25" hidden="false" customHeight="false" outlineLevel="0" collapsed="false">
      <c r="A1514" s="1" t="n">
        <v>1228</v>
      </c>
      <c r="B1514" s="30" t="n">
        <v>43419</v>
      </c>
      <c r="C1514" s="30" t="n">
        <v>44636</v>
      </c>
      <c r="D1514" s="31" t="n">
        <f aca="false">VLOOKUP(A1514,'Order Shipping'!$A$2:$C$2000,3,FALSE())</f>
        <v>11.2</v>
      </c>
      <c r="E1514" s="32" t="n">
        <f aca="false">VLOOKUP($A1514,'Order Sales'!$A$2:$G$2154,E$1,FALSE())</f>
        <v>41</v>
      </c>
      <c r="F1514" s="32" t="n">
        <f aca="false">VLOOKUP($A1514,'Order Sales'!$A$2:$G$2154,F$1,FALSE())</f>
        <v>903.18</v>
      </c>
      <c r="G1514" s="32" t="str">
        <f aca="false">VLOOKUP($A1514,'Order Sales'!$A$2:$G$2154,G$1,FALSE())</f>
        <v>Corporate</v>
      </c>
    </row>
    <row r="1515" customFormat="false" ht="14.25" hidden="false" customHeight="false" outlineLevel="0" collapsed="false">
      <c r="A1515" s="1" t="n">
        <v>1604</v>
      </c>
      <c r="B1515" s="30" t="n">
        <v>43364</v>
      </c>
      <c r="C1515" s="30" t="n">
        <v>44637</v>
      </c>
      <c r="D1515" s="31" t="n">
        <f aca="false">VLOOKUP(A1515,'Order Shipping'!$A$2:$C$2000,3,FALSE())</f>
        <v>7.7</v>
      </c>
      <c r="E1515" s="32" t="n">
        <f aca="false">VLOOKUP($A1515,'Order Sales'!$A$2:$G$2154,E$1,FALSE())</f>
        <v>23</v>
      </c>
      <c r="F1515" s="32" t="n">
        <f aca="false">VLOOKUP($A1515,'Order Sales'!$A$2:$G$2154,F$1,FALSE())</f>
        <v>7032.08</v>
      </c>
      <c r="G1515" s="32" t="str">
        <f aca="false">VLOOKUP($A1515,'Order Sales'!$A$2:$G$2154,G$1,FALSE())</f>
        <v>Corporate</v>
      </c>
    </row>
    <row r="1516" customFormat="false" ht="14.25" hidden="false" customHeight="false" outlineLevel="0" collapsed="false">
      <c r="A1516" s="1" t="n">
        <v>1090</v>
      </c>
      <c r="B1516" s="30" t="n">
        <v>43382</v>
      </c>
      <c r="C1516" s="30" t="n">
        <v>44638</v>
      </c>
      <c r="D1516" s="31" t="n">
        <f aca="false">VLOOKUP(A1516,'Order Shipping'!$A$2:$C$2000,3,FALSE())</f>
        <v>2.7</v>
      </c>
      <c r="E1516" s="32" t="n">
        <f aca="false">VLOOKUP($A1516,'Order Sales'!$A$2:$G$2154,E$1,FALSE())</f>
        <v>24</v>
      </c>
      <c r="F1516" s="32" t="n">
        <f aca="false">VLOOKUP($A1516,'Order Sales'!$A$2:$G$2154,F$1,FALSE())</f>
        <v>455.86</v>
      </c>
      <c r="G1516" s="32" t="str">
        <f aca="false">VLOOKUP($A1516,'Order Sales'!$A$2:$G$2154,G$1,FALSE())</f>
        <v>Corporate</v>
      </c>
    </row>
    <row r="1517" customFormat="false" ht="14.25" hidden="false" customHeight="false" outlineLevel="0" collapsed="false">
      <c r="A1517" s="1" t="n">
        <v>1655</v>
      </c>
      <c r="B1517" s="30" t="n">
        <v>43298</v>
      </c>
      <c r="C1517" s="30" t="n">
        <v>44639</v>
      </c>
      <c r="D1517" s="31" t="n">
        <f aca="false">VLOOKUP(A1517,'Order Shipping'!$A$2:$C$2000,3,FALSE())</f>
        <v>64.4</v>
      </c>
      <c r="E1517" s="32" t="n">
        <f aca="false">VLOOKUP($A1517,'Order Sales'!$A$2:$G$2154,E$1,FALSE())</f>
        <v>38</v>
      </c>
      <c r="F1517" s="32" t="n">
        <f aca="false">VLOOKUP($A1517,'Order Sales'!$A$2:$G$2154,F$1,FALSE())</f>
        <v>4975.57</v>
      </c>
      <c r="G1517" s="32" t="str">
        <f aca="false">VLOOKUP($A1517,'Order Sales'!$A$2:$G$2154,G$1,FALSE())</f>
        <v>Small Business</v>
      </c>
    </row>
    <row r="1518" customFormat="false" ht="14.25" hidden="false" customHeight="false" outlineLevel="0" collapsed="false">
      <c r="A1518" s="1" t="n">
        <v>2501</v>
      </c>
      <c r="B1518" s="30" t="n">
        <v>43262</v>
      </c>
      <c r="C1518" s="30" t="n">
        <v>44640</v>
      </c>
      <c r="D1518" s="31" t="n">
        <f aca="false">VLOOKUP(A1518,'Order Shipping'!$A$2:$C$2000,3,FALSE())</f>
        <v>6.4</v>
      </c>
      <c r="E1518" s="32" t="n">
        <f aca="false">VLOOKUP($A1518,'Order Sales'!$A$2:$G$2154,E$1,FALSE())</f>
        <v>13</v>
      </c>
      <c r="F1518" s="32" t="n">
        <f aca="false">VLOOKUP($A1518,'Order Sales'!$A$2:$G$2154,F$1,FALSE())</f>
        <v>135.55</v>
      </c>
      <c r="G1518" s="32" t="str">
        <f aca="false">VLOOKUP($A1518,'Order Sales'!$A$2:$G$2154,G$1,FALSE())</f>
        <v>Consumer</v>
      </c>
    </row>
    <row r="1519" customFormat="false" ht="14.25" hidden="false" customHeight="false" outlineLevel="0" collapsed="false">
      <c r="A1519" s="1" t="n">
        <v>1058</v>
      </c>
      <c r="B1519" s="30" t="n">
        <v>43237</v>
      </c>
      <c r="C1519" s="30" t="n">
        <v>44641</v>
      </c>
      <c r="D1519" s="31" t="n">
        <f aca="false">VLOOKUP(A1519,'Order Shipping'!$A$2:$C$2000,3,FALSE())</f>
        <v>6</v>
      </c>
      <c r="E1519" s="32" t="n">
        <f aca="false">VLOOKUP($A1519,'Order Sales'!$A$2:$G$2154,E$1,FALSE())</f>
        <v>29</v>
      </c>
      <c r="F1519" s="32" t="n">
        <f aca="false">VLOOKUP($A1519,'Order Sales'!$A$2:$G$2154,F$1,FALSE())</f>
        <v>167.67</v>
      </c>
      <c r="G1519" s="32" t="str">
        <f aca="false">VLOOKUP($A1519,'Order Sales'!$A$2:$G$2154,G$1,FALSE())</f>
        <v>Consumer</v>
      </c>
    </row>
    <row r="1520" customFormat="false" ht="14.25" hidden="false" customHeight="false" outlineLevel="0" collapsed="false">
      <c r="A1520" s="1" t="n">
        <v>2733</v>
      </c>
      <c r="B1520" s="30" t="n">
        <v>43210</v>
      </c>
      <c r="C1520" s="30" t="n">
        <v>44642</v>
      </c>
      <c r="D1520" s="31" t="n">
        <f aca="false">VLOOKUP(A1520,'Order Shipping'!$A$2:$C$2000,3,FALSE())</f>
        <v>55.9</v>
      </c>
      <c r="E1520" s="32" t="n">
        <f aca="false">VLOOKUP($A1520,'Order Sales'!$A$2:$G$2154,E$1,FALSE())</f>
        <v>49</v>
      </c>
      <c r="F1520" s="32" t="n">
        <f aca="false">VLOOKUP($A1520,'Order Sales'!$A$2:$G$2154,F$1,FALSE())</f>
        <v>10979.54</v>
      </c>
      <c r="G1520" s="32" t="str">
        <f aca="false">VLOOKUP($A1520,'Order Sales'!$A$2:$G$2154,G$1,FALSE())</f>
        <v>Home Office</v>
      </c>
    </row>
    <row r="1521" customFormat="false" ht="14.25" hidden="false" customHeight="false" outlineLevel="0" collapsed="false">
      <c r="A1521" s="1" t="n">
        <v>1018</v>
      </c>
      <c r="B1521" s="30" t="n">
        <v>43253</v>
      </c>
      <c r="C1521" s="30" t="n">
        <v>44643</v>
      </c>
      <c r="D1521" s="31" t="n">
        <f aca="false">VLOOKUP(A1521,'Order Shipping'!$A$2:$C$2000,3,FALSE())</f>
        <v>3.6</v>
      </c>
      <c r="E1521" s="32" t="n">
        <f aca="false">VLOOKUP($A1521,'Order Sales'!$A$2:$G$2154,E$1,FALSE())</f>
        <v>17</v>
      </c>
      <c r="F1521" s="32" t="n">
        <f aca="false">VLOOKUP($A1521,'Order Sales'!$A$2:$G$2154,F$1,FALSE())</f>
        <v>108.02</v>
      </c>
      <c r="G1521" s="32" t="str">
        <f aca="false">VLOOKUP($A1521,'Order Sales'!$A$2:$G$2154,G$1,FALSE())</f>
        <v>Consumer</v>
      </c>
    </row>
    <row r="1522" customFormat="false" ht="14.25" hidden="false" customHeight="false" outlineLevel="0" collapsed="false">
      <c r="A1522" s="1" t="n">
        <v>2541</v>
      </c>
      <c r="B1522" s="30" t="n">
        <v>43462</v>
      </c>
      <c r="C1522" s="30" t="n">
        <v>44644</v>
      </c>
      <c r="D1522" s="31" t="n">
        <f aca="false">VLOOKUP(A1522,'Order Shipping'!$A$2:$C$2000,3,FALSE())</f>
        <v>1.1</v>
      </c>
      <c r="E1522" s="32" t="n">
        <f aca="false">VLOOKUP($A1522,'Order Sales'!$A$2:$G$2154,E$1,FALSE())</f>
        <v>48</v>
      </c>
      <c r="F1522" s="32" t="n">
        <f aca="false">VLOOKUP($A1522,'Order Sales'!$A$2:$G$2154,F$1,FALSE())</f>
        <v>3648.87</v>
      </c>
      <c r="G1522" s="32" t="str">
        <f aca="false">VLOOKUP($A1522,'Order Sales'!$A$2:$G$2154,G$1,FALSE())</f>
        <v>Home Office</v>
      </c>
    </row>
    <row r="1523" customFormat="false" ht="14.25" hidden="false" customHeight="false" outlineLevel="0" collapsed="false">
      <c r="A1523" s="1" t="n">
        <v>2484</v>
      </c>
      <c r="B1523" s="30" t="n">
        <v>43145</v>
      </c>
      <c r="C1523" s="30" t="n">
        <v>44645</v>
      </c>
      <c r="D1523" s="31" t="n">
        <f aca="false">VLOOKUP(A1523,'Order Shipping'!$A$2:$C$2000,3,FALSE())</f>
        <v>5.7</v>
      </c>
      <c r="E1523" s="32" t="n">
        <f aca="false">VLOOKUP($A1523,'Order Sales'!$A$2:$G$2154,E$1,FALSE())</f>
        <v>44</v>
      </c>
      <c r="F1523" s="32" t="n">
        <f aca="false">VLOOKUP($A1523,'Order Sales'!$A$2:$G$2154,F$1,FALSE())</f>
        <v>194.32</v>
      </c>
      <c r="G1523" s="32" t="str">
        <f aca="false">VLOOKUP($A1523,'Order Sales'!$A$2:$G$2154,G$1,FALSE())</f>
        <v>Corporate</v>
      </c>
    </row>
    <row r="1524" customFormat="false" ht="14.25" hidden="false" customHeight="false" outlineLevel="0" collapsed="false">
      <c r="A1524" s="1" t="n">
        <v>2362</v>
      </c>
      <c r="B1524" s="30" t="n">
        <v>43150</v>
      </c>
      <c r="C1524" s="30" t="n">
        <v>44646</v>
      </c>
      <c r="D1524" s="31" t="n">
        <f aca="false">VLOOKUP(A1524,'Order Shipping'!$A$2:$C$2000,3,FALSE())</f>
        <v>9.6</v>
      </c>
      <c r="E1524" s="32" t="n">
        <f aca="false">VLOOKUP($A1524,'Order Sales'!$A$2:$G$2154,E$1,FALSE())</f>
        <v>30</v>
      </c>
      <c r="F1524" s="32" t="n">
        <f aca="false">VLOOKUP($A1524,'Order Sales'!$A$2:$G$2154,F$1,FALSE())</f>
        <v>3506.39</v>
      </c>
      <c r="G1524" s="32" t="str">
        <f aca="false">VLOOKUP($A1524,'Order Sales'!$A$2:$G$2154,G$1,FALSE())</f>
        <v>Corporate</v>
      </c>
    </row>
    <row r="1525" customFormat="false" ht="14.25" hidden="false" customHeight="false" outlineLevel="0" collapsed="false">
      <c r="A1525" s="1" t="n">
        <v>2430</v>
      </c>
      <c r="B1525" s="30" t="n">
        <v>43211</v>
      </c>
      <c r="C1525" s="30" t="n">
        <v>44647</v>
      </c>
      <c r="D1525" s="31" t="n">
        <f aca="false">VLOOKUP(A1525,'Order Shipping'!$A$2:$C$2000,3,FALSE())</f>
        <v>8.8</v>
      </c>
      <c r="E1525" s="32" t="n">
        <f aca="false">VLOOKUP($A1525,'Order Sales'!$A$2:$G$2154,E$1,FALSE())</f>
        <v>43</v>
      </c>
      <c r="F1525" s="32" t="n">
        <f aca="false">VLOOKUP($A1525,'Order Sales'!$A$2:$G$2154,F$1,FALSE())</f>
        <v>1539.01</v>
      </c>
      <c r="G1525" s="32" t="str">
        <f aca="false">VLOOKUP($A1525,'Order Sales'!$A$2:$G$2154,G$1,FALSE())</f>
        <v>Home Office</v>
      </c>
    </row>
    <row r="1526" customFormat="false" ht="14.25" hidden="false" customHeight="false" outlineLevel="0" collapsed="false">
      <c r="A1526" s="1" t="n">
        <v>2789</v>
      </c>
      <c r="B1526" s="30" t="n">
        <v>43346</v>
      </c>
      <c r="C1526" s="30" t="n">
        <v>44648</v>
      </c>
      <c r="D1526" s="31" t="n">
        <f aca="false">VLOOKUP(A1526,'Order Shipping'!$A$2:$C$2000,3,FALSE())</f>
        <v>21.4</v>
      </c>
      <c r="E1526" s="32" t="n">
        <f aca="false">VLOOKUP($A1526,'Order Sales'!$A$2:$G$2154,E$1,FALSE())</f>
        <v>21</v>
      </c>
      <c r="F1526" s="32" t="n">
        <f aca="false">VLOOKUP($A1526,'Order Sales'!$A$2:$G$2154,F$1,FALSE())</f>
        <v>8477.28</v>
      </c>
      <c r="G1526" s="32" t="str">
        <f aca="false">VLOOKUP($A1526,'Order Sales'!$A$2:$G$2154,G$1,FALSE())</f>
        <v>Small Business</v>
      </c>
    </row>
    <row r="1527" customFormat="false" ht="14.25" hidden="false" customHeight="false" outlineLevel="0" collapsed="false">
      <c r="A1527" s="1" t="n">
        <v>2289</v>
      </c>
      <c r="B1527" s="30" t="n">
        <v>43133</v>
      </c>
      <c r="C1527" s="30" t="n">
        <v>44649</v>
      </c>
      <c r="D1527" s="31" t="n">
        <f aca="false">VLOOKUP(A1527,'Order Shipping'!$A$2:$C$2000,3,FALSE())</f>
        <v>0.5</v>
      </c>
      <c r="E1527" s="32" t="n">
        <f aca="false">VLOOKUP($A1527,'Order Sales'!$A$2:$G$2154,E$1,FALSE())</f>
        <v>50</v>
      </c>
      <c r="F1527" s="32" t="n">
        <f aca="false">VLOOKUP($A1527,'Order Sales'!$A$2:$G$2154,F$1,FALSE())</f>
        <v>318.99</v>
      </c>
      <c r="G1527" s="32" t="str">
        <f aca="false">VLOOKUP($A1527,'Order Sales'!$A$2:$G$2154,G$1,FALSE())</f>
        <v>Home Office</v>
      </c>
    </row>
    <row r="1528" customFormat="false" ht="14.25" hidden="false" customHeight="false" outlineLevel="0" collapsed="false">
      <c r="A1528" s="1" t="n">
        <v>1401</v>
      </c>
      <c r="B1528" s="30" t="n">
        <v>43447</v>
      </c>
      <c r="C1528" s="30" t="n">
        <v>44650</v>
      </c>
      <c r="D1528" s="31" t="n">
        <f aca="false">VLOOKUP(A1528,'Order Shipping'!$A$2:$C$2000,3,FALSE())</f>
        <v>7.6</v>
      </c>
      <c r="E1528" s="32" t="n">
        <f aca="false">VLOOKUP($A1528,'Order Sales'!$A$2:$G$2154,E$1,FALSE())</f>
        <v>50</v>
      </c>
      <c r="F1528" s="32" t="n">
        <f aca="false">VLOOKUP($A1528,'Order Sales'!$A$2:$G$2154,F$1,FALSE())</f>
        <v>8869.78</v>
      </c>
      <c r="G1528" s="32" t="str">
        <f aca="false">VLOOKUP($A1528,'Order Sales'!$A$2:$G$2154,G$1,FALSE())</f>
        <v>Corporate</v>
      </c>
    </row>
    <row r="1529" customFormat="false" ht="14.25" hidden="false" customHeight="false" outlineLevel="0" collapsed="false">
      <c r="A1529" s="1" t="n">
        <v>1014</v>
      </c>
      <c r="B1529" s="30" t="n">
        <v>43353</v>
      </c>
      <c r="C1529" s="30" t="n">
        <v>44651</v>
      </c>
      <c r="D1529" s="31" t="n">
        <f aca="false">VLOOKUP(A1529,'Order Shipping'!$A$2:$C$2000,3,FALSE())</f>
        <v>9.6</v>
      </c>
      <c r="E1529" s="32" t="n">
        <f aca="false">VLOOKUP($A1529,'Order Sales'!$A$2:$G$2154,E$1,FALSE())</f>
        <v>10</v>
      </c>
      <c r="F1529" s="32" t="n">
        <f aca="false">VLOOKUP($A1529,'Order Sales'!$A$2:$G$2154,F$1,FALSE())</f>
        <v>607.69</v>
      </c>
      <c r="G1529" s="32" t="str">
        <f aca="false">VLOOKUP($A1529,'Order Sales'!$A$2:$G$2154,G$1,FALSE())</f>
        <v>Consumer</v>
      </c>
    </row>
    <row r="1530" customFormat="false" ht="14.25" hidden="false" customHeight="false" outlineLevel="0" collapsed="false">
      <c r="A1530" s="1" t="n">
        <v>1015</v>
      </c>
      <c r="B1530" s="30" t="n">
        <v>43195</v>
      </c>
      <c r="C1530" s="30" t="n">
        <v>44652</v>
      </c>
      <c r="D1530" s="31" t="n">
        <f aca="false">VLOOKUP(A1530,'Order Shipping'!$A$2:$C$2000,3,FALSE())</f>
        <v>3.4</v>
      </c>
      <c r="E1530" s="32" t="n">
        <f aca="false">VLOOKUP($A1530,'Order Sales'!$A$2:$G$2154,E$1,FALSE())</f>
        <v>23</v>
      </c>
      <c r="F1530" s="32" t="n">
        <f aca="false">VLOOKUP($A1530,'Order Sales'!$A$2:$G$2154,F$1,FALSE())</f>
        <v>332.26</v>
      </c>
      <c r="G1530" s="32" t="str">
        <f aca="false">VLOOKUP($A1530,'Order Sales'!$A$2:$G$2154,G$1,FALSE())</f>
        <v>Home Office</v>
      </c>
    </row>
    <row r="1531" customFormat="false" ht="14.25" hidden="false" customHeight="false" outlineLevel="0" collapsed="false">
      <c r="A1531" s="1" t="n">
        <v>1881</v>
      </c>
      <c r="B1531" s="30" t="n">
        <v>43218</v>
      </c>
      <c r="C1531" s="30" t="n">
        <v>44653</v>
      </c>
      <c r="D1531" s="31" t="n">
        <f aca="false">VLOOKUP(A1531,'Order Shipping'!$A$2:$C$2000,3,FALSE())</f>
        <v>5.4</v>
      </c>
      <c r="E1531" s="32" t="n">
        <f aca="false">VLOOKUP($A1531,'Order Sales'!$A$2:$G$2154,E$1,FALSE())</f>
        <v>45</v>
      </c>
      <c r="F1531" s="32" t="n">
        <f aca="false">VLOOKUP($A1531,'Order Sales'!$A$2:$G$2154,F$1,FALSE())</f>
        <v>535.51</v>
      </c>
      <c r="G1531" s="32" t="str">
        <f aca="false">VLOOKUP($A1531,'Order Sales'!$A$2:$G$2154,G$1,FALSE())</f>
        <v>Home Office</v>
      </c>
    </row>
    <row r="1532" customFormat="false" ht="14.25" hidden="false" customHeight="false" outlineLevel="0" collapsed="false">
      <c r="A1532" s="1" t="n">
        <v>1679</v>
      </c>
      <c r="B1532" s="30" t="n">
        <v>43257</v>
      </c>
      <c r="C1532" s="30" t="n">
        <v>44654</v>
      </c>
      <c r="D1532" s="31" t="n">
        <f aca="false">VLOOKUP(A1532,'Order Shipping'!$A$2:$C$2000,3,FALSE())</f>
        <v>2.2</v>
      </c>
      <c r="E1532" s="32" t="n">
        <f aca="false">VLOOKUP($A1532,'Order Sales'!$A$2:$G$2154,E$1,FALSE())</f>
        <v>5</v>
      </c>
      <c r="F1532" s="32" t="n">
        <f aca="false">VLOOKUP($A1532,'Order Sales'!$A$2:$G$2154,F$1,FALSE())</f>
        <v>21.7</v>
      </c>
      <c r="G1532" s="32" t="str">
        <f aca="false">VLOOKUP($A1532,'Order Sales'!$A$2:$G$2154,G$1,FALSE())</f>
        <v>Consumer</v>
      </c>
    </row>
    <row r="1533" customFormat="false" ht="14.25" hidden="false" customHeight="false" outlineLevel="0" collapsed="false">
      <c r="A1533" s="1" t="n">
        <v>2974</v>
      </c>
      <c r="B1533" s="30" t="n">
        <v>43130</v>
      </c>
      <c r="C1533" s="30" t="n">
        <v>44655</v>
      </c>
      <c r="D1533" s="31" t="n">
        <f aca="false">VLOOKUP(A1533,'Order Shipping'!$A$2:$C$2000,3,FALSE())</f>
        <v>5.5</v>
      </c>
      <c r="E1533" s="32" t="n">
        <f aca="false">VLOOKUP($A1533,'Order Sales'!$A$2:$G$2154,E$1,FALSE())</f>
        <v>28</v>
      </c>
      <c r="F1533" s="32" t="n">
        <f aca="false">VLOOKUP($A1533,'Order Sales'!$A$2:$G$2154,F$1,FALSE())</f>
        <v>1351.14</v>
      </c>
      <c r="G1533" s="32" t="str">
        <f aca="false">VLOOKUP($A1533,'Order Sales'!$A$2:$G$2154,G$1,FALSE())</f>
        <v>Corporate</v>
      </c>
    </row>
    <row r="1534" customFormat="false" ht="14.25" hidden="false" customHeight="false" outlineLevel="0" collapsed="false">
      <c r="A1534" s="1" t="n">
        <v>1667</v>
      </c>
      <c r="B1534" s="30" t="n">
        <v>43109</v>
      </c>
      <c r="C1534" s="30" t="n">
        <v>44656</v>
      </c>
      <c r="D1534" s="31" t="n">
        <f aca="false">VLOOKUP(A1534,'Order Shipping'!$A$2:$C$2000,3,FALSE())</f>
        <v>0.7</v>
      </c>
      <c r="E1534" s="32" t="n">
        <f aca="false">VLOOKUP($A1534,'Order Sales'!$A$2:$G$2154,E$1,FALSE())</f>
        <v>12</v>
      </c>
      <c r="F1534" s="32" t="n">
        <f aca="false">VLOOKUP($A1534,'Order Sales'!$A$2:$G$2154,F$1,FALSE())</f>
        <v>48.8</v>
      </c>
      <c r="G1534" s="32" t="str">
        <f aca="false">VLOOKUP($A1534,'Order Sales'!$A$2:$G$2154,G$1,FALSE())</f>
        <v>Home Office</v>
      </c>
    </row>
    <row r="1535" customFormat="false" ht="14.25" hidden="false" customHeight="false" outlineLevel="0" collapsed="false">
      <c r="A1535" s="1" t="n">
        <v>2936</v>
      </c>
      <c r="B1535" s="30" t="n">
        <v>43103</v>
      </c>
      <c r="C1535" s="30" t="n">
        <v>44657</v>
      </c>
      <c r="D1535" s="31" t="n">
        <f aca="false">VLOOKUP(A1535,'Order Shipping'!$A$2:$C$2000,3,FALSE())</f>
        <v>5.7</v>
      </c>
      <c r="E1535" s="32" t="n">
        <f aca="false">VLOOKUP($A1535,'Order Sales'!$A$2:$G$2154,E$1,FALSE())</f>
        <v>26</v>
      </c>
      <c r="F1535" s="32" t="n">
        <f aca="false">VLOOKUP($A1535,'Order Sales'!$A$2:$G$2154,F$1,FALSE())</f>
        <v>65.7</v>
      </c>
      <c r="G1535" s="32" t="str">
        <f aca="false">VLOOKUP($A1535,'Order Sales'!$A$2:$G$2154,G$1,FALSE())</f>
        <v>Consumer</v>
      </c>
    </row>
    <row r="1536" customFormat="false" ht="14.25" hidden="false" customHeight="false" outlineLevel="0" collapsed="false">
      <c r="A1536" s="1" t="n">
        <v>1225</v>
      </c>
      <c r="B1536" s="30" t="n">
        <v>43281</v>
      </c>
      <c r="C1536" s="30" t="n">
        <v>44658</v>
      </c>
      <c r="D1536" s="31" t="n">
        <f aca="false">VLOOKUP(A1536,'Order Shipping'!$A$2:$C$2000,3,FALSE())</f>
        <v>2.1</v>
      </c>
      <c r="E1536" s="32" t="n">
        <f aca="false">VLOOKUP($A1536,'Order Sales'!$A$2:$G$2154,E$1,FALSE())</f>
        <v>38</v>
      </c>
      <c r="F1536" s="32" t="n">
        <f aca="false">VLOOKUP($A1536,'Order Sales'!$A$2:$G$2154,F$1,FALSE())</f>
        <v>1668.67</v>
      </c>
      <c r="G1536" s="32" t="str">
        <f aca="false">VLOOKUP($A1536,'Order Sales'!$A$2:$G$2154,G$1,FALSE())</f>
        <v>Consumer</v>
      </c>
    </row>
    <row r="1537" customFormat="false" ht="14.25" hidden="false" customHeight="false" outlineLevel="0" collapsed="false">
      <c r="A1537" s="1" t="n">
        <v>1752</v>
      </c>
      <c r="B1537" s="30" t="n">
        <v>43357</v>
      </c>
      <c r="C1537" s="30" t="n">
        <v>44659</v>
      </c>
      <c r="D1537" s="31" t="n">
        <f aca="false">VLOOKUP(A1537,'Order Shipping'!$A$2:$C$2000,3,FALSE())</f>
        <v>6.2</v>
      </c>
      <c r="E1537" s="32" t="n">
        <f aca="false">VLOOKUP($A1537,'Order Sales'!$A$2:$G$2154,E$1,FALSE())</f>
        <v>18</v>
      </c>
      <c r="F1537" s="32" t="n">
        <f aca="false">VLOOKUP($A1537,'Order Sales'!$A$2:$G$2154,F$1,FALSE())</f>
        <v>180.78</v>
      </c>
      <c r="G1537" s="32" t="str">
        <f aca="false">VLOOKUP($A1537,'Order Sales'!$A$2:$G$2154,G$1,FALSE())</f>
        <v>Consumer</v>
      </c>
    </row>
    <row r="1538" customFormat="false" ht="14.25" hidden="false" customHeight="false" outlineLevel="0" collapsed="false">
      <c r="A1538" s="1" t="n">
        <v>2538</v>
      </c>
      <c r="B1538" s="30" t="n">
        <v>43272</v>
      </c>
      <c r="C1538" s="30" t="n">
        <v>44660</v>
      </c>
      <c r="D1538" s="31" t="n">
        <f aca="false">VLOOKUP(A1538,'Order Shipping'!$A$2:$C$2000,3,FALSE())</f>
        <v>9.6</v>
      </c>
      <c r="E1538" s="32" t="n">
        <f aca="false">VLOOKUP($A1538,'Order Sales'!$A$2:$G$2154,E$1,FALSE())</f>
        <v>50</v>
      </c>
      <c r="F1538" s="32" t="n">
        <f aca="false">VLOOKUP($A1538,'Order Sales'!$A$2:$G$2154,F$1,FALSE())</f>
        <v>860.43</v>
      </c>
      <c r="G1538" s="32" t="str">
        <f aca="false">VLOOKUP($A1538,'Order Sales'!$A$2:$G$2154,G$1,FALSE())</f>
        <v>Home Office</v>
      </c>
    </row>
    <row r="1539" customFormat="false" ht="14.25" hidden="false" customHeight="false" outlineLevel="0" collapsed="false">
      <c r="A1539" s="1" t="n">
        <v>1624</v>
      </c>
      <c r="B1539" s="30" t="n">
        <v>43198</v>
      </c>
      <c r="C1539" s="30" t="n">
        <v>44661</v>
      </c>
      <c r="D1539" s="31" t="n">
        <f aca="false">VLOOKUP(A1539,'Order Shipping'!$A$2:$C$2000,3,FALSE())</f>
        <v>1.2</v>
      </c>
      <c r="E1539" s="32" t="n">
        <f aca="false">VLOOKUP($A1539,'Order Sales'!$A$2:$G$2154,E$1,FALSE())</f>
        <v>37</v>
      </c>
      <c r="F1539" s="32" t="n">
        <f aca="false">VLOOKUP($A1539,'Order Sales'!$A$2:$G$2154,F$1,FALSE())</f>
        <v>1208.09</v>
      </c>
      <c r="G1539" s="32" t="str">
        <f aca="false">VLOOKUP($A1539,'Order Sales'!$A$2:$G$2154,G$1,FALSE())</f>
        <v>Small Business</v>
      </c>
    </row>
    <row r="1540" customFormat="false" ht="14.25" hidden="false" customHeight="false" outlineLevel="0" collapsed="false">
      <c r="A1540" s="1" t="n">
        <v>1836</v>
      </c>
      <c r="B1540" s="30" t="n">
        <v>43240</v>
      </c>
      <c r="C1540" s="30" t="n">
        <v>44662</v>
      </c>
      <c r="D1540" s="31" t="n">
        <f aca="false">VLOOKUP(A1540,'Order Shipping'!$A$2:$C$2000,3,FALSE())</f>
        <v>3.2</v>
      </c>
      <c r="E1540" s="32" t="n">
        <f aca="false">VLOOKUP($A1540,'Order Sales'!$A$2:$G$2154,E$1,FALSE())</f>
        <v>16</v>
      </c>
      <c r="F1540" s="32" t="n">
        <f aca="false">VLOOKUP($A1540,'Order Sales'!$A$2:$G$2154,F$1,FALSE())</f>
        <v>191.81</v>
      </c>
      <c r="G1540" s="32" t="str">
        <f aca="false">VLOOKUP($A1540,'Order Sales'!$A$2:$G$2154,G$1,FALSE())</f>
        <v>Corporate</v>
      </c>
    </row>
    <row r="1541" customFormat="false" ht="14.25" hidden="false" customHeight="false" outlineLevel="0" collapsed="false">
      <c r="A1541" s="1" t="n">
        <v>1764</v>
      </c>
      <c r="B1541" s="30" t="n">
        <v>43207</v>
      </c>
      <c r="C1541" s="30" t="n">
        <v>44663</v>
      </c>
      <c r="D1541" s="31" t="n">
        <f aca="false">VLOOKUP(A1541,'Order Shipping'!$A$2:$C$2000,3,FALSE())</f>
        <v>5.6</v>
      </c>
      <c r="E1541" s="32" t="n">
        <f aca="false">VLOOKUP($A1541,'Order Sales'!$A$2:$G$2154,E$1,FALSE())</f>
        <v>3</v>
      </c>
      <c r="F1541" s="32" t="n">
        <f aca="false">VLOOKUP($A1541,'Order Sales'!$A$2:$G$2154,F$1,FALSE())</f>
        <v>25.08</v>
      </c>
      <c r="G1541" s="32" t="str">
        <f aca="false">VLOOKUP($A1541,'Order Sales'!$A$2:$G$2154,G$1,FALSE())</f>
        <v>Corporate</v>
      </c>
    </row>
    <row r="1542" customFormat="false" ht="14.25" hidden="false" customHeight="false" outlineLevel="0" collapsed="false">
      <c r="A1542" s="1" t="n">
        <v>2663</v>
      </c>
      <c r="B1542" s="30" t="n">
        <v>43449</v>
      </c>
      <c r="C1542" s="30" t="n">
        <v>44664</v>
      </c>
      <c r="D1542" s="31" t="n">
        <f aca="false">VLOOKUP(A1542,'Order Shipping'!$A$2:$C$2000,3,FALSE())</f>
        <v>3.4</v>
      </c>
      <c r="E1542" s="32" t="n">
        <f aca="false">VLOOKUP($A1542,'Order Sales'!$A$2:$G$2154,E$1,FALSE())</f>
        <v>50</v>
      </c>
      <c r="F1542" s="32" t="n">
        <f aca="false">VLOOKUP($A1542,'Order Sales'!$A$2:$G$2154,F$1,FALSE())</f>
        <v>642.24</v>
      </c>
      <c r="G1542" s="32" t="str">
        <f aca="false">VLOOKUP($A1542,'Order Sales'!$A$2:$G$2154,G$1,FALSE())</f>
        <v>Home Office</v>
      </c>
    </row>
    <row r="1543" customFormat="false" ht="14.25" hidden="false" customHeight="false" outlineLevel="0" collapsed="false">
      <c r="A1543" s="1" t="n">
        <v>2426</v>
      </c>
      <c r="B1543" s="30" t="n">
        <v>43241</v>
      </c>
      <c r="C1543" s="30" t="n">
        <v>44665</v>
      </c>
      <c r="D1543" s="31" t="n">
        <f aca="false">VLOOKUP(A1543,'Order Shipping'!$A$2:$C$2000,3,FALSE())</f>
        <v>7.7</v>
      </c>
      <c r="E1543" s="32" t="n">
        <f aca="false">VLOOKUP($A1543,'Order Sales'!$A$2:$G$2154,E$1,FALSE())</f>
        <v>38</v>
      </c>
      <c r="F1543" s="32" t="n">
        <f aca="false">VLOOKUP($A1543,'Order Sales'!$A$2:$G$2154,F$1,FALSE())</f>
        <v>501.78</v>
      </c>
      <c r="G1543" s="32" t="str">
        <f aca="false">VLOOKUP($A1543,'Order Sales'!$A$2:$G$2154,G$1,FALSE())</f>
        <v>Corporate</v>
      </c>
    </row>
    <row r="1544" customFormat="false" ht="14.25" hidden="false" customHeight="false" outlineLevel="0" collapsed="false">
      <c r="A1544" s="1" t="n">
        <v>1487</v>
      </c>
      <c r="B1544" s="30" t="n">
        <v>43302</v>
      </c>
      <c r="C1544" s="30" t="n">
        <v>44666</v>
      </c>
      <c r="D1544" s="31" t="n">
        <f aca="false">VLOOKUP(A1544,'Order Shipping'!$A$2:$C$2000,3,FALSE())</f>
        <v>5</v>
      </c>
      <c r="E1544" s="32" t="n">
        <f aca="false">VLOOKUP($A1544,'Order Sales'!$A$2:$G$2154,E$1,FALSE())</f>
        <v>46</v>
      </c>
      <c r="F1544" s="32" t="n">
        <f aca="false">VLOOKUP($A1544,'Order Sales'!$A$2:$G$2154,F$1,FALSE())</f>
        <v>247.54</v>
      </c>
      <c r="G1544" s="32" t="str">
        <f aca="false">VLOOKUP($A1544,'Order Sales'!$A$2:$G$2154,G$1,FALSE())</f>
        <v>Corporate</v>
      </c>
    </row>
    <row r="1545" customFormat="false" ht="14.25" hidden="false" customHeight="false" outlineLevel="0" collapsed="false">
      <c r="A1545" s="1" t="n">
        <v>1940</v>
      </c>
      <c r="B1545" s="30" t="n">
        <v>43334</v>
      </c>
      <c r="C1545" s="30" t="n">
        <v>44667</v>
      </c>
      <c r="D1545" s="31" t="n">
        <f aca="false">VLOOKUP(A1545,'Order Shipping'!$A$2:$C$2000,3,FALSE())</f>
        <v>21.4</v>
      </c>
      <c r="E1545" s="32" t="n">
        <f aca="false">VLOOKUP($A1545,'Order Sales'!$A$2:$G$2154,E$1,FALSE())</f>
        <v>15</v>
      </c>
      <c r="F1545" s="32" t="n">
        <f aca="false">VLOOKUP($A1545,'Order Sales'!$A$2:$G$2154,F$1,FALSE())</f>
        <v>5666.92</v>
      </c>
      <c r="G1545" s="32" t="str">
        <f aca="false">VLOOKUP($A1545,'Order Sales'!$A$2:$G$2154,G$1,FALSE())</f>
        <v>Home Office</v>
      </c>
    </row>
    <row r="1546" customFormat="false" ht="14.25" hidden="false" customHeight="false" outlineLevel="0" collapsed="false">
      <c r="A1546" s="1" t="n">
        <v>1410</v>
      </c>
      <c r="B1546" s="30" t="n">
        <v>43132</v>
      </c>
      <c r="C1546" s="30" t="n">
        <v>44668</v>
      </c>
      <c r="D1546" s="31" t="n">
        <f aca="false">VLOOKUP(A1546,'Order Shipping'!$A$2:$C$2000,3,FALSE())</f>
        <v>61.9</v>
      </c>
      <c r="E1546" s="32" t="n">
        <f aca="false">VLOOKUP($A1546,'Order Sales'!$A$2:$G$2154,E$1,FALSE())</f>
        <v>4</v>
      </c>
      <c r="F1546" s="32" t="n">
        <f aca="false">VLOOKUP($A1546,'Order Sales'!$A$2:$G$2154,F$1,FALSE())</f>
        <v>132.49</v>
      </c>
      <c r="G1546" s="32" t="str">
        <f aca="false">VLOOKUP($A1546,'Order Sales'!$A$2:$G$2154,G$1,FALSE())</f>
        <v>Small Business</v>
      </c>
    </row>
    <row r="1547" customFormat="false" ht="14.25" hidden="false" customHeight="false" outlineLevel="0" collapsed="false">
      <c r="A1547" s="1" t="n">
        <v>1305</v>
      </c>
      <c r="B1547" s="30" t="n">
        <v>43143</v>
      </c>
      <c r="C1547" s="30" t="n">
        <v>44669</v>
      </c>
      <c r="D1547" s="31" t="n">
        <f aca="false">VLOOKUP(A1547,'Order Shipping'!$A$2:$C$2000,3,FALSE())</f>
        <v>70.9</v>
      </c>
      <c r="E1547" s="32" t="n">
        <f aca="false">VLOOKUP($A1547,'Order Sales'!$A$2:$G$2154,E$1,FALSE())</f>
        <v>6</v>
      </c>
      <c r="F1547" s="32" t="n">
        <f aca="false">VLOOKUP($A1547,'Order Sales'!$A$2:$G$2154,F$1,FALSE())</f>
        <v>969.44</v>
      </c>
      <c r="G1547" s="32" t="str">
        <f aca="false">VLOOKUP($A1547,'Order Sales'!$A$2:$G$2154,G$1,FALSE())</f>
        <v>Small Business</v>
      </c>
    </row>
    <row r="1548" customFormat="false" ht="14.25" hidden="false" customHeight="false" outlineLevel="0" collapsed="false">
      <c r="A1548" s="1" t="n">
        <v>1601</v>
      </c>
      <c r="B1548" s="30" t="n">
        <v>43463</v>
      </c>
      <c r="C1548" s="30" t="n">
        <v>44670</v>
      </c>
      <c r="D1548" s="31" t="n">
        <f aca="false">VLOOKUP(A1548,'Order Shipping'!$A$2:$C$2000,3,FALSE())</f>
        <v>2.1</v>
      </c>
      <c r="E1548" s="32" t="n">
        <f aca="false">VLOOKUP($A1548,'Order Sales'!$A$2:$G$2154,E$1,FALSE())</f>
        <v>36</v>
      </c>
      <c r="F1548" s="32" t="n">
        <f aca="false">VLOOKUP($A1548,'Order Sales'!$A$2:$G$2154,F$1,FALSE())</f>
        <v>302.36</v>
      </c>
      <c r="G1548" s="32" t="str">
        <f aca="false">VLOOKUP($A1548,'Order Sales'!$A$2:$G$2154,G$1,FALSE())</f>
        <v>Corporate</v>
      </c>
    </row>
    <row r="1549" customFormat="false" ht="14.25" hidden="false" customHeight="false" outlineLevel="0" collapsed="false">
      <c r="A1549" s="1" t="n">
        <v>1537</v>
      </c>
      <c r="B1549" s="30" t="n">
        <v>43218</v>
      </c>
      <c r="C1549" s="30" t="n">
        <v>44671</v>
      </c>
      <c r="D1549" s="31" t="n">
        <f aca="false">VLOOKUP(A1549,'Order Shipping'!$A$2:$C$2000,3,FALSE())</f>
        <v>4.9</v>
      </c>
      <c r="E1549" s="32" t="n">
        <f aca="false">VLOOKUP($A1549,'Order Sales'!$A$2:$G$2154,E$1,FALSE())</f>
        <v>49</v>
      </c>
      <c r="F1549" s="32" t="n">
        <f aca="false">VLOOKUP($A1549,'Order Sales'!$A$2:$G$2154,F$1,FALSE())</f>
        <v>2096.59</v>
      </c>
      <c r="G1549" s="32" t="str">
        <f aca="false">VLOOKUP($A1549,'Order Sales'!$A$2:$G$2154,G$1,FALSE())</f>
        <v>Small Business</v>
      </c>
    </row>
    <row r="1550" customFormat="false" ht="14.25" hidden="false" customHeight="false" outlineLevel="0" collapsed="false">
      <c r="A1550" s="1" t="n">
        <v>1384</v>
      </c>
      <c r="B1550" s="30" t="n">
        <v>43413</v>
      </c>
      <c r="C1550" s="30" t="n">
        <v>44672</v>
      </c>
      <c r="D1550" s="31" t="n">
        <f aca="false">VLOOKUP(A1550,'Order Shipping'!$A$2:$C$2000,3,FALSE())</f>
        <v>5.9</v>
      </c>
      <c r="E1550" s="32" t="n">
        <f aca="false">VLOOKUP($A1550,'Order Sales'!$A$2:$G$2154,E$1,FALSE())</f>
        <v>35</v>
      </c>
      <c r="F1550" s="32" t="n">
        <f aca="false">VLOOKUP($A1550,'Order Sales'!$A$2:$G$2154,F$1,FALSE())</f>
        <v>1234.93</v>
      </c>
      <c r="G1550" s="32" t="str">
        <f aca="false">VLOOKUP($A1550,'Order Sales'!$A$2:$G$2154,G$1,FALSE())</f>
        <v>Home Office</v>
      </c>
    </row>
    <row r="1551" customFormat="false" ht="14.25" hidden="false" customHeight="false" outlineLevel="0" collapsed="false">
      <c r="A1551" s="1" t="n">
        <v>2693</v>
      </c>
      <c r="B1551" s="30" t="n">
        <v>43410</v>
      </c>
      <c r="C1551" s="30" t="n">
        <v>44673</v>
      </c>
      <c r="D1551" s="31" t="n">
        <f aca="false">VLOOKUP(A1551,'Order Shipping'!$A$2:$C$2000,3,FALSE())</f>
        <v>4.3</v>
      </c>
      <c r="E1551" s="32" t="n">
        <f aca="false">VLOOKUP($A1551,'Order Sales'!$A$2:$G$2154,E$1,FALSE())</f>
        <v>18</v>
      </c>
      <c r="F1551" s="32" t="n">
        <f aca="false">VLOOKUP($A1551,'Order Sales'!$A$2:$G$2154,F$1,FALSE())</f>
        <v>385.46</v>
      </c>
      <c r="G1551" s="32" t="str">
        <f aca="false">VLOOKUP($A1551,'Order Sales'!$A$2:$G$2154,G$1,FALSE())</f>
        <v>Home Office</v>
      </c>
    </row>
    <row r="1552" customFormat="false" ht="14.25" hidden="false" customHeight="false" outlineLevel="0" collapsed="false">
      <c r="A1552" s="1" t="n">
        <v>2442</v>
      </c>
      <c r="B1552" s="30" t="n">
        <v>43347</v>
      </c>
      <c r="C1552" s="30" t="n">
        <v>44674</v>
      </c>
      <c r="D1552" s="31" t="n">
        <f aca="false">VLOOKUP(A1552,'Order Shipping'!$A$2:$C$2000,3,FALSE())</f>
        <v>63.1</v>
      </c>
      <c r="E1552" s="32" t="n">
        <f aca="false">VLOOKUP($A1552,'Order Sales'!$A$2:$G$2154,E$1,FALSE())</f>
        <v>35</v>
      </c>
      <c r="F1552" s="32" t="n">
        <f aca="false">VLOOKUP($A1552,'Order Sales'!$A$2:$G$2154,F$1,FALSE())</f>
        <v>13811.99</v>
      </c>
      <c r="G1552" s="32" t="str">
        <f aca="false">VLOOKUP($A1552,'Order Sales'!$A$2:$G$2154,G$1,FALSE())</f>
        <v>Home Office</v>
      </c>
    </row>
    <row r="1553" customFormat="false" ht="14.25" hidden="false" customHeight="false" outlineLevel="0" collapsed="false">
      <c r="A1553" s="1" t="n">
        <v>2659</v>
      </c>
      <c r="B1553" s="30" t="n">
        <v>43349</v>
      </c>
      <c r="C1553" s="30" t="n">
        <v>44675</v>
      </c>
      <c r="D1553" s="31" t="n">
        <f aca="false">VLOOKUP(A1553,'Order Shipping'!$A$2:$C$2000,3,FALSE())</f>
        <v>3.7</v>
      </c>
      <c r="E1553" s="32" t="n">
        <f aca="false">VLOOKUP($A1553,'Order Sales'!$A$2:$G$2154,E$1,FALSE())</f>
        <v>48</v>
      </c>
      <c r="F1553" s="32" t="n">
        <f aca="false">VLOOKUP($A1553,'Order Sales'!$A$2:$G$2154,F$1,FALSE())</f>
        <v>416.53</v>
      </c>
      <c r="G1553" s="32" t="str">
        <f aca="false">VLOOKUP($A1553,'Order Sales'!$A$2:$G$2154,G$1,FALSE())</f>
        <v>Corporate</v>
      </c>
    </row>
    <row r="1554" customFormat="false" ht="14.25" hidden="false" customHeight="false" outlineLevel="0" collapsed="false">
      <c r="A1554" s="1" t="n">
        <v>1334</v>
      </c>
      <c r="B1554" s="30" t="n">
        <v>43457</v>
      </c>
      <c r="C1554" s="30" t="n">
        <v>44676</v>
      </c>
      <c r="D1554" s="31" t="n">
        <f aca="false">VLOOKUP(A1554,'Order Shipping'!$A$2:$C$2000,3,FALSE())</f>
        <v>5.1</v>
      </c>
      <c r="E1554" s="32" t="n">
        <f aca="false">VLOOKUP($A1554,'Order Sales'!$A$2:$G$2154,E$1,FALSE())</f>
        <v>12</v>
      </c>
      <c r="F1554" s="32" t="n">
        <f aca="false">VLOOKUP($A1554,'Order Sales'!$A$2:$G$2154,F$1,FALSE())</f>
        <v>30.4</v>
      </c>
      <c r="G1554" s="32" t="str">
        <f aca="false">VLOOKUP($A1554,'Order Sales'!$A$2:$G$2154,G$1,FALSE())</f>
        <v>Consumer</v>
      </c>
    </row>
    <row r="1555" customFormat="false" ht="14.25" hidden="false" customHeight="false" outlineLevel="0" collapsed="false">
      <c r="A1555" s="1" t="n">
        <v>1131</v>
      </c>
      <c r="B1555" s="30" t="n">
        <v>43176</v>
      </c>
      <c r="C1555" s="30" t="n">
        <v>44677</v>
      </c>
      <c r="D1555" s="31" t="n">
        <f aca="false">VLOOKUP(A1555,'Order Shipping'!$A$2:$C$2000,3,FALSE())</f>
        <v>4.3</v>
      </c>
      <c r="E1555" s="32" t="n">
        <f aca="false">VLOOKUP($A1555,'Order Sales'!$A$2:$G$2154,E$1,FALSE())</f>
        <v>21</v>
      </c>
      <c r="F1555" s="32" t="n">
        <f aca="false">VLOOKUP($A1555,'Order Sales'!$A$2:$G$2154,F$1,FALSE())</f>
        <v>1666.44</v>
      </c>
      <c r="G1555" s="32" t="str">
        <f aca="false">VLOOKUP($A1555,'Order Sales'!$A$2:$G$2154,G$1,FALSE())</f>
        <v>Home Office</v>
      </c>
    </row>
    <row r="1556" customFormat="false" ht="14.25" hidden="false" customHeight="false" outlineLevel="0" collapsed="false">
      <c r="A1556" s="1" t="n">
        <v>2867</v>
      </c>
      <c r="B1556" s="30" t="n">
        <v>43372</v>
      </c>
      <c r="C1556" s="30" t="n">
        <v>44678</v>
      </c>
      <c r="D1556" s="31" t="n">
        <f aca="false">VLOOKUP(A1556,'Order Shipping'!$A$2:$C$2000,3,FALSE())</f>
        <v>3.9</v>
      </c>
      <c r="E1556" s="32" t="n">
        <f aca="false">VLOOKUP($A1556,'Order Sales'!$A$2:$G$2154,E$1,FALSE())</f>
        <v>26</v>
      </c>
      <c r="F1556" s="32" t="n">
        <f aca="false">VLOOKUP($A1556,'Order Sales'!$A$2:$G$2154,F$1,FALSE())</f>
        <v>855.83</v>
      </c>
      <c r="G1556" s="32" t="str">
        <f aca="false">VLOOKUP($A1556,'Order Sales'!$A$2:$G$2154,G$1,FALSE())</f>
        <v>Small Business</v>
      </c>
    </row>
    <row r="1557" customFormat="false" ht="14.25" hidden="false" customHeight="false" outlineLevel="0" collapsed="false">
      <c r="A1557" s="1" t="n">
        <v>2435</v>
      </c>
      <c r="B1557" s="30" t="n">
        <v>43174</v>
      </c>
      <c r="C1557" s="30" t="n">
        <v>44679</v>
      </c>
      <c r="D1557" s="31" t="n">
        <f aca="false">VLOOKUP(A1557,'Order Shipping'!$A$2:$C$2000,3,FALSE())</f>
        <v>1.6</v>
      </c>
      <c r="E1557" s="32" t="n">
        <f aca="false">VLOOKUP($A1557,'Order Sales'!$A$2:$G$2154,E$1,FALSE())</f>
        <v>14</v>
      </c>
      <c r="F1557" s="32" t="n">
        <f aca="false">VLOOKUP($A1557,'Order Sales'!$A$2:$G$2154,F$1,FALSE())</f>
        <v>289.17</v>
      </c>
      <c r="G1557" s="32" t="str">
        <f aca="false">VLOOKUP($A1557,'Order Sales'!$A$2:$G$2154,G$1,FALSE())</f>
        <v>Home Office</v>
      </c>
    </row>
    <row r="1558" customFormat="false" ht="14.25" hidden="false" customHeight="false" outlineLevel="0" collapsed="false">
      <c r="A1558" s="1" t="n">
        <v>2775</v>
      </c>
      <c r="B1558" s="30" t="n">
        <v>43230</v>
      </c>
      <c r="C1558" s="30" t="n">
        <v>44680</v>
      </c>
      <c r="D1558" s="31" t="n">
        <f aca="false">VLOOKUP(A1558,'Order Shipping'!$A$2:$C$2000,3,FALSE())</f>
        <v>3.2</v>
      </c>
      <c r="E1558" s="32" t="n">
        <f aca="false">VLOOKUP($A1558,'Order Sales'!$A$2:$G$2154,E$1,FALSE())</f>
        <v>50</v>
      </c>
      <c r="F1558" s="32" t="n">
        <f aca="false">VLOOKUP($A1558,'Order Sales'!$A$2:$G$2154,F$1,FALSE())</f>
        <v>2025.82</v>
      </c>
      <c r="G1558" s="32" t="str">
        <f aca="false">VLOOKUP($A1558,'Order Sales'!$A$2:$G$2154,G$1,FALSE())</f>
        <v>Consumer</v>
      </c>
    </row>
    <row r="1559" customFormat="false" ht="14.25" hidden="false" customHeight="false" outlineLevel="0" collapsed="false">
      <c r="A1559" s="1" t="n">
        <v>1281</v>
      </c>
      <c r="B1559" s="30" t="n">
        <v>43278</v>
      </c>
      <c r="C1559" s="30" t="n">
        <v>44681</v>
      </c>
      <c r="D1559" s="31" t="n">
        <f aca="false">VLOOKUP(A1559,'Order Shipping'!$A$2:$C$2000,3,FALSE())</f>
        <v>4.3</v>
      </c>
      <c r="E1559" s="32" t="n">
        <f aca="false">VLOOKUP($A1559,'Order Sales'!$A$2:$G$2154,E$1,FALSE())</f>
        <v>15</v>
      </c>
      <c r="F1559" s="32" t="n">
        <f aca="false">VLOOKUP($A1559,'Order Sales'!$A$2:$G$2154,F$1,FALSE())</f>
        <v>671.63</v>
      </c>
      <c r="G1559" s="32" t="str">
        <f aca="false">VLOOKUP($A1559,'Order Sales'!$A$2:$G$2154,G$1,FALSE())</f>
        <v>Small Business</v>
      </c>
    </row>
    <row r="1560" customFormat="false" ht="14.25" hidden="false" customHeight="false" outlineLevel="0" collapsed="false">
      <c r="A1560" s="1" t="n">
        <v>1316</v>
      </c>
      <c r="B1560" s="30" t="n">
        <v>43441</v>
      </c>
      <c r="C1560" s="30" t="n">
        <v>44682</v>
      </c>
      <c r="D1560" s="31" t="n">
        <f aca="false">VLOOKUP(A1560,'Order Shipping'!$A$2:$C$2000,3,FALSE())</f>
        <v>12.4</v>
      </c>
      <c r="E1560" s="32" t="n">
        <f aca="false">VLOOKUP($A1560,'Order Sales'!$A$2:$G$2154,E$1,FALSE())</f>
        <v>23</v>
      </c>
      <c r="F1560" s="32" t="n">
        <f aca="false">VLOOKUP($A1560,'Order Sales'!$A$2:$G$2154,F$1,FALSE())</f>
        <v>802.92</v>
      </c>
      <c r="G1560" s="32" t="str">
        <f aca="false">VLOOKUP($A1560,'Order Sales'!$A$2:$G$2154,G$1,FALSE())</f>
        <v>Consumer</v>
      </c>
    </row>
    <row r="1561" customFormat="false" ht="14.25" hidden="false" customHeight="false" outlineLevel="0" collapsed="false">
      <c r="A1561" s="1" t="n">
        <v>2168</v>
      </c>
      <c r="B1561" s="30" t="n">
        <v>43390</v>
      </c>
      <c r="C1561" s="30" t="n">
        <v>44683</v>
      </c>
      <c r="D1561" s="31" t="n">
        <f aca="false">VLOOKUP(A1561,'Order Shipping'!$A$2:$C$2000,3,FALSE())</f>
        <v>2.1</v>
      </c>
      <c r="E1561" s="32" t="n">
        <f aca="false">VLOOKUP($A1561,'Order Sales'!$A$2:$G$2154,E$1,FALSE())</f>
        <v>49</v>
      </c>
      <c r="F1561" s="32" t="n">
        <f aca="false">VLOOKUP($A1561,'Order Sales'!$A$2:$G$2154,F$1,FALSE())</f>
        <v>1535.79</v>
      </c>
      <c r="G1561" s="32" t="str">
        <f aca="false">VLOOKUP($A1561,'Order Sales'!$A$2:$G$2154,G$1,FALSE())</f>
        <v>Corporate</v>
      </c>
    </row>
    <row r="1562" customFormat="false" ht="14.25" hidden="false" customHeight="false" outlineLevel="0" collapsed="false">
      <c r="A1562" s="1" t="n">
        <v>1025</v>
      </c>
      <c r="B1562" s="30" t="n">
        <v>43299</v>
      </c>
      <c r="C1562" s="30" t="n">
        <v>44684</v>
      </c>
      <c r="D1562" s="31" t="n">
        <f aca="false">VLOOKUP(A1562,'Order Shipping'!$A$2:$C$2000,3,FALSE())</f>
        <v>5.6</v>
      </c>
      <c r="E1562" s="32" t="n">
        <f aca="false">VLOOKUP($A1562,'Order Sales'!$A$2:$G$2154,E$1,FALSE())</f>
        <v>45</v>
      </c>
      <c r="F1562" s="32" t="n">
        <f aca="false">VLOOKUP($A1562,'Order Sales'!$A$2:$G$2154,F$1,FALSE())</f>
        <v>381.67</v>
      </c>
      <c r="G1562" s="32" t="str">
        <f aca="false">VLOOKUP($A1562,'Order Sales'!$A$2:$G$2154,G$1,FALSE())</f>
        <v>Corporate</v>
      </c>
    </row>
    <row r="1563" customFormat="false" ht="14.25" hidden="false" customHeight="false" outlineLevel="0" collapsed="false">
      <c r="A1563" s="1" t="n">
        <v>2239</v>
      </c>
      <c r="B1563" s="30" t="n">
        <v>43190</v>
      </c>
      <c r="C1563" s="30" t="n">
        <v>44685</v>
      </c>
      <c r="D1563" s="31" t="n">
        <f aca="false">VLOOKUP(A1563,'Order Shipping'!$A$2:$C$2000,3,FALSE())</f>
        <v>1.5</v>
      </c>
      <c r="E1563" s="32" t="n">
        <f aca="false">VLOOKUP($A1563,'Order Sales'!$A$2:$G$2154,E$1,FALSE())</f>
        <v>42</v>
      </c>
      <c r="F1563" s="32" t="n">
        <f aca="false">VLOOKUP($A1563,'Order Sales'!$A$2:$G$2154,F$1,FALSE())</f>
        <v>161.77</v>
      </c>
      <c r="G1563" s="32" t="str">
        <f aca="false">VLOOKUP($A1563,'Order Sales'!$A$2:$G$2154,G$1,FALSE())</f>
        <v>Home Office</v>
      </c>
    </row>
    <row r="1564" customFormat="false" ht="14.25" hidden="false" customHeight="false" outlineLevel="0" collapsed="false">
      <c r="A1564" s="1" t="n">
        <v>2955</v>
      </c>
      <c r="B1564" s="30" t="n">
        <v>43258</v>
      </c>
      <c r="C1564" s="30" t="n">
        <v>44686</v>
      </c>
      <c r="D1564" s="31" t="n">
        <f aca="false">VLOOKUP(A1564,'Order Shipping'!$A$2:$C$2000,3,FALSE())</f>
        <v>7.2</v>
      </c>
      <c r="E1564" s="32" t="n">
        <f aca="false">VLOOKUP($A1564,'Order Sales'!$A$2:$G$2154,E$1,FALSE())</f>
        <v>5</v>
      </c>
      <c r="F1564" s="32" t="n">
        <f aca="false">VLOOKUP($A1564,'Order Sales'!$A$2:$G$2154,F$1,FALSE())</f>
        <v>170.67</v>
      </c>
      <c r="G1564" s="32" t="str">
        <f aca="false">VLOOKUP($A1564,'Order Sales'!$A$2:$G$2154,G$1,FALSE())</f>
        <v>Small Business</v>
      </c>
    </row>
    <row r="1565" customFormat="false" ht="14.25" hidden="false" customHeight="false" outlineLevel="0" collapsed="false">
      <c r="A1565" s="1" t="n">
        <v>2708</v>
      </c>
      <c r="B1565" s="30" t="n">
        <v>43353</v>
      </c>
      <c r="C1565" s="30" t="n">
        <v>44687</v>
      </c>
      <c r="D1565" s="31" t="n">
        <f aca="false">VLOOKUP(A1565,'Order Shipping'!$A$2:$C$2000,3,FALSE())</f>
        <v>5.7</v>
      </c>
      <c r="E1565" s="32" t="n">
        <f aca="false">VLOOKUP($A1565,'Order Sales'!$A$2:$G$2154,E$1,FALSE())</f>
        <v>42</v>
      </c>
      <c r="F1565" s="32" t="n">
        <f aca="false">VLOOKUP($A1565,'Order Sales'!$A$2:$G$2154,F$1,FALSE())</f>
        <v>266.34</v>
      </c>
      <c r="G1565" s="32" t="str">
        <f aca="false">VLOOKUP($A1565,'Order Sales'!$A$2:$G$2154,G$1,FALSE())</f>
        <v>Small Business</v>
      </c>
    </row>
    <row r="1566" customFormat="false" ht="14.25" hidden="false" customHeight="false" outlineLevel="0" collapsed="false">
      <c r="A1566" s="1" t="n">
        <v>1391</v>
      </c>
      <c r="B1566" s="30" t="n">
        <v>43283</v>
      </c>
      <c r="C1566" s="30" t="n">
        <v>44688</v>
      </c>
      <c r="D1566" s="31" t="n">
        <f aca="false">VLOOKUP(A1566,'Order Shipping'!$A$2:$C$2000,3,FALSE())</f>
        <v>6.2</v>
      </c>
      <c r="E1566" s="32" t="n">
        <f aca="false">VLOOKUP($A1566,'Order Sales'!$A$2:$G$2154,E$1,FALSE())</f>
        <v>47</v>
      </c>
      <c r="F1566" s="32" t="n">
        <f aca="false">VLOOKUP($A1566,'Order Sales'!$A$2:$G$2154,F$1,FALSE())</f>
        <v>5405.52</v>
      </c>
      <c r="G1566" s="32" t="str">
        <f aca="false">VLOOKUP($A1566,'Order Sales'!$A$2:$G$2154,G$1,FALSE())</f>
        <v>Home Office</v>
      </c>
    </row>
    <row r="1567" customFormat="false" ht="14.25" hidden="false" customHeight="false" outlineLevel="0" collapsed="false">
      <c r="A1567" s="1" t="n">
        <v>1024</v>
      </c>
      <c r="B1567" s="30" t="n">
        <v>43331</v>
      </c>
      <c r="C1567" s="30" t="n">
        <v>44689</v>
      </c>
      <c r="D1567" s="31" t="n">
        <f aca="false">VLOOKUP(A1567,'Order Shipping'!$A$2:$C$2000,3,FALSE())</f>
        <v>21.4</v>
      </c>
      <c r="E1567" s="32" t="n">
        <f aca="false">VLOOKUP($A1567,'Order Sales'!$A$2:$G$2154,E$1,FALSE())</f>
        <v>22</v>
      </c>
      <c r="F1567" s="32" t="n">
        <f aca="false">VLOOKUP($A1567,'Order Sales'!$A$2:$G$2154,F$1,FALSE())</f>
        <v>1243.77</v>
      </c>
      <c r="G1567" s="32" t="str">
        <f aca="false">VLOOKUP($A1567,'Order Sales'!$A$2:$G$2154,G$1,FALSE())</f>
        <v>Corporate</v>
      </c>
    </row>
    <row r="1568" customFormat="false" ht="14.25" hidden="false" customHeight="false" outlineLevel="0" collapsed="false">
      <c r="A1568" s="1" t="n">
        <v>2248</v>
      </c>
      <c r="B1568" s="30" t="n">
        <v>43462</v>
      </c>
      <c r="C1568" s="30" t="n">
        <v>44690</v>
      </c>
      <c r="D1568" s="31" t="n">
        <f aca="false">VLOOKUP(A1568,'Order Shipping'!$A$2:$C$2000,3,FALSE())</f>
        <v>0.5</v>
      </c>
      <c r="E1568" s="32" t="n">
        <f aca="false">VLOOKUP($A1568,'Order Sales'!$A$2:$G$2154,E$1,FALSE())</f>
        <v>49</v>
      </c>
      <c r="F1568" s="32" t="n">
        <f aca="false">VLOOKUP($A1568,'Order Sales'!$A$2:$G$2154,F$1,FALSE())</f>
        <v>195.9</v>
      </c>
      <c r="G1568" s="32" t="str">
        <f aca="false">VLOOKUP($A1568,'Order Sales'!$A$2:$G$2154,G$1,FALSE())</f>
        <v>Corporate</v>
      </c>
    </row>
    <row r="1569" customFormat="false" ht="14.25" hidden="false" customHeight="false" outlineLevel="0" collapsed="false">
      <c r="A1569" s="1" t="n">
        <v>2050</v>
      </c>
      <c r="B1569" s="30" t="n">
        <v>43277</v>
      </c>
      <c r="C1569" s="30" t="n">
        <v>44691</v>
      </c>
      <c r="D1569" s="31" t="n">
        <f aca="false">VLOOKUP(A1569,'Order Shipping'!$A$2:$C$2000,3,FALSE())</f>
        <v>4.3</v>
      </c>
      <c r="E1569" s="32" t="n">
        <f aca="false">VLOOKUP($A1569,'Order Sales'!$A$2:$G$2154,E$1,FALSE())</f>
        <v>26</v>
      </c>
      <c r="F1569" s="32" t="n">
        <f aca="false">VLOOKUP($A1569,'Order Sales'!$A$2:$G$2154,F$1,FALSE())</f>
        <v>1565.86</v>
      </c>
      <c r="G1569" s="32" t="str">
        <f aca="false">VLOOKUP($A1569,'Order Sales'!$A$2:$G$2154,G$1,FALSE())</f>
        <v>Corporate</v>
      </c>
    </row>
    <row r="1570" customFormat="false" ht="14.25" hidden="false" customHeight="false" outlineLevel="0" collapsed="false">
      <c r="A1570" s="1" t="n">
        <v>2931</v>
      </c>
      <c r="B1570" s="30" t="n">
        <v>43292</v>
      </c>
      <c r="C1570" s="30" t="n">
        <v>44692</v>
      </c>
      <c r="D1570" s="31" t="n">
        <f aca="false">VLOOKUP(A1570,'Order Shipping'!$A$2:$C$2000,3,FALSE())</f>
        <v>4.3</v>
      </c>
      <c r="E1570" s="32" t="n">
        <f aca="false">VLOOKUP($A1570,'Order Sales'!$A$2:$G$2154,E$1,FALSE())</f>
        <v>38</v>
      </c>
      <c r="F1570" s="32" t="n">
        <f aca="false">VLOOKUP($A1570,'Order Sales'!$A$2:$G$2154,F$1,FALSE())</f>
        <v>294.37</v>
      </c>
      <c r="G1570" s="32" t="str">
        <f aca="false">VLOOKUP($A1570,'Order Sales'!$A$2:$G$2154,G$1,FALSE())</f>
        <v>Corporate</v>
      </c>
    </row>
    <row r="1571" customFormat="false" ht="14.25" hidden="false" customHeight="false" outlineLevel="0" collapsed="false">
      <c r="A1571" s="1" t="n">
        <v>2750</v>
      </c>
      <c r="B1571" s="30" t="n">
        <v>43214</v>
      </c>
      <c r="C1571" s="30" t="n">
        <v>44693</v>
      </c>
      <c r="D1571" s="31" t="n">
        <f aca="false">VLOOKUP(A1571,'Order Shipping'!$A$2:$C$2000,3,FALSE())</f>
        <v>1.5</v>
      </c>
      <c r="E1571" s="32" t="n">
        <f aca="false">VLOOKUP($A1571,'Order Sales'!$A$2:$G$2154,E$1,FALSE())</f>
        <v>11</v>
      </c>
      <c r="F1571" s="32" t="n">
        <f aca="false">VLOOKUP($A1571,'Order Sales'!$A$2:$G$2154,F$1,FALSE())</f>
        <v>26.7</v>
      </c>
      <c r="G1571" s="32" t="str">
        <f aca="false">VLOOKUP($A1571,'Order Sales'!$A$2:$G$2154,G$1,FALSE())</f>
        <v>Corporate</v>
      </c>
    </row>
    <row r="1572" customFormat="false" ht="14.25" hidden="false" customHeight="false" outlineLevel="0" collapsed="false">
      <c r="A1572" s="1" t="n">
        <v>1269</v>
      </c>
      <c r="B1572" s="30" t="n">
        <v>43295</v>
      </c>
      <c r="C1572" s="30" t="n">
        <v>44694</v>
      </c>
      <c r="D1572" s="31" t="n">
        <f aca="false">VLOOKUP(A1572,'Order Shipping'!$A$2:$C$2000,3,FALSE())</f>
        <v>9.1</v>
      </c>
      <c r="E1572" s="32" t="n">
        <f aca="false">VLOOKUP($A1572,'Order Sales'!$A$2:$G$2154,E$1,FALSE())</f>
        <v>9</v>
      </c>
      <c r="F1572" s="32" t="n">
        <f aca="false">VLOOKUP($A1572,'Order Sales'!$A$2:$G$2154,F$1,FALSE())</f>
        <v>175.24</v>
      </c>
      <c r="G1572" s="32" t="str">
        <f aca="false">VLOOKUP($A1572,'Order Sales'!$A$2:$G$2154,G$1,FALSE())</f>
        <v>Small Business</v>
      </c>
    </row>
    <row r="1573" customFormat="false" ht="14.25" hidden="false" customHeight="false" outlineLevel="0" collapsed="false">
      <c r="A1573" s="1" t="n">
        <v>2085</v>
      </c>
      <c r="B1573" s="30" t="n">
        <v>43282</v>
      </c>
      <c r="C1573" s="30" t="n">
        <v>44695</v>
      </c>
      <c r="D1573" s="31" t="n">
        <f aca="false">VLOOKUP(A1573,'Order Shipping'!$A$2:$C$2000,3,FALSE())</f>
        <v>9.4</v>
      </c>
      <c r="E1573" s="32" t="n">
        <f aca="false">VLOOKUP($A1573,'Order Sales'!$A$2:$G$2154,E$1,FALSE())</f>
        <v>20</v>
      </c>
      <c r="F1573" s="32" t="n">
        <f aca="false">VLOOKUP($A1573,'Order Sales'!$A$2:$G$2154,F$1,FALSE())</f>
        <v>138.32</v>
      </c>
      <c r="G1573" s="32" t="str">
        <f aca="false">VLOOKUP($A1573,'Order Sales'!$A$2:$G$2154,G$1,FALSE())</f>
        <v>Consumer</v>
      </c>
    </row>
    <row r="1574" customFormat="false" ht="14.25" hidden="false" customHeight="false" outlineLevel="0" collapsed="false">
      <c r="A1574" s="1" t="n">
        <v>1209</v>
      </c>
      <c r="B1574" s="30" t="n">
        <v>43413</v>
      </c>
      <c r="C1574" s="30" t="n">
        <v>44696</v>
      </c>
      <c r="D1574" s="31" t="n">
        <f aca="false">VLOOKUP(A1574,'Order Shipping'!$A$2:$C$2000,3,FALSE())</f>
        <v>4.8</v>
      </c>
      <c r="E1574" s="32" t="n">
        <f aca="false">VLOOKUP($A1574,'Order Sales'!$A$2:$G$2154,E$1,FALSE())</f>
        <v>30</v>
      </c>
      <c r="F1574" s="32" t="n">
        <f aca="false">VLOOKUP($A1574,'Order Sales'!$A$2:$G$2154,F$1,FALSE())</f>
        <v>332.86</v>
      </c>
      <c r="G1574" s="32" t="str">
        <f aca="false">VLOOKUP($A1574,'Order Sales'!$A$2:$G$2154,G$1,FALSE())</f>
        <v>Corporate</v>
      </c>
    </row>
    <row r="1575" customFormat="false" ht="14.25" hidden="false" customHeight="false" outlineLevel="0" collapsed="false">
      <c r="A1575" s="1" t="n">
        <v>1575</v>
      </c>
      <c r="B1575" s="30" t="n">
        <v>43154</v>
      </c>
      <c r="C1575" s="30" t="n">
        <v>44697</v>
      </c>
      <c r="D1575" s="31" t="n">
        <f aca="false">VLOOKUP(A1575,'Order Shipping'!$A$2:$C$2000,3,FALSE())</f>
        <v>28.1</v>
      </c>
      <c r="E1575" s="32" t="n">
        <f aca="false">VLOOKUP($A1575,'Order Sales'!$A$2:$G$2154,E$1,FALSE())</f>
        <v>38</v>
      </c>
      <c r="F1575" s="32" t="n">
        <f aca="false">VLOOKUP($A1575,'Order Sales'!$A$2:$G$2154,F$1,FALSE())</f>
        <v>4817.42</v>
      </c>
      <c r="G1575" s="32" t="str">
        <f aca="false">VLOOKUP($A1575,'Order Sales'!$A$2:$G$2154,G$1,FALSE())</f>
        <v>Home Office</v>
      </c>
    </row>
    <row r="1576" customFormat="false" ht="14.25" hidden="false" customHeight="false" outlineLevel="0" collapsed="false">
      <c r="A1576" s="1" t="n">
        <v>2973</v>
      </c>
      <c r="B1576" s="30" t="n">
        <v>43368</v>
      </c>
      <c r="C1576" s="30" t="n">
        <v>44698</v>
      </c>
      <c r="D1576" s="31" t="n">
        <f aca="false">VLOOKUP(A1576,'Order Shipping'!$A$2:$C$2000,3,FALSE())</f>
        <v>5.4</v>
      </c>
      <c r="E1576" s="32" t="n">
        <f aca="false">VLOOKUP($A1576,'Order Sales'!$A$2:$G$2154,E$1,FALSE())</f>
        <v>28</v>
      </c>
      <c r="F1576" s="32" t="n">
        <f aca="false">VLOOKUP($A1576,'Order Sales'!$A$2:$G$2154,F$1,FALSE())</f>
        <v>145.22</v>
      </c>
      <c r="G1576" s="32" t="str">
        <f aca="false">VLOOKUP($A1576,'Order Sales'!$A$2:$G$2154,G$1,FALSE())</f>
        <v>Home Office</v>
      </c>
    </row>
    <row r="1577" customFormat="false" ht="14.25" hidden="false" customHeight="false" outlineLevel="0" collapsed="false">
      <c r="A1577" s="1" t="n">
        <v>2793</v>
      </c>
      <c r="B1577" s="30" t="n">
        <v>43322</v>
      </c>
      <c r="C1577" s="30" t="n">
        <v>44699</v>
      </c>
      <c r="D1577" s="31" t="n">
        <f aca="false">VLOOKUP(A1577,'Order Shipping'!$A$2:$C$2000,3,FALSE())</f>
        <v>1.1</v>
      </c>
      <c r="E1577" s="32" t="n">
        <f aca="false">VLOOKUP($A1577,'Order Sales'!$A$2:$G$2154,E$1,FALSE())</f>
        <v>28</v>
      </c>
      <c r="F1577" s="32" t="n">
        <f aca="false">VLOOKUP($A1577,'Order Sales'!$A$2:$G$2154,F$1,FALSE())</f>
        <v>135.84</v>
      </c>
      <c r="G1577" s="32" t="str">
        <f aca="false">VLOOKUP($A1577,'Order Sales'!$A$2:$G$2154,G$1,FALSE())</f>
        <v>Corporate</v>
      </c>
    </row>
    <row r="1578" customFormat="false" ht="14.25" hidden="false" customHeight="false" outlineLevel="0" collapsed="false">
      <c r="A1578" s="1" t="n">
        <v>1551</v>
      </c>
      <c r="B1578" s="30" t="n">
        <v>43356</v>
      </c>
      <c r="C1578" s="30" t="n">
        <v>44700</v>
      </c>
      <c r="D1578" s="31" t="n">
        <f aca="false">VLOOKUP(A1578,'Order Shipping'!$A$2:$C$2000,3,FALSE())</f>
        <v>15.7</v>
      </c>
      <c r="E1578" s="32" t="n">
        <f aca="false">VLOOKUP($A1578,'Order Sales'!$A$2:$G$2154,E$1,FALSE())</f>
        <v>4</v>
      </c>
      <c r="F1578" s="32" t="n">
        <f aca="false">VLOOKUP($A1578,'Order Sales'!$A$2:$G$2154,F$1,FALSE())</f>
        <v>5855.17</v>
      </c>
      <c r="G1578" s="32" t="str">
        <f aca="false">VLOOKUP($A1578,'Order Sales'!$A$2:$G$2154,G$1,FALSE())</f>
        <v>Home Office</v>
      </c>
    </row>
    <row r="1579" customFormat="false" ht="14.25" hidden="false" customHeight="false" outlineLevel="0" collapsed="false">
      <c r="A1579" s="1" t="n">
        <v>1691</v>
      </c>
      <c r="B1579" s="30" t="n">
        <v>43223</v>
      </c>
      <c r="C1579" s="30" t="n">
        <v>44701</v>
      </c>
      <c r="D1579" s="31" t="n">
        <f aca="false">VLOOKUP(A1579,'Order Shipping'!$A$2:$C$2000,3,FALSE())</f>
        <v>37.5</v>
      </c>
      <c r="E1579" s="32" t="n">
        <f aca="false">VLOOKUP($A1579,'Order Sales'!$A$2:$G$2154,E$1,FALSE())</f>
        <v>46</v>
      </c>
      <c r="F1579" s="32" t="n">
        <f aca="false">VLOOKUP($A1579,'Order Sales'!$A$2:$G$2154,F$1,FALSE())</f>
        <v>3899.72</v>
      </c>
      <c r="G1579" s="32" t="str">
        <f aca="false">VLOOKUP($A1579,'Order Sales'!$A$2:$G$2154,G$1,FALSE())</f>
        <v>Consumer</v>
      </c>
    </row>
    <row r="1580" customFormat="false" ht="14.25" hidden="false" customHeight="false" outlineLevel="0" collapsed="false">
      <c r="A1580" s="1" t="n">
        <v>2411</v>
      </c>
      <c r="B1580" s="30" t="n">
        <v>43345</v>
      </c>
      <c r="C1580" s="30" t="n">
        <v>44702</v>
      </c>
      <c r="D1580" s="31" t="n">
        <f aca="false">VLOOKUP(A1580,'Order Shipping'!$A$2:$C$2000,3,FALSE())</f>
        <v>21.4</v>
      </c>
      <c r="E1580" s="32" t="n">
        <f aca="false">VLOOKUP($A1580,'Order Sales'!$A$2:$G$2154,E$1,FALSE())</f>
        <v>23</v>
      </c>
      <c r="F1580" s="32" t="n">
        <f aca="false">VLOOKUP($A1580,'Order Sales'!$A$2:$G$2154,F$1,FALSE())</f>
        <v>2457.53</v>
      </c>
      <c r="G1580" s="32" t="str">
        <f aca="false">VLOOKUP($A1580,'Order Sales'!$A$2:$G$2154,G$1,FALSE())</f>
        <v>Home Office</v>
      </c>
    </row>
    <row r="1581" customFormat="false" ht="14.25" hidden="false" customHeight="false" outlineLevel="0" collapsed="false">
      <c r="A1581" s="1" t="n">
        <v>2498</v>
      </c>
      <c r="B1581" s="30" t="n">
        <v>43368</v>
      </c>
      <c r="C1581" s="30" t="n">
        <v>44703</v>
      </c>
      <c r="D1581" s="31" t="n">
        <f aca="false">VLOOKUP(A1581,'Order Shipping'!$A$2:$C$2000,3,FALSE())</f>
        <v>6.4</v>
      </c>
      <c r="E1581" s="32" t="n">
        <f aca="false">VLOOKUP($A1581,'Order Sales'!$A$2:$G$2154,E$1,FALSE())</f>
        <v>47</v>
      </c>
      <c r="F1581" s="32" t="n">
        <f aca="false">VLOOKUP($A1581,'Order Sales'!$A$2:$G$2154,F$1,FALSE())</f>
        <v>1011.18</v>
      </c>
      <c r="G1581" s="32" t="str">
        <f aca="false">VLOOKUP($A1581,'Order Sales'!$A$2:$G$2154,G$1,FALSE())</f>
        <v>Corporate</v>
      </c>
    </row>
    <row r="1582" customFormat="false" ht="14.25" hidden="false" customHeight="false" outlineLevel="0" collapsed="false">
      <c r="A1582" s="1" t="n">
        <v>1298</v>
      </c>
      <c r="B1582" s="30" t="n">
        <v>43102</v>
      </c>
      <c r="C1582" s="30" t="n">
        <v>44704</v>
      </c>
      <c r="D1582" s="31" t="n">
        <f aca="false">VLOOKUP(A1582,'Order Shipping'!$A$2:$C$2000,3,FALSE())</f>
        <v>21.4</v>
      </c>
      <c r="E1582" s="32" t="n">
        <f aca="false">VLOOKUP($A1582,'Order Sales'!$A$2:$G$2154,E$1,FALSE())</f>
        <v>25</v>
      </c>
      <c r="F1582" s="32" t="n">
        <f aca="false">VLOOKUP($A1582,'Order Sales'!$A$2:$G$2154,F$1,FALSE())</f>
        <v>1634.34</v>
      </c>
      <c r="G1582" s="32" t="str">
        <f aca="false">VLOOKUP($A1582,'Order Sales'!$A$2:$G$2154,G$1,FALSE())</f>
        <v>Consumer</v>
      </c>
    </row>
    <row r="1583" customFormat="false" ht="14.25" hidden="false" customHeight="false" outlineLevel="0" collapsed="false">
      <c r="A1583" s="1" t="n">
        <v>2420</v>
      </c>
      <c r="B1583" s="30" t="n">
        <v>43218</v>
      </c>
      <c r="C1583" s="30" t="n">
        <v>44705</v>
      </c>
      <c r="D1583" s="31" t="n">
        <f aca="false">VLOOKUP(A1583,'Order Shipping'!$A$2:$C$2000,3,FALSE())</f>
        <v>8.3</v>
      </c>
      <c r="E1583" s="32" t="n">
        <f aca="false">VLOOKUP($A1583,'Order Sales'!$A$2:$G$2154,E$1,FALSE())</f>
        <v>21</v>
      </c>
      <c r="F1583" s="32" t="n">
        <f aca="false">VLOOKUP($A1583,'Order Sales'!$A$2:$G$2154,F$1,FALSE())</f>
        <v>189.45</v>
      </c>
      <c r="G1583" s="32" t="str">
        <f aca="false">VLOOKUP($A1583,'Order Sales'!$A$2:$G$2154,G$1,FALSE())</f>
        <v>Consumer</v>
      </c>
    </row>
    <row r="1584" customFormat="false" ht="14.25" hidden="false" customHeight="false" outlineLevel="0" collapsed="false">
      <c r="A1584" s="1" t="n">
        <v>1031</v>
      </c>
      <c r="B1584" s="30" t="n">
        <v>43238</v>
      </c>
      <c r="C1584" s="30" t="n">
        <v>44706</v>
      </c>
      <c r="D1584" s="31" t="n">
        <f aca="false">VLOOKUP(A1584,'Order Shipping'!$A$2:$C$2000,3,FALSE())</f>
        <v>11.4</v>
      </c>
      <c r="E1584" s="32" t="n">
        <f aca="false">VLOOKUP($A1584,'Order Sales'!$A$2:$G$2154,E$1,FALSE())</f>
        <v>48</v>
      </c>
      <c r="F1584" s="32" t="n">
        <f aca="false">VLOOKUP($A1584,'Order Sales'!$A$2:$G$2154,F$1,FALSE())</f>
        <v>862.82</v>
      </c>
      <c r="G1584" s="32" t="str">
        <f aca="false">VLOOKUP($A1584,'Order Sales'!$A$2:$G$2154,G$1,FALSE())</f>
        <v>Home Office</v>
      </c>
    </row>
    <row r="1585" customFormat="false" ht="14.25" hidden="false" customHeight="false" outlineLevel="0" collapsed="false">
      <c r="A1585" s="1" t="n">
        <v>1804</v>
      </c>
      <c r="B1585" s="30" t="n">
        <v>43261</v>
      </c>
      <c r="C1585" s="30" t="n">
        <v>44707</v>
      </c>
      <c r="D1585" s="31" t="n">
        <f aca="false">VLOOKUP(A1585,'Order Shipping'!$A$2:$C$2000,3,FALSE())</f>
        <v>6</v>
      </c>
      <c r="E1585" s="32" t="n">
        <f aca="false">VLOOKUP($A1585,'Order Sales'!$A$2:$G$2154,E$1,FALSE())</f>
        <v>22</v>
      </c>
      <c r="F1585" s="32" t="n">
        <f aca="false">VLOOKUP($A1585,'Order Sales'!$A$2:$G$2154,F$1,FALSE())</f>
        <v>136.49</v>
      </c>
      <c r="G1585" s="32" t="str">
        <f aca="false">VLOOKUP($A1585,'Order Sales'!$A$2:$G$2154,G$1,FALSE())</f>
        <v>Consumer</v>
      </c>
    </row>
    <row r="1586" customFormat="false" ht="14.25" hidden="false" customHeight="false" outlineLevel="0" collapsed="false">
      <c r="A1586" s="1" t="n">
        <v>2184</v>
      </c>
      <c r="B1586" s="30" t="n">
        <v>43413</v>
      </c>
      <c r="C1586" s="30" t="n">
        <v>44708</v>
      </c>
      <c r="D1586" s="31" t="n">
        <f aca="false">VLOOKUP(A1586,'Order Shipping'!$A$2:$C$2000,3,FALSE())</f>
        <v>6.1</v>
      </c>
      <c r="E1586" s="32" t="n">
        <f aca="false">VLOOKUP($A1586,'Order Sales'!$A$2:$G$2154,E$1,FALSE())</f>
        <v>43</v>
      </c>
      <c r="F1586" s="32" t="n">
        <f aca="false">VLOOKUP($A1586,'Order Sales'!$A$2:$G$2154,F$1,FALSE())</f>
        <v>223.38</v>
      </c>
      <c r="G1586" s="32" t="str">
        <f aca="false">VLOOKUP($A1586,'Order Sales'!$A$2:$G$2154,G$1,FALSE())</f>
        <v>Consumer</v>
      </c>
    </row>
    <row r="1587" customFormat="false" ht="14.25" hidden="false" customHeight="false" outlineLevel="0" collapsed="false">
      <c r="A1587" s="1" t="n">
        <v>1216</v>
      </c>
      <c r="B1587" s="30" t="n">
        <v>43120</v>
      </c>
      <c r="C1587" s="30" t="n">
        <v>44709</v>
      </c>
      <c r="D1587" s="31" t="n">
        <f aca="false">VLOOKUP(A1587,'Order Shipping'!$A$2:$C$2000,3,FALSE())</f>
        <v>4.3</v>
      </c>
      <c r="E1587" s="32" t="n">
        <f aca="false">VLOOKUP($A1587,'Order Sales'!$A$2:$G$2154,E$1,FALSE())</f>
        <v>26</v>
      </c>
      <c r="F1587" s="32" t="n">
        <f aca="false">VLOOKUP($A1587,'Order Sales'!$A$2:$G$2154,F$1,FALSE())</f>
        <v>479.61</v>
      </c>
      <c r="G1587" s="32" t="str">
        <f aca="false">VLOOKUP($A1587,'Order Sales'!$A$2:$G$2154,G$1,FALSE())</f>
        <v>Consumer</v>
      </c>
    </row>
    <row r="1588" customFormat="false" ht="14.25" hidden="false" customHeight="false" outlineLevel="0" collapsed="false">
      <c r="A1588" s="1" t="n">
        <v>1206</v>
      </c>
      <c r="B1588" s="30" t="n">
        <v>43318</v>
      </c>
      <c r="C1588" s="30" t="n">
        <v>44710</v>
      </c>
      <c r="D1588" s="31" t="n">
        <f aca="false">VLOOKUP(A1588,'Order Shipping'!$A$2:$C$2000,3,FALSE())</f>
        <v>0.7</v>
      </c>
      <c r="E1588" s="32" t="n">
        <f aca="false">VLOOKUP($A1588,'Order Sales'!$A$2:$G$2154,E$1,FALSE())</f>
        <v>1</v>
      </c>
      <c r="F1588" s="32" t="n">
        <f aca="false">VLOOKUP($A1588,'Order Sales'!$A$2:$G$2154,F$1,FALSE())</f>
        <v>2.4</v>
      </c>
      <c r="G1588" s="32" t="str">
        <f aca="false">VLOOKUP($A1588,'Order Sales'!$A$2:$G$2154,G$1,FALSE())</f>
        <v>Corporate</v>
      </c>
    </row>
    <row r="1589" customFormat="false" ht="14.25" hidden="false" customHeight="false" outlineLevel="0" collapsed="false">
      <c r="A1589" s="1" t="n">
        <v>2287</v>
      </c>
      <c r="B1589" s="30" t="n">
        <v>43264</v>
      </c>
      <c r="C1589" s="30" t="n">
        <v>44711</v>
      </c>
      <c r="D1589" s="31" t="n">
        <f aca="false">VLOOKUP(A1589,'Order Shipping'!$A$2:$C$2000,3,FALSE())</f>
        <v>26.2</v>
      </c>
      <c r="E1589" s="32" t="n">
        <f aca="false">VLOOKUP($A1589,'Order Sales'!$A$2:$G$2154,E$1,FALSE())</f>
        <v>3</v>
      </c>
      <c r="F1589" s="32" t="n">
        <f aca="false">VLOOKUP($A1589,'Order Sales'!$A$2:$G$2154,F$1,FALSE())</f>
        <v>2378.19</v>
      </c>
      <c r="G1589" s="32" t="str">
        <f aca="false">VLOOKUP($A1589,'Order Sales'!$A$2:$G$2154,G$1,FALSE())</f>
        <v>Home Office</v>
      </c>
    </row>
    <row r="1590" customFormat="false" ht="14.25" hidden="false" customHeight="false" outlineLevel="0" collapsed="false">
      <c r="A1590" s="1" t="n">
        <v>2875</v>
      </c>
      <c r="B1590" s="30" t="n">
        <v>43458</v>
      </c>
      <c r="C1590" s="30" t="n">
        <v>44712</v>
      </c>
      <c r="D1590" s="31" t="n">
        <f aca="false">VLOOKUP(A1590,'Order Shipping'!$A$2:$C$2000,3,FALSE())</f>
        <v>0.5</v>
      </c>
      <c r="E1590" s="32" t="n">
        <f aca="false">VLOOKUP($A1590,'Order Sales'!$A$2:$G$2154,E$1,FALSE())</f>
        <v>41</v>
      </c>
      <c r="F1590" s="32" t="n">
        <f aca="false">VLOOKUP($A1590,'Order Sales'!$A$2:$G$2154,F$1,FALSE())</f>
        <v>182.78</v>
      </c>
      <c r="G1590" s="32" t="str">
        <f aca="false">VLOOKUP($A1590,'Order Sales'!$A$2:$G$2154,G$1,FALSE())</f>
        <v>Corporate</v>
      </c>
    </row>
    <row r="1591" customFormat="false" ht="14.25" hidden="false" customHeight="false" outlineLevel="0" collapsed="false">
      <c r="A1591" s="1" t="n">
        <v>2588</v>
      </c>
      <c r="B1591" s="30" t="n">
        <v>43302</v>
      </c>
      <c r="C1591" s="30" t="n">
        <v>44713</v>
      </c>
      <c r="D1591" s="31" t="n">
        <f aca="false">VLOOKUP(A1591,'Order Shipping'!$A$2:$C$2000,3,FALSE())</f>
        <v>58.6</v>
      </c>
      <c r="E1591" s="32" t="n">
        <f aca="false">VLOOKUP($A1591,'Order Sales'!$A$2:$G$2154,E$1,FALSE())</f>
        <v>25</v>
      </c>
      <c r="F1591" s="32" t="n">
        <f aca="false">VLOOKUP($A1591,'Order Sales'!$A$2:$G$2154,F$1,FALSE())</f>
        <v>3539.86</v>
      </c>
      <c r="G1591" s="32" t="str">
        <f aca="false">VLOOKUP($A1591,'Order Sales'!$A$2:$G$2154,G$1,FALSE())</f>
        <v>Consumer</v>
      </c>
    </row>
    <row r="1592" customFormat="false" ht="14.25" hidden="false" customHeight="false" outlineLevel="0" collapsed="false">
      <c r="A1592" s="1" t="n">
        <v>1694</v>
      </c>
      <c r="B1592" s="30" t="n">
        <v>43150</v>
      </c>
      <c r="C1592" s="30" t="n">
        <v>44714</v>
      </c>
      <c r="D1592" s="31" t="n">
        <f aca="false">VLOOKUP(A1592,'Order Shipping'!$A$2:$C$2000,3,FALSE())</f>
        <v>80.5</v>
      </c>
      <c r="E1592" s="32" t="n">
        <f aca="false">VLOOKUP($A1592,'Order Sales'!$A$2:$G$2154,E$1,FALSE())</f>
        <v>15</v>
      </c>
      <c r="F1592" s="32" t="n">
        <f aca="false">VLOOKUP($A1592,'Order Sales'!$A$2:$G$2154,F$1,FALSE())</f>
        <v>5303.76</v>
      </c>
      <c r="G1592" s="32" t="str">
        <f aca="false">VLOOKUP($A1592,'Order Sales'!$A$2:$G$2154,G$1,FALSE())</f>
        <v>Consumer</v>
      </c>
    </row>
    <row r="1593" customFormat="false" ht="14.25" hidden="false" customHeight="false" outlineLevel="0" collapsed="false">
      <c r="A1593" s="1" t="n">
        <v>1709</v>
      </c>
      <c r="B1593" s="30" t="n">
        <v>43208</v>
      </c>
      <c r="C1593" s="30" t="n">
        <v>44715</v>
      </c>
      <c r="D1593" s="31" t="n">
        <f aca="false">VLOOKUP(A1593,'Order Shipping'!$A$2:$C$2000,3,FALSE())</f>
        <v>2.6</v>
      </c>
      <c r="E1593" s="32" t="n">
        <f aca="false">VLOOKUP($A1593,'Order Sales'!$A$2:$G$2154,E$1,FALSE())</f>
        <v>42</v>
      </c>
      <c r="F1593" s="32" t="n">
        <f aca="false">VLOOKUP($A1593,'Order Sales'!$A$2:$G$2154,F$1,FALSE())</f>
        <v>124.11</v>
      </c>
      <c r="G1593" s="32" t="str">
        <f aca="false">VLOOKUP($A1593,'Order Sales'!$A$2:$G$2154,G$1,FALSE())</f>
        <v>Corporate</v>
      </c>
    </row>
    <row r="1594" customFormat="false" ht="14.25" hidden="false" customHeight="false" outlineLevel="0" collapsed="false">
      <c r="A1594" s="1" t="n">
        <v>1465</v>
      </c>
      <c r="B1594" s="30" t="n">
        <v>43352</v>
      </c>
      <c r="C1594" s="30" t="n">
        <v>44716</v>
      </c>
      <c r="D1594" s="31" t="n">
        <f aca="false">VLOOKUP(A1594,'Order Shipping'!$A$2:$C$2000,3,FALSE())</f>
        <v>15</v>
      </c>
      <c r="E1594" s="32" t="n">
        <f aca="false">VLOOKUP($A1594,'Order Sales'!$A$2:$G$2154,E$1,FALSE())</f>
        <v>5</v>
      </c>
      <c r="F1594" s="32" t="n">
        <f aca="false">VLOOKUP($A1594,'Order Sales'!$A$2:$G$2154,F$1,FALSE())</f>
        <v>558.6</v>
      </c>
      <c r="G1594" s="32" t="str">
        <f aca="false">VLOOKUP($A1594,'Order Sales'!$A$2:$G$2154,G$1,FALSE())</f>
        <v>Consumer</v>
      </c>
    </row>
    <row r="1595" customFormat="false" ht="14.25" hidden="false" customHeight="false" outlineLevel="0" collapsed="false">
      <c r="A1595" s="1" t="n">
        <v>1019</v>
      </c>
      <c r="B1595" s="30" t="n">
        <v>43253</v>
      </c>
      <c r="C1595" s="30" t="n">
        <v>44717</v>
      </c>
      <c r="D1595" s="31" t="n">
        <f aca="false">VLOOKUP(A1595,'Order Shipping'!$A$2:$C$2000,3,FALSE())</f>
        <v>5.3</v>
      </c>
      <c r="E1595" s="32" t="n">
        <f aca="false">VLOOKUP($A1595,'Order Sales'!$A$2:$G$2154,E$1,FALSE())</f>
        <v>34</v>
      </c>
      <c r="F1595" s="32" t="n">
        <f aca="false">VLOOKUP($A1595,'Order Sales'!$A$2:$G$2154,F$1,FALSE())</f>
        <v>233.55</v>
      </c>
      <c r="G1595" s="32" t="str">
        <f aca="false">VLOOKUP($A1595,'Order Sales'!$A$2:$G$2154,G$1,FALSE())</f>
        <v>Consumer</v>
      </c>
    </row>
    <row r="1596" customFormat="false" ht="14.25" hidden="false" customHeight="false" outlineLevel="0" collapsed="false">
      <c r="A1596" s="1" t="n">
        <v>2832</v>
      </c>
      <c r="B1596" s="30" t="n">
        <v>43169</v>
      </c>
      <c r="C1596" s="30" t="n">
        <v>44718</v>
      </c>
      <c r="D1596" s="31" t="n">
        <f aca="false">VLOOKUP(A1596,'Order Shipping'!$A$2:$C$2000,3,FALSE())</f>
        <v>44.9</v>
      </c>
      <c r="E1596" s="32" t="n">
        <f aca="false">VLOOKUP($A1596,'Order Sales'!$A$2:$G$2154,E$1,FALSE())</f>
        <v>16</v>
      </c>
      <c r="F1596" s="32" t="n">
        <f aca="false">VLOOKUP($A1596,'Order Sales'!$A$2:$G$2154,F$1,FALSE())</f>
        <v>1763.71</v>
      </c>
      <c r="G1596" s="32" t="str">
        <f aca="false">VLOOKUP($A1596,'Order Sales'!$A$2:$G$2154,G$1,FALSE())</f>
        <v>Consumer</v>
      </c>
    </row>
    <row r="1597" customFormat="false" ht="14.25" hidden="false" customHeight="false" outlineLevel="0" collapsed="false">
      <c r="A1597" s="1" t="n">
        <v>1099</v>
      </c>
      <c r="B1597" s="30" t="n">
        <v>43299</v>
      </c>
      <c r="C1597" s="30" t="n">
        <v>44719</v>
      </c>
      <c r="D1597" s="31" t="n">
        <f aca="false">VLOOKUP(A1597,'Order Shipping'!$A$2:$C$2000,3,FALSE())</f>
        <v>3.4</v>
      </c>
      <c r="E1597" s="32" t="n">
        <f aca="false">VLOOKUP($A1597,'Order Sales'!$A$2:$G$2154,E$1,FALSE())</f>
        <v>42</v>
      </c>
      <c r="F1597" s="32" t="n">
        <f aca="false">VLOOKUP($A1597,'Order Sales'!$A$2:$G$2154,F$1,FALSE())</f>
        <v>609.17</v>
      </c>
      <c r="G1597" s="32" t="str">
        <f aca="false">VLOOKUP($A1597,'Order Sales'!$A$2:$G$2154,G$1,FALSE())</f>
        <v>Corporate</v>
      </c>
    </row>
    <row r="1598" customFormat="false" ht="14.25" hidden="false" customHeight="false" outlineLevel="0" collapsed="false">
      <c r="A1598" s="1" t="n">
        <v>1201</v>
      </c>
      <c r="B1598" s="30" t="n">
        <v>43322</v>
      </c>
      <c r="C1598" s="30" t="n">
        <v>44720</v>
      </c>
      <c r="D1598" s="31" t="n">
        <f aca="false">VLOOKUP(A1598,'Order Shipping'!$A$2:$C$2000,3,FALSE())</f>
        <v>7.1</v>
      </c>
      <c r="E1598" s="32" t="n">
        <f aca="false">VLOOKUP($A1598,'Order Sales'!$A$2:$G$2154,E$1,FALSE())</f>
        <v>30</v>
      </c>
      <c r="F1598" s="32" t="n">
        <f aca="false">VLOOKUP($A1598,'Order Sales'!$A$2:$G$2154,F$1,FALSE())</f>
        <v>213.05</v>
      </c>
      <c r="G1598" s="32" t="str">
        <f aca="false">VLOOKUP($A1598,'Order Sales'!$A$2:$G$2154,G$1,FALSE())</f>
        <v>Corporate</v>
      </c>
    </row>
    <row r="1599" customFormat="false" ht="14.25" hidden="false" customHeight="false" outlineLevel="0" collapsed="false">
      <c r="A1599" s="1" t="n">
        <v>2515</v>
      </c>
      <c r="B1599" s="30" t="n">
        <v>43310</v>
      </c>
      <c r="C1599" s="30" t="n">
        <v>44721</v>
      </c>
      <c r="D1599" s="31" t="n">
        <f aca="false">VLOOKUP(A1599,'Order Shipping'!$A$2:$C$2000,3,FALSE())</f>
        <v>6.2</v>
      </c>
      <c r="E1599" s="32" t="n">
        <f aca="false">VLOOKUP($A1599,'Order Sales'!$A$2:$G$2154,E$1,FALSE())</f>
        <v>30</v>
      </c>
      <c r="F1599" s="32" t="n">
        <f aca="false">VLOOKUP($A1599,'Order Sales'!$A$2:$G$2154,F$1,FALSE())</f>
        <v>320.64</v>
      </c>
      <c r="G1599" s="32" t="str">
        <f aca="false">VLOOKUP($A1599,'Order Sales'!$A$2:$G$2154,G$1,FALSE())</f>
        <v>Consumer</v>
      </c>
    </row>
    <row r="1600" customFormat="false" ht="14.25" hidden="false" customHeight="false" outlineLevel="0" collapsed="false">
      <c r="A1600" s="1" t="n">
        <v>2939</v>
      </c>
      <c r="B1600" s="30" t="n">
        <v>43168</v>
      </c>
      <c r="C1600" s="30" t="n">
        <v>44722</v>
      </c>
      <c r="D1600" s="31" t="n">
        <f aca="false">VLOOKUP(A1600,'Order Shipping'!$A$2:$C$2000,3,FALSE())</f>
        <v>7.5</v>
      </c>
      <c r="E1600" s="32" t="n">
        <f aca="false">VLOOKUP($A1600,'Order Sales'!$A$2:$G$2154,E$1,FALSE())</f>
        <v>27</v>
      </c>
      <c r="F1600" s="32" t="n">
        <f aca="false">VLOOKUP($A1600,'Order Sales'!$A$2:$G$2154,F$1,FALSE())</f>
        <v>165.44</v>
      </c>
      <c r="G1600" s="32" t="str">
        <f aca="false">VLOOKUP($A1600,'Order Sales'!$A$2:$G$2154,G$1,FALSE())</f>
        <v>Corporate</v>
      </c>
    </row>
    <row r="1601" customFormat="false" ht="14.25" hidden="false" customHeight="false" outlineLevel="0" collapsed="false">
      <c r="A1601" s="1" t="n">
        <v>2001</v>
      </c>
      <c r="B1601" s="30" t="n">
        <v>43105</v>
      </c>
      <c r="C1601" s="30" t="n">
        <v>44723</v>
      </c>
      <c r="D1601" s="31" t="n">
        <f aca="false">VLOOKUP(A1601,'Order Shipping'!$A$2:$C$2000,3,FALSE())</f>
        <v>5.6</v>
      </c>
      <c r="E1601" s="32" t="n">
        <f aca="false">VLOOKUP($A1601,'Order Sales'!$A$2:$G$2154,E$1,FALSE())</f>
        <v>47</v>
      </c>
      <c r="F1601" s="32" t="n">
        <f aca="false">VLOOKUP($A1601,'Order Sales'!$A$2:$G$2154,F$1,FALSE())</f>
        <v>329.1</v>
      </c>
      <c r="G1601" s="32" t="str">
        <f aca="false">VLOOKUP($A1601,'Order Sales'!$A$2:$G$2154,G$1,FALSE())</f>
        <v>Consumer</v>
      </c>
    </row>
    <row r="1602" customFormat="false" ht="14.25" hidden="false" customHeight="false" outlineLevel="0" collapsed="false">
      <c r="A1602" s="1" t="n">
        <v>2575</v>
      </c>
      <c r="B1602" s="30" t="n">
        <v>43161</v>
      </c>
      <c r="C1602" s="30" t="n">
        <v>44724</v>
      </c>
      <c r="D1602" s="31" t="n">
        <f aca="false">VLOOKUP(A1602,'Order Shipping'!$A$2:$C$2000,3,FALSE())</f>
        <v>4.3</v>
      </c>
      <c r="E1602" s="32" t="n">
        <f aca="false">VLOOKUP($A1602,'Order Sales'!$A$2:$G$2154,E$1,FALSE())</f>
        <v>40</v>
      </c>
      <c r="F1602" s="32" t="n">
        <f aca="false">VLOOKUP($A1602,'Order Sales'!$A$2:$G$2154,F$1,FALSE())</f>
        <v>694.92</v>
      </c>
      <c r="G1602" s="32" t="str">
        <f aca="false">VLOOKUP($A1602,'Order Sales'!$A$2:$G$2154,G$1,FALSE())</f>
        <v>Small Business</v>
      </c>
    </row>
    <row r="1603" customFormat="false" ht="14.25" hidden="false" customHeight="false" outlineLevel="0" collapsed="false">
      <c r="A1603" s="1" t="n">
        <v>1200</v>
      </c>
      <c r="B1603" s="30" t="n">
        <v>43294</v>
      </c>
      <c r="C1603" s="30" t="n">
        <v>44725</v>
      </c>
      <c r="D1603" s="31" t="n">
        <f aca="false">VLOOKUP(A1603,'Order Shipping'!$A$2:$C$2000,3,FALSE())</f>
        <v>4.4</v>
      </c>
      <c r="E1603" s="32" t="n">
        <f aca="false">VLOOKUP($A1603,'Order Sales'!$A$2:$G$2154,E$1,FALSE())</f>
        <v>22</v>
      </c>
      <c r="F1603" s="32" t="n">
        <f aca="false">VLOOKUP($A1603,'Order Sales'!$A$2:$G$2154,F$1,FALSE())</f>
        <v>49.61</v>
      </c>
      <c r="G1603" s="32" t="str">
        <f aca="false">VLOOKUP($A1603,'Order Sales'!$A$2:$G$2154,G$1,FALSE())</f>
        <v>Home Office</v>
      </c>
    </row>
    <row r="1604" customFormat="false" ht="14.25" hidden="false" customHeight="false" outlineLevel="0" collapsed="false">
      <c r="A1604" s="1" t="n">
        <v>2665</v>
      </c>
      <c r="B1604" s="30" t="n">
        <v>43403</v>
      </c>
      <c r="C1604" s="30" t="n">
        <v>44726</v>
      </c>
      <c r="D1604" s="31" t="n">
        <f aca="false">VLOOKUP(A1604,'Order Shipping'!$A$2:$C$2000,3,FALSE())</f>
        <v>25.4</v>
      </c>
      <c r="E1604" s="32" t="n">
        <f aca="false">VLOOKUP($A1604,'Order Sales'!$A$2:$G$2154,E$1,FALSE())</f>
        <v>45</v>
      </c>
      <c r="F1604" s="32" t="n">
        <f aca="false">VLOOKUP($A1604,'Order Sales'!$A$2:$G$2154,F$1,FALSE())</f>
        <v>9896.15</v>
      </c>
      <c r="G1604" s="32" t="str">
        <f aca="false">VLOOKUP($A1604,'Order Sales'!$A$2:$G$2154,G$1,FALSE())</f>
        <v>Corporate</v>
      </c>
    </row>
    <row r="1605" customFormat="false" ht="14.25" hidden="false" customHeight="false" outlineLevel="0" collapsed="false">
      <c r="A1605" s="1" t="n">
        <v>2146</v>
      </c>
      <c r="B1605" s="30" t="n">
        <v>43405</v>
      </c>
      <c r="C1605" s="30" t="n">
        <v>44727</v>
      </c>
      <c r="D1605" s="31" t="n">
        <f aca="false">VLOOKUP(A1605,'Order Shipping'!$A$2:$C$2000,3,FALSE())</f>
        <v>2.1</v>
      </c>
      <c r="E1605" s="32" t="n">
        <f aca="false">VLOOKUP($A1605,'Order Sales'!$A$2:$G$2154,E$1,FALSE())</f>
        <v>21</v>
      </c>
      <c r="F1605" s="32" t="n">
        <f aca="false">VLOOKUP($A1605,'Order Sales'!$A$2:$G$2154,F$1,FALSE())</f>
        <v>313.8</v>
      </c>
      <c r="G1605" s="32" t="str">
        <f aca="false">VLOOKUP($A1605,'Order Sales'!$A$2:$G$2154,G$1,FALSE())</f>
        <v>Corporate</v>
      </c>
    </row>
    <row r="1606" customFormat="false" ht="14.25" hidden="false" customHeight="false" outlineLevel="0" collapsed="false">
      <c r="A1606" s="1" t="n">
        <v>2285</v>
      </c>
      <c r="B1606" s="30" t="n">
        <v>43341</v>
      </c>
      <c r="C1606" s="30" t="n">
        <v>44728</v>
      </c>
      <c r="D1606" s="31" t="n">
        <f aca="false">VLOOKUP(A1606,'Order Shipping'!$A$2:$C$2000,3,FALSE())</f>
        <v>7.8</v>
      </c>
      <c r="E1606" s="32" t="n">
        <f aca="false">VLOOKUP($A1606,'Order Sales'!$A$2:$G$2154,E$1,FALSE())</f>
        <v>19</v>
      </c>
      <c r="F1606" s="32" t="n">
        <f aca="false">VLOOKUP($A1606,'Order Sales'!$A$2:$G$2154,F$1,FALSE())</f>
        <v>181.26</v>
      </c>
      <c r="G1606" s="32" t="str">
        <f aca="false">VLOOKUP($A1606,'Order Sales'!$A$2:$G$2154,G$1,FALSE())</f>
        <v>Home Office</v>
      </c>
    </row>
    <row r="1607" customFormat="false" ht="14.25" hidden="false" customHeight="false" outlineLevel="0" collapsed="false">
      <c r="A1607" s="1" t="n">
        <v>2941</v>
      </c>
      <c r="B1607" s="30" t="n">
        <v>43347</v>
      </c>
      <c r="C1607" s="30" t="n">
        <v>44729</v>
      </c>
      <c r="D1607" s="31" t="n">
        <f aca="false">VLOOKUP(A1607,'Order Shipping'!$A$2:$C$2000,3,FALSE())</f>
        <v>6.1</v>
      </c>
      <c r="E1607" s="32" t="n">
        <f aca="false">VLOOKUP($A1607,'Order Sales'!$A$2:$G$2154,E$1,FALSE())</f>
        <v>3</v>
      </c>
      <c r="F1607" s="32" t="n">
        <f aca="false">VLOOKUP($A1607,'Order Sales'!$A$2:$G$2154,F$1,FALSE())</f>
        <v>42.25</v>
      </c>
      <c r="G1607" s="32" t="str">
        <f aca="false">VLOOKUP($A1607,'Order Sales'!$A$2:$G$2154,G$1,FALSE())</f>
        <v>Small Business</v>
      </c>
    </row>
    <row r="1608" customFormat="false" ht="14.25" hidden="false" customHeight="false" outlineLevel="0" collapsed="false">
      <c r="A1608" s="1" t="n">
        <v>1386</v>
      </c>
      <c r="B1608" s="30" t="n">
        <v>43458</v>
      </c>
      <c r="C1608" s="30" t="n">
        <v>44730</v>
      </c>
      <c r="D1608" s="31" t="n">
        <f aca="false">VLOOKUP(A1608,'Order Shipping'!$A$2:$C$2000,3,FALSE())</f>
        <v>1.9</v>
      </c>
      <c r="E1608" s="32" t="n">
        <f aca="false">VLOOKUP($A1608,'Order Sales'!$A$2:$G$2154,E$1,FALSE())</f>
        <v>26</v>
      </c>
      <c r="F1608" s="32" t="n">
        <f aca="false">VLOOKUP($A1608,'Order Sales'!$A$2:$G$2154,F$1,FALSE())</f>
        <v>202.16</v>
      </c>
      <c r="G1608" s="32" t="str">
        <f aca="false">VLOOKUP($A1608,'Order Sales'!$A$2:$G$2154,G$1,FALSE())</f>
        <v>Home Office</v>
      </c>
    </row>
    <row r="1609" customFormat="false" ht="14.25" hidden="false" customHeight="false" outlineLevel="0" collapsed="false">
      <c r="A1609" s="1" t="n">
        <v>1994</v>
      </c>
      <c r="B1609" s="30" t="n">
        <v>43135</v>
      </c>
      <c r="C1609" s="30" t="n">
        <v>44731</v>
      </c>
      <c r="D1609" s="31" t="n">
        <f aca="false">VLOOKUP(A1609,'Order Shipping'!$A$2:$C$2000,3,FALSE())</f>
        <v>1.1</v>
      </c>
      <c r="E1609" s="32" t="n">
        <f aca="false">VLOOKUP($A1609,'Order Sales'!$A$2:$G$2154,E$1,FALSE())</f>
        <v>48</v>
      </c>
      <c r="F1609" s="32" t="n">
        <f aca="false">VLOOKUP($A1609,'Order Sales'!$A$2:$G$2154,F$1,FALSE())</f>
        <v>4443.77</v>
      </c>
      <c r="G1609" s="32" t="str">
        <f aca="false">VLOOKUP($A1609,'Order Sales'!$A$2:$G$2154,G$1,FALSE())</f>
        <v>Home Office</v>
      </c>
    </row>
    <row r="1610" customFormat="false" ht="14.25" hidden="false" customHeight="false" outlineLevel="0" collapsed="false">
      <c r="A1610" s="1" t="n">
        <v>2592</v>
      </c>
      <c r="B1610" s="30" t="n">
        <v>43314</v>
      </c>
      <c r="C1610" s="30" t="n">
        <v>44732</v>
      </c>
      <c r="D1610" s="31" t="n">
        <f aca="false">VLOOKUP(A1610,'Order Shipping'!$A$2:$C$2000,3,FALSE())</f>
        <v>5.1</v>
      </c>
      <c r="E1610" s="32" t="n">
        <f aca="false">VLOOKUP($A1610,'Order Sales'!$A$2:$G$2154,E$1,FALSE())</f>
        <v>48</v>
      </c>
      <c r="F1610" s="32" t="n">
        <f aca="false">VLOOKUP($A1610,'Order Sales'!$A$2:$G$2154,F$1,FALSE())</f>
        <v>255.51</v>
      </c>
      <c r="G1610" s="32" t="str">
        <f aca="false">VLOOKUP($A1610,'Order Sales'!$A$2:$G$2154,G$1,FALSE())</f>
        <v>Consumer</v>
      </c>
    </row>
    <row r="1611" customFormat="false" ht="14.25" hidden="false" customHeight="false" outlineLevel="0" collapsed="false">
      <c r="A1611" s="1" t="n">
        <v>1517</v>
      </c>
      <c r="B1611" s="30" t="n">
        <v>43118</v>
      </c>
      <c r="C1611" s="30" t="n">
        <v>44733</v>
      </c>
      <c r="D1611" s="31" t="n">
        <f aca="false">VLOOKUP(A1611,'Order Shipping'!$A$2:$C$2000,3,FALSE())</f>
        <v>1.1</v>
      </c>
      <c r="E1611" s="32" t="n">
        <f aca="false">VLOOKUP($A1611,'Order Sales'!$A$2:$G$2154,E$1,FALSE())</f>
        <v>9</v>
      </c>
      <c r="F1611" s="32" t="n">
        <f aca="false">VLOOKUP($A1611,'Order Sales'!$A$2:$G$2154,F$1,FALSE())</f>
        <v>45.16</v>
      </c>
      <c r="G1611" s="32" t="str">
        <f aca="false">VLOOKUP($A1611,'Order Sales'!$A$2:$G$2154,G$1,FALSE())</f>
        <v>Consumer</v>
      </c>
    </row>
    <row r="1612" customFormat="false" ht="14.25" hidden="false" customHeight="false" outlineLevel="0" collapsed="false">
      <c r="A1612" s="1" t="n">
        <v>1256</v>
      </c>
      <c r="B1612" s="30" t="n">
        <v>43156</v>
      </c>
      <c r="C1612" s="30" t="n">
        <v>44734</v>
      </c>
      <c r="D1612" s="31" t="n">
        <f aca="false">VLOOKUP(A1612,'Order Shipping'!$A$2:$C$2000,3,FALSE())</f>
        <v>5.4</v>
      </c>
      <c r="E1612" s="32" t="n">
        <f aca="false">VLOOKUP($A1612,'Order Sales'!$A$2:$G$2154,E$1,FALSE())</f>
        <v>11</v>
      </c>
      <c r="F1612" s="32" t="n">
        <f aca="false">VLOOKUP($A1612,'Order Sales'!$A$2:$G$2154,F$1,FALSE())</f>
        <v>433.92</v>
      </c>
      <c r="G1612" s="32" t="str">
        <f aca="false">VLOOKUP($A1612,'Order Sales'!$A$2:$G$2154,G$1,FALSE())</f>
        <v>Corporate</v>
      </c>
    </row>
    <row r="1613" customFormat="false" ht="14.25" hidden="false" customHeight="false" outlineLevel="0" collapsed="false">
      <c r="A1613" s="1" t="n">
        <v>2740</v>
      </c>
      <c r="B1613" s="30" t="n">
        <v>43393</v>
      </c>
      <c r="C1613" s="30" t="n">
        <v>44735</v>
      </c>
      <c r="D1613" s="31" t="n">
        <f aca="false">VLOOKUP(A1613,'Order Shipping'!$A$2:$C$2000,3,FALSE())</f>
        <v>9.6</v>
      </c>
      <c r="E1613" s="32" t="n">
        <f aca="false">VLOOKUP($A1613,'Order Sales'!$A$2:$G$2154,E$1,FALSE())</f>
        <v>31</v>
      </c>
      <c r="F1613" s="32" t="n">
        <f aca="false">VLOOKUP($A1613,'Order Sales'!$A$2:$G$2154,F$1,FALSE())</f>
        <v>701.2</v>
      </c>
      <c r="G1613" s="32" t="str">
        <f aca="false">VLOOKUP($A1613,'Order Sales'!$A$2:$G$2154,G$1,FALSE())</f>
        <v>Corporate</v>
      </c>
    </row>
    <row r="1614" customFormat="false" ht="14.25" hidden="false" customHeight="false" outlineLevel="0" collapsed="false">
      <c r="A1614" s="1" t="n">
        <v>1026</v>
      </c>
      <c r="B1614" s="30" t="n">
        <v>43162</v>
      </c>
      <c r="C1614" s="30" t="n">
        <v>44736</v>
      </c>
      <c r="D1614" s="31" t="n">
        <f aca="false">VLOOKUP(A1614,'Order Shipping'!$A$2:$C$2000,3,FALSE())</f>
        <v>12</v>
      </c>
      <c r="E1614" s="32" t="n">
        <f aca="false">VLOOKUP($A1614,'Order Sales'!$A$2:$G$2154,E$1,FALSE())</f>
        <v>35</v>
      </c>
      <c r="F1614" s="32" t="n">
        <f aca="false">VLOOKUP($A1614,'Order Sales'!$A$2:$G$2154,F$1,FALSE())</f>
        <v>581.78</v>
      </c>
      <c r="G1614" s="32" t="str">
        <f aca="false">VLOOKUP($A1614,'Order Sales'!$A$2:$G$2154,G$1,FALSE())</f>
        <v>Consumer</v>
      </c>
    </row>
    <row r="1615" customFormat="false" ht="14.25" hidden="false" customHeight="false" outlineLevel="0" collapsed="false">
      <c r="A1615" s="1" t="n">
        <v>1180</v>
      </c>
      <c r="B1615" s="30" t="n">
        <v>43256</v>
      </c>
      <c r="C1615" s="30" t="n">
        <v>44737</v>
      </c>
      <c r="D1615" s="31" t="n">
        <f aca="false">VLOOKUP(A1615,'Order Shipping'!$A$2:$C$2000,3,FALSE())</f>
        <v>5.4</v>
      </c>
      <c r="E1615" s="32" t="n">
        <f aca="false">VLOOKUP($A1615,'Order Sales'!$A$2:$G$2154,E$1,FALSE())</f>
        <v>8</v>
      </c>
      <c r="F1615" s="32" t="n">
        <f aca="false">VLOOKUP($A1615,'Order Sales'!$A$2:$G$2154,F$1,FALSE())</f>
        <v>128.64</v>
      </c>
      <c r="G1615" s="32" t="str">
        <f aca="false">VLOOKUP($A1615,'Order Sales'!$A$2:$G$2154,G$1,FALSE())</f>
        <v>Home Office</v>
      </c>
    </row>
    <row r="1616" customFormat="false" ht="14.25" hidden="false" customHeight="false" outlineLevel="0" collapsed="false">
      <c r="A1616" s="1" t="n">
        <v>2787</v>
      </c>
      <c r="B1616" s="30" t="n">
        <v>43337</v>
      </c>
      <c r="C1616" s="30" t="n">
        <v>44738</v>
      </c>
      <c r="D1616" s="31" t="n">
        <f aca="false">VLOOKUP(A1616,'Order Shipping'!$A$2:$C$2000,3,FALSE())</f>
        <v>6.2</v>
      </c>
      <c r="E1616" s="32" t="n">
        <f aca="false">VLOOKUP($A1616,'Order Sales'!$A$2:$G$2154,E$1,FALSE())</f>
        <v>35</v>
      </c>
      <c r="F1616" s="32" t="n">
        <f aca="false">VLOOKUP($A1616,'Order Sales'!$A$2:$G$2154,F$1,FALSE())</f>
        <v>1210.33</v>
      </c>
      <c r="G1616" s="32" t="str">
        <f aca="false">VLOOKUP($A1616,'Order Sales'!$A$2:$G$2154,G$1,FALSE())</f>
        <v>Small Business</v>
      </c>
    </row>
    <row r="1617" customFormat="false" ht="14.25" hidden="false" customHeight="false" outlineLevel="0" collapsed="false">
      <c r="A1617" s="1" t="n">
        <v>2415</v>
      </c>
      <c r="B1617" s="30" t="n">
        <v>43375</v>
      </c>
      <c r="C1617" s="30" t="n">
        <v>44739</v>
      </c>
      <c r="D1617" s="31" t="n">
        <f aca="false">VLOOKUP(A1617,'Order Shipping'!$A$2:$C$2000,3,FALSE())</f>
        <v>6.4</v>
      </c>
      <c r="E1617" s="32" t="n">
        <f aca="false">VLOOKUP($A1617,'Order Sales'!$A$2:$G$2154,E$1,FALSE())</f>
        <v>48</v>
      </c>
      <c r="F1617" s="32" t="n">
        <f aca="false">VLOOKUP($A1617,'Order Sales'!$A$2:$G$2154,F$1,FALSE())</f>
        <v>1011.73</v>
      </c>
      <c r="G1617" s="32" t="str">
        <f aca="false">VLOOKUP($A1617,'Order Sales'!$A$2:$G$2154,G$1,FALSE())</f>
        <v>Consumer</v>
      </c>
    </row>
    <row r="1618" customFormat="false" ht="14.25" hidden="false" customHeight="false" outlineLevel="0" collapsed="false">
      <c r="A1618" s="1" t="n">
        <v>2640</v>
      </c>
      <c r="B1618" s="30" t="n">
        <v>43253</v>
      </c>
      <c r="C1618" s="30" t="n">
        <v>44740</v>
      </c>
      <c r="D1618" s="31" t="n">
        <f aca="false">VLOOKUP(A1618,'Order Shipping'!$A$2:$C$2000,3,FALSE())</f>
        <v>0.5</v>
      </c>
      <c r="E1618" s="32" t="n">
        <f aca="false">VLOOKUP($A1618,'Order Sales'!$A$2:$G$2154,E$1,FALSE())</f>
        <v>17</v>
      </c>
      <c r="F1618" s="32" t="n">
        <f aca="false">VLOOKUP($A1618,'Order Sales'!$A$2:$G$2154,F$1,FALSE())</f>
        <v>50.76</v>
      </c>
      <c r="G1618" s="32" t="str">
        <f aca="false">VLOOKUP($A1618,'Order Sales'!$A$2:$G$2154,G$1,FALSE())</f>
        <v>Small Business</v>
      </c>
    </row>
    <row r="1619" customFormat="false" ht="14.25" hidden="false" customHeight="false" outlineLevel="0" collapsed="false">
      <c r="A1619" s="1" t="n">
        <v>2488</v>
      </c>
      <c r="B1619" s="30" t="n">
        <v>43142</v>
      </c>
      <c r="C1619" s="30" t="n">
        <v>44741</v>
      </c>
      <c r="D1619" s="31" t="n">
        <f aca="false">VLOOKUP(A1619,'Order Shipping'!$A$2:$C$2000,3,FALSE())</f>
        <v>6.8</v>
      </c>
      <c r="E1619" s="32" t="n">
        <f aca="false">VLOOKUP($A1619,'Order Sales'!$A$2:$G$2154,E$1,FALSE())</f>
        <v>30</v>
      </c>
      <c r="F1619" s="32" t="n">
        <f aca="false">VLOOKUP($A1619,'Order Sales'!$A$2:$G$2154,F$1,FALSE())</f>
        <v>709.67</v>
      </c>
      <c r="G1619" s="32" t="str">
        <f aca="false">VLOOKUP($A1619,'Order Sales'!$A$2:$G$2154,G$1,FALSE())</f>
        <v>Home Office</v>
      </c>
    </row>
    <row r="1620" customFormat="false" ht="14.25" hidden="false" customHeight="false" outlineLevel="0" collapsed="false">
      <c r="A1620" s="1" t="n">
        <v>2441</v>
      </c>
      <c r="B1620" s="30" t="n">
        <v>43334</v>
      </c>
      <c r="C1620" s="30" t="n">
        <v>44742</v>
      </c>
      <c r="D1620" s="31" t="n">
        <f aca="false">VLOOKUP(A1620,'Order Shipping'!$A$2:$C$2000,3,FALSE())</f>
        <v>1.7</v>
      </c>
      <c r="E1620" s="32" t="n">
        <f aca="false">VLOOKUP($A1620,'Order Sales'!$A$2:$G$2154,E$1,FALSE())</f>
        <v>4</v>
      </c>
      <c r="F1620" s="32" t="n">
        <f aca="false">VLOOKUP($A1620,'Order Sales'!$A$2:$G$2154,F$1,FALSE())</f>
        <v>9.49</v>
      </c>
      <c r="G1620" s="32" t="str">
        <f aca="false">VLOOKUP($A1620,'Order Sales'!$A$2:$G$2154,G$1,FALSE())</f>
        <v>Corporate</v>
      </c>
    </row>
    <row r="1621" customFormat="false" ht="14.25" hidden="false" customHeight="false" outlineLevel="0" collapsed="false">
      <c r="A1621" s="1" t="n">
        <v>2928</v>
      </c>
      <c r="B1621" s="30" t="n">
        <v>43136</v>
      </c>
      <c r="C1621" s="30" t="n">
        <v>44743</v>
      </c>
      <c r="D1621" s="31" t="n">
        <f aca="false">VLOOKUP(A1621,'Order Shipping'!$A$2:$C$2000,3,FALSE())</f>
        <v>4.2</v>
      </c>
      <c r="E1621" s="32" t="n">
        <f aca="false">VLOOKUP($A1621,'Order Sales'!$A$2:$G$2154,E$1,FALSE())</f>
        <v>12</v>
      </c>
      <c r="F1621" s="32" t="n">
        <f aca="false">VLOOKUP($A1621,'Order Sales'!$A$2:$G$2154,F$1,FALSE())</f>
        <v>375.7</v>
      </c>
      <c r="G1621" s="32" t="str">
        <f aca="false">VLOOKUP($A1621,'Order Sales'!$A$2:$G$2154,G$1,FALSE())</f>
        <v>Corporate</v>
      </c>
    </row>
    <row r="1622" customFormat="false" ht="14.25" hidden="false" customHeight="false" outlineLevel="0" collapsed="false">
      <c r="A1622" s="1" t="n">
        <v>1820</v>
      </c>
      <c r="B1622" s="30" t="n">
        <v>43126</v>
      </c>
      <c r="C1622" s="30" t="n">
        <v>44744</v>
      </c>
      <c r="D1622" s="31" t="n">
        <f aca="false">VLOOKUP(A1622,'Order Shipping'!$A$2:$C$2000,3,FALSE())</f>
        <v>8.1</v>
      </c>
      <c r="E1622" s="32" t="n">
        <f aca="false">VLOOKUP($A1622,'Order Sales'!$A$2:$G$2154,E$1,FALSE())</f>
        <v>48</v>
      </c>
      <c r="F1622" s="32" t="n">
        <f aca="false">VLOOKUP($A1622,'Order Sales'!$A$2:$G$2154,F$1,FALSE())</f>
        <v>1883.57</v>
      </c>
      <c r="G1622" s="32" t="str">
        <f aca="false">VLOOKUP($A1622,'Order Sales'!$A$2:$G$2154,G$1,FALSE())</f>
        <v>Small Business</v>
      </c>
    </row>
    <row r="1623" customFormat="false" ht="14.25" hidden="false" customHeight="false" outlineLevel="0" collapsed="false">
      <c r="A1623" s="1" t="n">
        <v>1735</v>
      </c>
      <c r="B1623" s="30" t="n">
        <v>43119</v>
      </c>
      <c r="C1623" s="30" t="n">
        <v>44745</v>
      </c>
      <c r="D1623" s="31" t="n">
        <f aca="false">VLOOKUP(A1623,'Order Shipping'!$A$2:$C$2000,3,FALSE())</f>
        <v>9.6</v>
      </c>
      <c r="E1623" s="32" t="n">
        <f aca="false">VLOOKUP($A1623,'Order Sales'!$A$2:$G$2154,E$1,FALSE())</f>
        <v>7</v>
      </c>
      <c r="F1623" s="32" t="n">
        <f aca="false">VLOOKUP($A1623,'Order Sales'!$A$2:$G$2154,F$1,FALSE())</f>
        <v>137.62</v>
      </c>
      <c r="G1623" s="32" t="str">
        <f aca="false">VLOOKUP($A1623,'Order Sales'!$A$2:$G$2154,G$1,FALSE())</f>
        <v>Consumer</v>
      </c>
    </row>
    <row r="1624" customFormat="false" ht="14.25" hidden="false" customHeight="false" outlineLevel="0" collapsed="false">
      <c r="A1624" s="1" t="n">
        <v>1195</v>
      </c>
      <c r="B1624" s="30" t="n">
        <v>43350</v>
      </c>
      <c r="C1624" s="30" t="n">
        <v>44746</v>
      </c>
      <c r="D1624" s="31" t="n">
        <f aca="false">VLOOKUP(A1624,'Order Shipping'!$A$2:$C$2000,3,FALSE())</f>
        <v>11.4</v>
      </c>
      <c r="E1624" s="32" t="n">
        <f aca="false">VLOOKUP($A1624,'Order Sales'!$A$2:$G$2154,E$1,FALSE())</f>
        <v>43</v>
      </c>
      <c r="F1624" s="32" t="n">
        <f aca="false">VLOOKUP($A1624,'Order Sales'!$A$2:$G$2154,F$1,FALSE())</f>
        <v>688.34</v>
      </c>
      <c r="G1624" s="32" t="str">
        <f aca="false">VLOOKUP($A1624,'Order Sales'!$A$2:$G$2154,G$1,FALSE())</f>
        <v>Corporate</v>
      </c>
    </row>
    <row r="1625" customFormat="false" ht="14.25" hidden="false" customHeight="false" outlineLevel="0" collapsed="false">
      <c r="A1625" s="1" t="n">
        <v>2614</v>
      </c>
      <c r="B1625" s="30" t="n">
        <v>43122</v>
      </c>
      <c r="C1625" s="30" t="n">
        <v>44747</v>
      </c>
      <c r="D1625" s="31" t="n">
        <f aca="false">VLOOKUP(A1625,'Order Shipping'!$A$2:$C$2000,3,FALSE())</f>
        <v>5.2</v>
      </c>
      <c r="E1625" s="32" t="n">
        <f aca="false">VLOOKUP($A1625,'Order Sales'!$A$2:$G$2154,E$1,FALSE())</f>
        <v>41</v>
      </c>
      <c r="F1625" s="32" t="n">
        <f aca="false">VLOOKUP($A1625,'Order Sales'!$A$2:$G$2154,F$1,FALSE())</f>
        <v>423.88</v>
      </c>
      <c r="G1625" s="32" t="str">
        <f aca="false">VLOOKUP($A1625,'Order Sales'!$A$2:$G$2154,G$1,FALSE())</f>
        <v>Home Office</v>
      </c>
    </row>
    <row r="1626" customFormat="false" ht="14.25" hidden="false" customHeight="false" outlineLevel="0" collapsed="false">
      <c r="A1626" s="1" t="n">
        <v>1164</v>
      </c>
      <c r="B1626" s="30" t="n">
        <v>43155</v>
      </c>
      <c r="C1626" s="30" t="n">
        <v>44748</v>
      </c>
      <c r="D1626" s="31" t="n">
        <f aca="false">VLOOKUP(A1626,'Order Shipping'!$A$2:$C$2000,3,FALSE())</f>
        <v>69.3</v>
      </c>
      <c r="E1626" s="32" t="n">
        <f aca="false">VLOOKUP($A1626,'Order Sales'!$A$2:$G$2154,E$1,FALSE())</f>
        <v>30</v>
      </c>
      <c r="F1626" s="32" t="n">
        <f aca="false">VLOOKUP($A1626,'Order Sales'!$A$2:$G$2154,F$1,FALSE())</f>
        <v>8949.11</v>
      </c>
      <c r="G1626" s="32" t="str">
        <f aca="false">VLOOKUP($A1626,'Order Sales'!$A$2:$G$2154,G$1,FALSE())</f>
        <v>Corporate</v>
      </c>
    </row>
    <row r="1627" customFormat="false" ht="14.25" hidden="false" customHeight="false" outlineLevel="0" collapsed="false">
      <c r="A1627" s="1" t="n">
        <v>2045</v>
      </c>
      <c r="B1627" s="30" t="n">
        <v>43366</v>
      </c>
      <c r="C1627" s="30" t="n">
        <v>44749</v>
      </c>
      <c r="D1627" s="31" t="n">
        <f aca="false">VLOOKUP(A1627,'Order Shipping'!$A$2:$C$2000,3,FALSE())</f>
        <v>73.8</v>
      </c>
      <c r="E1627" s="32" t="n">
        <f aca="false">VLOOKUP($A1627,'Order Sales'!$A$2:$G$2154,E$1,FALSE())</f>
        <v>19</v>
      </c>
      <c r="F1627" s="32" t="n">
        <f aca="false">VLOOKUP($A1627,'Order Sales'!$A$2:$G$2154,F$1,FALSE())</f>
        <v>4543.15</v>
      </c>
      <c r="G1627" s="32" t="str">
        <f aca="false">VLOOKUP($A1627,'Order Sales'!$A$2:$G$2154,G$1,FALSE())</f>
        <v>Home Office</v>
      </c>
    </row>
    <row r="1628" customFormat="false" ht="14.25" hidden="false" customHeight="false" outlineLevel="0" collapsed="false">
      <c r="A1628" s="1" t="n">
        <v>1421</v>
      </c>
      <c r="B1628" s="30" t="n">
        <v>43266</v>
      </c>
      <c r="C1628" s="30" t="n">
        <v>44750</v>
      </c>
      <c r="D1628" s="31" t="n">
        <f aca="false">VLOOKUP(A1628,'Order Shipping'!$A$2:$C$2000,3,FALSE())</f>
        <v>2.1</v>
      </c>
      <c r="E1628" s="32" t="n">
        <f aca="false">VLOOKUP($A1628,'Order Sales'!$A$2:$G$2154,E$1,FALSE())</f>
        <v>5</v>
      </c>
      <c r="F1628" s="32" t="n">
        <f aca="false">VLOOKUP($A1628,'Order Sales'!$A$2:$G$2154,F$1,FALSE())</f>
        <v>75.25</v>
      </c>
      <c r="G1628" s="32" t="str">
        <f aca="false">VLOOKUP($A1628,'Order Sales'!$A$2:$G$2154,G$1,FALSE())</f>
        <v>Home Office</v>
      </c>
    </row>
    <row r="1629" customFormat="false" ht="14.25" hidden="false" customHeight="false" outlineLevel="0" collapsed="false">
      <c r="A1629" s="1" t="n">
        <v>1644</v>
      </c>
      <c r="B1629" s="30" t="n">
        <v>43441</v>
      </c>
      <c r="C1629" s="30" t="n">
        <v>44751</v>
      </c>
      <c r="D1629" s="31" t="n">
        <f aca="false">VLOOKUP(A1629,'Order Shipping'!$A$2:$C$2000,3,FALSE())</f>
        <v>10.1</v>
      </c>
      <c r="E1629" s="32" t="n">
        <f aca="false">VLOOKUP($A1629,'Order Sales'!$A$2:$G$2154,E$1,FALSE())</f>
        <v>11</v>
      </c>
      <c r="F1629" s="32" t="n">
        <f aca="false">VLOOKUP($A1629,'Order Sales'!$A$2:$G$2154,F$1,FALSE())</f>
        <v>196.15</v>
      </c>
      <c r="G1629" s="32" t="str">
        <f aca="false">VLOOKUP($A1629,'Order Sales'!$A$2:$G$2154,G$1,FALSE())</f>
        <v>Consumer</v>
      </c>
    </row>
    <row r="1630" customFormat="false" ht="14.25" hidden="false" customHeight="false" outlineLevel="0" collapsed="false">
      <c r="A1630" s="1" t="n">
        <v>1577</v>
      </c>
      <c r="B1630" s="30" t="n">
        <v>43367</v>
      </c>
      <c r="C1630" s="30" t="n">
        <v>44752</v>
      </c>
      <c r="D1630" s="31" t="n">
        <f aca="false">VLOOKUP(A1630,'Order Shipping'!$A$2:$C$2000,3,FALSE())</f>
        <v>43</v>
      </c>
      <c r="E1630" s="32" t="n">
        <f aca="false">VLOOKUP($A1630,'Order Sales'!$A$2:$G$2154,E$1,FALSE())</f>
        <v>23</v>
      </c>
      <c r="F1630" s="32" t="n">
        <f aca="false">VLOOKUP($A1630,'Order Sales'!$A$2:$G$2154,F$1,FALSE())</f>
        <v>8696.44</v>
      </c>
      <c r="G1630" s="32" t="str">
        <f aca="false">VLOOKUP($A1630,'Order Sales'!$A$2:$G$2154,G$1,FALSE())</f>
        <v>Corporate</v>
      </c>
    </row>
    <row r="1631" customFormat="false" ht="14.25" hidden="false" customHeight="false" outlineLevel="0" collapsed="false">
      <c r="A1631" s="1" t="n">
        <v>1425</v>
      </c>
      <c r="B1631" s="30" t="n">
        <v>43152</v>
      </c>
      <c r="C1631" s="30" t="n">
        <v>44753</v>
      </c>
      <c r="D1631" s="31" t="n">
        <f aca="false">VLOOKUP(A1631,'Order Shipping'!$A$2:$C$2000,3,FALSE())</f>
        <v>7.6</v>
      </c>
      <c r="E1631" s="32" t="n">
        <f aca="false">VLOOKUP($A1631,'Order Sales'!$A$2:$G$2154,E$1,FALSE())</f>
        <v>24</v>
      </c>
      <c r="F1631" s="32" t="n">
        <f aca="false">VLOOKUP($A1631,'Order Sales'!$A$2:$G$2154,F$1,FALSE())</f>
        <v>3925.4</v>
      </c>
      <c r="G1631" s="32" t="str">
        <f aca="false">VLOOKUP($A1631,'Order Sales'!$A$2:$G$2154,G$1,FALSE())</f>
        <v>Home Office</v>
      </c>
    </row>
    <row r="1632" customFormat="false" ht="14.25" hidden="false" customHeight="false" outlineLevel="0" collapsed="false">
      <c r="A1632" s="1" t="n">
        <v>2354</v>
      </c>
      <c r="B1632" s="30" t="n">
        <v>43444</v>
      </c>
      <c r="C1632" s="30" t="n">
        <v>44754</v>
      </c>
      <c r="D1632" s="31" t="n">
        <f aca="false">VLOOKUP(A1632,'Order Shipping'!$A$2:$C$2000,3,FALSE())</f>
        <v>5.7</v>
      </c>
      <c r="E1632" s="32" t="n">
        <f aca="false">VLOOKUP($A1632,'Order Sales'!$A$2:$G$2154,E$1,FALSE())</f>
        <v>28</v>
      </c>
      <c r="F1632" s="32" t="n">
        <f aca="false">VLOOKUP($A1632,'Order Sales'!$A$2:$G$2154,F$1,FALSE())</f>
        <v>156.96</v>
      </c>
      <c r="G1632" s="32" t="str">
        <f aca="false">VLOOKUP($A1632,'Order Sales'!$A$2:$G$2154,G$1,FALSE())</f>
        <v>Corporate</v>
      </c>
    </row>
    <row r="1633" customFormat="false" ht="14.25" hidden="false" customHeight="false" outlineLevel="0" collapsed="false">
      <c r="A1633" s="1" t="n">
        <v>1378</v>
      </c>
      <c r="B1633" s="30" t="n">
        <v>43284</v>
      </c>
      <c r="C1633" s="30" t="n">
        <v>44755</v>
      </c>
      <c r="D1633" s="31" t="n">
        <f aca="false">VLOOKUP(A1633,'Order Shipping'!$A$2:$C$2000,3,FALSE())</f>
        <v>46.8</v>
      </c>
      <c r="E1633" s="32" t="n">
        <f aca="false">VLOOKUP($A1633,'Order Sales'!$A$2:$G$2154,E$1,FALSE())</f>
        <v>6</v>
      </c>
      <c r="F1633" s="32" t="n">
        <f aca="false">VLOOKUP($A1633,'Order Sales'!$A$2:$G$2154,F$1,FALSE())</f>
        <v>1033.29</v>
      </c>
      <c r="G1633" s="32" t="str">
        <f aca="false">VLOOKUP($A1633,'Order Sales'!$A$2:$G$2154,G$1,FALSE())</f>
        <v>Corporate</v>
      </c>
    </row>
    <row r="1634" customFormat="false" ht="14.25" hidden="false" customHeight="false" outlineLevel="0" collapsed="false">
      <c r="A1634" s="1" t="n">
        <v>2881</v>
      </c>
      <c r="B1634" s="30" t="n">
        <v>43197</v>
      </c>
      <c r="C1634" s="30" t="n">
        <v>44756</v>
      </c>
      <c r="D1634" s="31" t="n">
        <f aca="false">VLOOKUP(A1634,'Order Shipping'!$A$2:$C$2000,3,FALSE())</f>
        <v>6.2</v>
      </c>
      <c r="E1634" s="32" t="n">
        <f aca="false">VLOOKUP($A1634,'Order Sales'!$A$2:$G$2154,E$1,FALSE())</f>
        <v>33</v>
      </c>
      <c r="F1634" s="32" t="n">
        <f aca="false">VLOOKUP($A1634,'Order Sales'!$A$2:$G$2154,F$1,FALSE())</f>
        <v>693.11</v>
      </c>
      <c r="G1634" s="32" t="str">
        <f aca="false">VLOOKUP($A1634,'Order Sales'!$A$2:$G$2154,G$1,FALSE())</f>
        <v>Home Office</v>
      </c>
    </row>
    <row r="1635" customFormat="false" ht="14.25" hidden="false" customHeight="false" outlineLevel="0" collapsed="false">
      <c r="A1635" s="1" t="n">
        <v>2642</v>
      </c>
      <c r="B1635" s="30" t="n">
        <v>43156</v>
      </c>
      <c r="C1635" s="30" t="n">
        <v>44757</v>
      </c>
      <c r="D1635" s="31" t="n">
        <f aca="false">VLOOKUP(A1635,'Order Shipping'!$A$2:$C$2000,3,FALSE())</f>
        <v>3.9</v>
      </c>
      <c r="E1635" s="32" t="n">
        <f aca="false">VLOOKUP($A1635,'Order Sales'!$A$2:$G$2154,E$1,FALSE())</f>
        <v>18</v>
      </c>
      <c r="F1635" s="32" t="n">
        <f aca="false">VLOOKUP($A1635,'Order Sales'!$A$2:$G$2154,F$1,FALSE())</f>
        <v>348.37</v>
      </c>
      <c r="G1635" s="32" t="str">
        <f aca="false">VLOOKUP($A1635,'Order Sales'!$A$2:$G$2154,G$1,FALSE())</f>
        <v>Corporate</v>
      </c>
    </row>
    <row r="1636" customFormat="false" ht="14.25" hidden="false" customHeight="false" outlineLevel="0" collapsed="false">
      <c r="A1636" s="1" t="n">
        <v>1531</v>
      </c>
      <c r="B1636" s="30" t="n">
        <v>43148</v>
      </c>
      <c r="C1636" s="30" t="n">
        <v>44758</v>
      </c>
      <c r="D1636" s="31" t="n">
        <f aca="false">VLOOKUP(A1636,'Order Shipping'!$A$2:$C$2000,3,FALSE())</f>
        <v>14.1</v>
      </c>
      <c r="E1636" s="32" t="n">
        <f aca="false">VLOOKUP($A1636,'Order Sales'!$A$2:$G$2154,E$1,FALSE())</f>
        <v>50</v>
      </c>
      <c r="F1636" s="32" t="n">
        <f aca="false">VLOOKUP($A1636,'Order Sales'!$A$2:$G$2154,F$1,FALSE())</f>
        <v>3305.29</v>
      </c>
      <c r="G1636" s="32" t="str">
        <f aca="false">VLOOKUP($A1636,'Order Sales'!$A$2:$G$2154,G$1,FALSE())</f>
        <v>Corporate</v>
      </c>
    </row>
    <row r="1637" customFormat="false" ht="14.25" hidden="false" customHeight="false" outlineLevel="0" collapsed="false">
      <c r="A1637" s="1" t="n">
        <v>1619</v>
      </c>
      <c r="B1637" s="30" t="n">
        <v>43371</v>
      </c>
      <c r="C1637" s="30" t="n">
        <v>44759</v>
      </c>
      <c r="D1637" s="31" t="n">
        <f aca="false">VLOOKUP(A1637,'Order Shipping'!$A$2:$C$2000,3,FALSE())</f>
        <v>1.6</v>
      </c>
      <c r="E1637" s="32" t="n">
        <f aca="false">VLOOKUP($A1637,'Order Sales'!$A$2:$G$2154,E$1,FALSE())</f>
        <v>23</v>
      </c>
      <c r="F1637" s="32" t="n">
        <f aca="false">VLOOKUP($A1637,'Order Sales'!$A$2:$G$2154,F$1,FALSE())</f>
        <v>115.29</v>
      </c>
      <c r="G1637" s="32" t="str">
        <f aca="false">VLOOKUP($A1637,'Order Sales'!$A$2:$G$2154,G$1,FALSE())</f>
        <v>Consumer</v>
      </c>
    </row>
    <row r="1638" customFormat="false" ht="14.25" hidden="false" customHeight="false" outlineLevel="0" collapsed="false">
      <c r="A1638" s="1" t="n">
        <v>2131</v>
      </c>
      <c r="B1638" s="30" t="n">
        <v>43140</v>
      </c>
      <c r="C1638" s="30" t="n">
        <v>44760</v>
      </c>
      <c r="D1638" s="31" t="n">
        <f aca="false">VLOOKUP(A1638,'Order Shipping'!$A$2:$C$2000,3,FALSE())</f>
        <v>2.5</v>
      </c>
      <c r="E1638" s="32" t="n">
        <f aca="false">VLOOKUP($A1638,'Order Sales'!$A$2:$G$2154,E$1,FALSE())</f>
        <v>31</v>
      </c>
      <c r="F1638" s="32" t="n">
        <f aca="false">VLOOKUP($A1638,'Order Sales'!$A$2:$G$2154,F$1,FALSE())</f>
        <v>241.98</v>
      </c>
      <c r="G1638" s="32" t="str">
        <f aca="false">VLOOKUP($A1638,'Order Sales'!$A$2:$G$2154,G$1,FALSE())</f>
        <v>Small Business</v>
      </c>
    </row>
    <row r="1639" customFormat="false" ht="14.25" hidden="false" customHeight="false" outlineLevel="0" collapsed="false">
      <c r="A1639" s="1" t="n">
        <v>2183</v>
      </c>
      <c r="B1639" s="30" t="n">
        <v>43222</v>
      </c>
      <c r="C1639" s="30" t="n">
        <v>44761</v>
      </c>
      <c r="D1639" s="31" t="n">
        <f aca="false">VLOOKUP(A1639,'Order Shipping'!$A$2:$C$2000,3,FALSE())</f>
        <v>10.1</v>
      </c>
      <c r="E1639" s="32" t="n">
        <f aca="false">VLOOKUP($A1639,'Order Sales'!$A$2:$G$2154,E$1,FALSE())</f>
        <v>15</v>
      </c>
      <c r="F1639" s="32" t="n">
        <f aca="false">VLOOKUP($A1639,'Order Sales'!$A$2:$G$2154,F$1,FALSE())</f>
        <v>160.85</v>
      </c>
      <c r="G1639" s="32" t="str">
        <f aca="false">VLOOKUP($A1639,'Order Sales'!$A$2:$G$2154,G$1,FALSE())</f>
        <v>Corporate</v>
      </c>
    </row>
    <row r="1640" customFormat="false" ht="14.25" hidden="false" customHeight="false" outlineLevel="0" collapsed="false">
      <c r="A1640" s="1" t="n">
        <v>1925</v>
      </c>
      <c r="B1640" s="30" t="n">
        <v>43344</v>
      </c>
      <c r="C1640" s="30" t="n">
        <v>44762</v>
      </c>
      <c r="D1640" s="31" t="n">
        <f aca="false">VLOOKUP(A1640,'Order Shipping'!$A$2:$C$2000,3,FALSE())</f>
        <v>16.1</v>
      </c>
      <c r="E1640" s="32" t="n">
        <f aca="false">VLOOKUP($A1640,'Order Sales'!$A$2:$G$2154,E$1,FALSE())</f>
        <v>1</v>
      </c>
      <c r="F1640" s="32" t="n">
        <f aca="false">VLOOKUP($A1640,'Order Sales'!$A$2:$G$2154,F$1,FALSE())</f>
        <v>248.96</v>
      </c>
      <c r="G1640" s="32" t="str">
        <f aca="false">VLOOKUP($A1640,'Order Sales'!$A$2:$G$2154,G$1,FALSE())</f>
        <v>Corporate</v>
      </c>
    </row>
    <row r="1641" customFormat="false" ht="14.25" hidden="false" customHeight="false" outlineLevel="0" collapsed="false">
      <c r="A1641" s="1" t="n">
        <v>1066</v>
      </c>
      <c r="B1641" s="30" t="n">
        <v>43167</v>
      </c>
      <c r="C1641" s="30" t="n">
        <v>44763</v>
      </c>
      <c r="D1641" s="31" t="n">
        <f aca="false">VLOOKUP(A1641,'Order Shipping'!$A$2:$C$2000,3,FALSE())</f>
        <v>14.1</v>
      </c>
      <c r="E1641" s="32" t="n">
        <f aca="false">VLOOKUP($A1641,'Order Sales'!$A$2:$G$2154,E$1,FALSE())</f>
        <v>33</v>
      </c>
      <c r="F1641" s="32" t="n">
        <f aca="false">VLOOKUP($A1641,'Order Sales'!$A$2:$G$2154,F$1,FALSE())</f>
        <v>547.66</v>
      </c>
      <c r="G1641" s="32" t="str">
        <f aca="false">VLOOKUP($A1641,'Order Sales'!$A$2:$G$2154,G$1,FALSE())</f>
        <v>Corporate</v>
      </c>
    </row>
    <row r="1642" customFormat="false" ht="14.25" hidden="false" customHeight="false" outlineLevel="0" collapsed="false">
      <c r="A1642" s="1" t="n">
        <v>1289</v>
      </c>
      <c r="B1642" s="30" t="n">
        <v>43344</v>
      </c>
      <c r="C1642" s="30" t="n">
        <v>44764</v>
      </c>
      <c r="D1642" s="31" t="n">
        <f aca="false">VLOOKUP(A1642,'Order Shipping'!$A$2:$C$2000,3,FALSE())</f>
        <v>1.1</v>
      </c>
      <c r="E1642" s="32" t="n">
        <f aca="false">VLOOKUP($A1642,'Order Sales'!$A$2:$G$2154,E$1,FALSE())</f>
        <v>30</v>
      </c>
      <c r="F1642" s="32" t="n">
        <f aca="false">VLOOKUP($A1642,'Order Sales'!$A$2:$G$2154,F$1,FALSE())</f>
        <v>998.19</v>
      </c>
      <c r="G1642" s="32" t="str">
        <f aca="false">VLOOKUP($A1642,'Order Sales'!$A$2:$G$2154,G$1,FALSE())</f>
        <v>Consumer</v>
      </c>
    </row>
    <row r="1643" customFormat="false" ht="14.25" hidden="false" customHeight="false" outlineLevel="0" collapsed="false">
      <c r="A1643" s="1" t="n">
        <v>1554</v>
      </c>
      <c r="B1643" s="30" t="n">
        <v>43194</v>
      </c>
      <c r="C1643" s="30" t="n">
        <v>44765</v>
      </c>
      <c r="D1643" s="31" t="n">
        <f aca="false">VLOOKUP(A1643,'Order Shipping'!$A$2:$C$2000,3,FALSE())</f>
        <v>15</v>
      </c>
      <c r="E1643" s="32" t="n">
        <f aca="false">VLOOKUP($A1643,'Order Sales'!$A$2:$G$2154,E$1,FALSE())</f>
        <v>38</v>
      </c>
      <c r="F1643" s="32" t="n">
        <f aca="false">VLOOKUP($A1643,'Order Sales'!$A$2:$G$2154,F$1,FALSE())</f>
        <v>6199</v>
      </c>
      <c r="G1643" s="32" t="str">
        <f aca="false">VLOOKUP($A1643,'Order Sales'!$A$2:$G$2154,G$1,FALSE())</f>
        <v>Home Office</v>
      </c>
    </row>
    <row r="1644" customFormat="false" ht="14.25" hidden="false" customHeight="false" outlineLevel="0" collapsed="false">
      <c r="A1644" s="1" t="n">
        <v>1466</v>
      </c>
      <c r="B1644" s="30" t="n">
        <v>43352</v>
      </c>
      <c r="C1644" s="30" t="n">
        <v>44766</v>
      </c>
      <c r="D1644" s="31" t="n">
        <f aca="false">VLOOKUP(A1644,'Order Shipping'!$A$2:$C$2000,3,FALSE())</f>
        <v>9.6</v>
      </c>
      <c r="E1644" s="32" t="n">
        <f aca="false">VLOOKUP($A1644,'Order Sales'!$A$2:$G$2154,E$1,FALSE())</f>
        <v>37</v>
      </c>
      <c r="F1644" s="32" t="n">
        <f aca="false">VLOOKUP($A1644,'Order Sales'!$A$2:$G$2154,F$1,FALSE())</f>
        <v>1303.35</v>
      </c>
      <c r="G1644" s="32" t="str">
        <f aca="false">VLOOKUP($A1644,'Order Sales'!$A$2:$G$2154,G$1,FALSE())</f>
        <v>Consumer</v>
      </c>
    </row>
    <row r="1645" customFormat="false" ht="14.25" hidden="false" customHeight="false" outlineLevel="0" collapsed="false">
      <c r="A1645" s="1" t="n">
        <v>1452</v>
      </c>
      <c r="B1645" s="30" t="n">
        <v>43293</v>
      </c>
      <c r="C1645" s="30" t="n">
        <v>44767</v>
      </c>
      <c r="D1645" s="31" t="n">
        <f aca="false">VLOOKUP(A1645,'Order Shipping'!$A$2:$C$2000,3,FALSE())</f>
        <v>1</v>
      </c>
      <c r="E1645" s="32" t="n">
        <f aca="false">VLOOKUP($A1645,'Order Sales'!$A$2:$G$2154,E$1,FALSE())</f>
        <v>31</v>
      </c>
      <c r="F1645" s="32" t="n">
        <f aca="false">VLOOKUP($A1645,'Order Sales'!$A$2:$G$2154,F$1,FALSE())</f>
        <v>132.61</v>
      </c>
      <c r="G1645" s="32" t="str">
        <f aca="false">VLOOKUP($A1645,'Order Sales'!$A$2:$G$2154,G$1,FALSE())</f>
        <v>Home Office</v>
      </c>
    </row>
    <row r="1646" customFormat="false" ht="14.25" hidden="false" customHeight="false" outlineLevel="0" collapsed="false">
      <c r="A1646" s="1" t="n">
        <v>2212</v>
      </c>
      <c r="B1646" s="30" t="n">
        <v>43370</v>
      </c>
      <c r="C1646" s="30" t="n">
        <v>44768</v>
      </c>
      <c r="D1646" s="31" t="n">
        <f aca="false">VLOOKUP(A1646,'Order Shipping'!$A$2:$C$2000,3,FALSE())</f>
        <v>3.1</v>
      </c>
      <c r="E1646" s="32" t="n">
        <f aca="false">VLOOKUP($A1646,'Order Sales'!$A$2:$G$2154,E$1,FALSE())</f>
        <v>40</v>
      </c>
      <c r="F1646" s="32" t="n">
        <f aca="false">VLOOKUP($A1646,'Order Sales'!$A$2:$G$2154,F$1,FALSE())</f>
        <v>883.61</v>
      </c>
      <c r="G1646" s="32" t="str">
        <f aca="false">VLOOKUP($A1646,'Order Sales'!$A$2:$G$2154,G$1,FALSE())</f>
        <v>Small Business</v>
      </c>
    </row>
    <row r="1647" customFormat="false" ht="14.25" hidden="false" customHeight="false" outlineLevel="0" collapsed="false">
      <c r="A1647" s="1" t="n">
        <v>2728</v>
      </c>
      <c r="B1647" s="30" t="n">
        <v>43283</v>
      </c>
      <c r="C1647" s="30" t="n">
        <v>44769</v>
      </c>
      <c r="D1647" s="31" t="n">
        <f aca="false">VLOOKUP(A1647,'Order Shipping'!$A$2:$C$2000,3,FALSE())</f>
        <v>8.6</v>
      </c>
      <c r="E1647" s="32" t="n">
        <f aca="false">VLOOKUP($A1647,'Order Sales'!$A$2:$G$2154,E$1,FALSE())</f>
        <v>6</v>
      </c>
      <c r="F1647" s="32" t="n">
        <f aca="false">VLOOKUP($A1647,'Order Sales'!$A$2:$G$2154,F$1,FALSE())</f>
        <v>675.7</v>
      </c>
      <c r="G1647" s="32" t="str">
        <f aca="false">VLOOKUP($A1647,'Order Sales'!$A$2:$G$2154,G$1,FALSE())</f>
        <v>Corporate</v>
      </c>
    </row>
    <row r="1648" customFormat="false" ht="14.25" hidden="false" customHeight="false" outlineLevel="0" collapsed="false">
      <c r="A1648" s="1" t="n">
        <v>1122</v>
      </c>
      <c r="B1648" s="30" t="n">
        <v>43283</v>
      </c>
      <c r="C1648" s="30" t="n">
        <v>44770</v>
      </c>
      <c r="D1648" s="31" t="n">
        <f aca="false">VLOOKUP(A1648,'Order Shipping'!$A$2:$C$2000,3,FALSE())</f>
        <v>4.3</v>
      </c>
      <c r="E1648" s="32" t="n">
        <f aca="false">VLOOKUP($A1648,'Order Sales'!$A$2:$G$2154,E$1,FALSE())</f>
        <v>7</v>
      </c>
      <c r="F1648" s="32" t="n">
        <f aca="false">VLOOKUP($A1648,'Order Sales'!$A$2:$G$2154,F$1,FALSE())</f>
        <v>136.68</v>
      </c>
      <c r="G1648" s="32" t="str">
        <f aca="false">VLOOKUP($A1648,'Order Sales'!$A$2:$G$2154,G$1,FALSE())</f>
        <v>Consumer</v>
      </c>
    </row>
    <row r="1649" customFormat="false" ht="14.25" hidden="false" customHeight="false" outlineLevel="0" collapsed="false">
      <c r="A1649" s="1" t="n">
        <v>2165</v>
      </c>
      <c r="B1649" s="30" t="n">
        <v>43425</v>
      </c>
      <c r="C1649" s="30" t="n">
        <v>44771</v>
      </c>
      <c r="D1649" s="31" t="n">
        <f aca="false">VLOOKUP(A1649,'Order Shipping'!$A$2:$C$2000,3,FALSE())</f>
        <v>5.9</v>
      </c>
      <c r="E1649" s="32" t="n">
        <f aca="false">VLOOKUP($A1649,'Order Sales'!$A$2:$G$2154,E$1,FALSE())</f>
        <v>15</v>
      </c>
      <c r="F1649" s="32" t="n">
        <f aca="false">VLOOKUP($A1649,'Order Sales'!$A$2:$G$2154,F$1,FALSE())</f>
        <v>115.16</v>
      </c>
      <c r="G1649" s="32" t="str">
        <f aca="false">VLOOKUP($A1649,'Order Sales'!$A$2:$G$2154,G$1,FALSE())</f>
        <v>Home Office</v>
      </c>
    </row>
    <row r="1650" customFormat="false" ht="14.25" hidden="false" customHeight="false" outlineLevel="0" collapsed="false">
      <c r="A1650" s="1" t="n">
        <v>1306</v>
      </c>
      <c r="B1650" s="30" t="n">
        <v>43310</v>
      </c>
      <c r="C1650" s="30" t="n">
        <v>44772</v>
      </c>
      <c r="D1650" s="31" t="n">
        <f aca="false">VLOOKUP(A1650,'Order Shipping'!$A$2:$C$2000,3,FALSE())</f>
        <v>7.7</v>
      </c>
      <c r="E1650" s="32" t="n">
        <f aca="false">VLOOKUP($A1650,'Order Sales'!$A$2:$G$2154,E$1,FALSE())</f>
        <v>40</v>
      </c>
      <c r="F1650" s="32" t="n">
        <f aca="false">VLOOKUP($A1650,'Order Sales'!$A$2:$G$2154,F$1,FALSE())</f>
        <v>465.04</v>
      </c>
      <c r="G1650" s="32" t="str">
        <f aca="false">VLOOKUP($A1650,'Order Sales'!$A$2:$G$2154,G$1,FALSE())</f>
        <v>Corporate</v>
      </c>
    </row>
    <row r="1651" customFormat="false" ht="14.25" hidden="false" customHeight="false" outlineLevel="0" collapsed="false">
      <c r="A1651" s="1" t="n">
        <v>1352</v>
      </c>
      <c r="B1651" s="30" t="n">
        <v>43101</v>
      </c>
      <c r="C1651" s="30" t="n">
        <v>44773</v>
      </c>
      <c r="D1651" s="31" t="n">
        <f aca="false">VLOOKUP(A1651,'Order Shipping'!$A$2:$C$2000,3,FALSE())</f>
        <v>1.1</v>
      </c>
      <c r="E1651" s="32" t="n">
        <f aca="false">VLOOKUP($A1651,'Order Sales'!$A$2:$G$2154,E$1,FALSE())</f>
        <v>24</v>
      </c>
      <c r="F1651" s="32" t="n">
        <f aca="false">VLOOKUP($A1651,'Order Sales'!$A$2:$G$2154,F$1,FALSE())</f>
        <v>148.46</v>
      </c>
      <c r="G1651" s="32" t="str">
        <f aca="false">VLOOKUP($A1651,'Order Sales'!$A$2:$G$2154,G$1,FALSE())</f>
        <v>Corporate</v>
      </c>
    </row>
    <row r="1652" customFormat="false" ht="14.25" hidden="false" customHeight="false" outlineLevel="0" collapsed="false">
      <c r="A1652" s="1" t="n">
        <v>2612</v>
      </c>
      <c r="B1652" s="30" t="n">
        <v>43251</v>
      </c>
      <c r="C1652" s="30" t="n">
        <v>44774</v>
      </c>
      <c r="D1652" s="31" t="n">
        <f aca="false">VLOOKUP(A1652,'Order Shipping'!$A$2:$C$2000,3,FALSE())</f>
        <v>64.2</v>
      </c>
      <c r="E1652" s="32" t="n">
        <f aca="false">VLOOKUP($A1652,'Order Sales'!$A$2:$G$2154,E$1,FALSE())</f>
        <v>23</v>
      </c>
      <c r="F1652" s="32" t="n">
        <f aca="false">VLOOKUP($A1652,'Order Sales'!$A$2:$G$2154,F$1,FALSE())</f>
        <v>1757.44</v>
      </c>
      <c r="G1652" s="32" t="str">
        <f aca="false">VLOOKUP($A1652,'Order Sales'!$A$2:$G$2154,G$1,FALSE())</f>
        <v>Home Office</v>
      </c>
    </row>
    <row r="1653" customFormat="false" ht="14.25" hidden="false" customHeight="false" outlineLevel="0" collapsed="false">
      <c r="A1653" s="1" t="n">
        <v>2286</v>
      </c>
      <c r="B1653" s="30" t="n">
        <v>43401</v>
      </c>
      <c r="C1653" s="30" t="n">
        <v>44775</v>
      </c>
      <c r="D1653" s="31" t="n">
        <f aca="false">VLOOKUP(A1653,'Order Shipping'!$A$2:$C$2000,3,FALSE())</f>
        <v>1.3</v>
      </c>
      <c r="E1653" s="32" t="n">
        <f aca="false">VLOOKUP($A1653,'Order Sales'!$A$2:$G$2154,E$1,FALSE())</f>
        <v>23</v>
      </c>
      <c r="F1653" s="32" t="n">
        <f aca="false">VLOOKUP($A1653,'Order Sales'!$A$2:$G$2154,F$1,FALSE())</f>
        <v>714.76</v>
      </c>
      <c r="G1653" s="32" t="str">
        <f aca="false">VLOOKUP($A1653,'Order Sales'!$A$2:$G$2154,G$1,FALSE())</f>
        <v>Small Business</v>
      </c>
    </row>
    <row r="1654" customFormat="false" ht="14.25" hidden="false" customHeight="false" outlineLevel="0" collapsed="false">
      <c r="A1654" s="1" t="n">
        <v>2198</v>
      </c>
      <c r="B1654" s="30" t="n">
        <v>43331</v>
      </c>
      <c r="C1654" s="30" t="n">
        <v>44776</v>
      </c>
      <c r="D1654" s="31" t="n">
        <f aca="false">VLOOKUP(A1654,'Order Shipping'!$A$2:$C$2000,3,FALSE())</f>
        <v>9.3</v>
      </c>
      <c r="E1654" s="32" t="n">
        <f aca="false">VLOOKUP($A1654,'Order Sales'!$A$2:$G$2154,E$1,FALSE())</f>
        <v>6</v>
      </c>
      <c r="F1654" s="32" t="n">
        <f aca="false">VLOOKUP($A1654,'Order Sales'!$A$2:$G$2154,F$1,FALSE())</f>
        <v>137.56</v>
      </c>
      <c r="G1654" s="32" t="str">
        <f aca="false">VLOOKUP($A1654,'Order Sales'!$A$2:$G$2154,G$1,FALSE())</f>
        <v>Consumer</v>
      </c>
    </row>
    <row r="1655" customFormat="false" ht="14.25" hidden="false" customHeight="false" outlineLevel="0" collapsed="false">
      <c r="A1655" s="1" t="n">
        <v>2568</v>
      </c>
      <c r="B1655" s="30" t="n">
        <v>43205</v>
      </c>
      <c r="C1655" s="30" t="n">
        <v>44777</v>
      </c>
      <c r="D1655" s="31" t="n">
        <f aca="false">VLOOKUP(A1655,'Order Shipping'!$A$2:$C$2000,3,FALSE())</f>
        <v>1.6</v>
      </c>
      <c r="E1655" s="32" t="n">
        <f aca="false">VLOOKUP($A1655,'Order Sales'!$A$2:$G$2154,E$1,FALSE())</f>
        <v>7</v>
      </c>
      <c r="F1655" s="32" t="n">
        <f aca="false">VLOOKUP($A1655,'Order Sales'!$A$2:$G$2154,F$1,FALSE())</f>
        <v>29.95</v>
      </c>
      <c r="G1655" s="32" t="str">
        <f aca="false">VLOOKUP($A1655,'Order Sales'!$A$2:$G$2154,G$1,FALSE())</f>
        <v>Corporate</v>
      </c>
    </row>
    <row r="1656" customFormat="false" ht="14.25" hidden="false" customHeight="false" outlineLevel="0" collapsed="false">
      <c r="A1656" s="1" t="n">
        <v>2814</v>
      </c>
      <c r="B1656" s="30" t="n">
        <v>43154</v>
      </c>
      <c r="C1656" s="30" t="n">
        <v>44778</v>
      </c>
      <c r="D1656" s="31" t="n">
        <f aca="false">VLOOKUP(A1656,'Order Shipping'!$A$2:$C$2000,3,FALSE())</f>
        <v>18.1</v>
      </c>
      <c r="E1656" s="32" t="n">
        <f aca="false">VLOOKUP($A1656,'Order Sales'!$A$2:$G$2154,E$1,FALSE())</f>
        <v>7</v>
      </c>
      <c r="F1656" s="32" t="n">
        <f aca="false">VLOOKUP($A1656,'Order Sales'!$A$2:$G$2154,F$1,FALSE())</f>
        <v>181.92</v>
      </c>
      <c r="G1656" s="32" t="str">
        <f aca="false">VLOOKUP($A1656,'Order Sales'!$A$2:$G$2154,G$1,FALSE())</f>
        <v>Home Office</v>
      </c>
    </row>
    <row r="1657" customFormat="false" ht="14.25" hidden="false" customHeight="false" outlineLevel="0" collapsed="false">
      <c r="A1657" s="1" t="n">
        <v>1927</v>
      </c>
      <c r="B1657" s="30" t="n">
        <v>43357</v>
      </c>
      <c r="C1657" s="30" t="n">
        <v>44779</v>
      </c>
      <c r="D1657" s="31" t="n">
        <f aca="false">VLOOKUP(A1657,'Order Shipping'!$A$2:$C$2000,3,FALSE())</f>
        <v>2.7</v>
      </c>
      <c r="E1657" s="32" t="n">
        <f aca="false">VLOOKUP($A1657,'Order Sales'!$A$2:$G$2154,E$1,FALSE())</f>
        <v>47</v>
      </c>
      <c r="F1657" s="32" t="n">
        <f aca="false">VLOOKUP($A1657,'Order Sales'!$A$2:$G$2154,F$1,FALSE())</f>
        <v>193.81</v>
      </c>
      <c r="G1657" s="32" t="str">
        <f aca="false">VLOOKUP($A1657,'Order Sales'!$A$2:$G$2154,G$1,FALSE())</f>
        <v>Small Business</v>
      </c>
    </row>
    <row r="1658" customFormat="false" ht="14.25" hidden="false" customHeight="false" outlineLevel="0" collapsed="false">
      <c r="A1658" s="1" t="n">
        <v>1742</v>
      </c>
      <c r="B1658" s="30" t="n">
        <v>43443</v>
      </c>
      <c r="C1658" s="30" t="n">
        <v>44780</v>
      </c>
      <c r="D1658" s="31" t="n">
        <f aca="false">VLOOKUP(A1658,'Order Shipping'!$A$2:$C$2000,3,FALSE())</f>
        <v>32.1</v>
      </c>
      <c r="E1658" s="32" t="n">
        <f aca="false">VLOOKUP($A1658,'Order Sales'!$A$2:$G$2154,E$1,FALSE())</f>
        <v>45</v>
      </c>
      <c r="F1658" s="32" t="n">
        <f aca="false">VLOOKUP($A1658,'Order Sales'!$A$2:$G$2154,F$1,FALSE())</f>
        <v>6336.26</v>
      </c>
      <c r="G1658" s="32" t="str">
        <f aca="false">VLOOKUP($A1658,'Order Sales'!$A$2:$G$2154,G$1,FALSE())</f>
        <v>Home Office</v>
      </c>
    </row>
    <row r="1659" customFormat="false" ht="14.25" hidden="false" customHeight="false" outlineLevel="0" collapsed="false">
      <c r="A1659" s="1" t="n">
        <v>1299</v>
      </c>
      <c r="B1659" s="30" t="n">
        <v>43102</v>
      </c>
      <c r="C1659" s="30" t="n">
        <v>44781</v>
      </c>
      <c r="D1659" s="31" t="n">
        <f aca="false">VLOOKUP(A1659,'Order Shipping'!$A$2:$C$2000,3,FALSE())</f>
        <v>52.4</v>
      </c>
      <c r="E1659" s="32" t="n">
        <f aca="false">VLOOKUP($A1659,'Order Sales'!$A$2:$G$2154,E$1,FALSE())</f>
        <v>9</v>
      </c>
      <c r="F1659" s="32" t="n">
        <f aca="false">VLOOKUP($A1659,'Order Sales'!$A$2:$G$2154,F$1,FALSE())</f>
        <v>85.21</v>
      </c>
      <c r="G1659" s="32" t="str">
        <f aca="false">VLOOKUP($A1659,'Order Sales'!$A$2:$G$2154,G$1,FALSE())</f>
        <v>Consumer</v>
      </c>
    </row>
    <row r="1660" customFormat="false" ht="14.25" hidden="false" customHeight="false" outlineLevel="0" collapsed="false">
      <c r="A1660" s="1" t="n">
        <v>2585</v>
      </c>
      <c r="B1660" s="30" t="n">
        <v>43242</v>
      </c>
      <c r="C1660" s="30" t="n">
        <v>44782</v>
      </c>
      <c r="D1660" s="31" t="n">
        <f aca="false">VLOOKUP(A1660,'Order Shipping'!$A$2:$C$2000,3,FALSE())</f>
        <v>9.6</v>
      </c>
      <c r="E1660" s="32" t="n">
        <f aca="false">VLOOKUP($A1660,'Order Sales'!$A$2:$G$2154,E$1,FALSE())</f>
        <v>39</v>
      </c>
      <c r="F1660" s="32" t="n">
        <f aca="false">VLOOKUP($A1660,'Order Sales'!$A$2:$G$2154,F$1,FALSE())</f>
        <v>6452.72</v>
      </c>
      <c r="G1660" s="32" t="str">
        <f aca="false">VLOOKUP($A1660,'Order Sales'!$A$2:$G$2154,G$1,FALSE())</f>
        <v>Home Office</v>
      </c>
    </row>
    <row r="1661" customFormat="false" ht="14.25" hidden="false" customHeight="false" outlineLevel="0" collapsed="false">
      <c r="A1661" s="1" t="n">
        <v>2107</v>
      </c>
      <c r="B1661" s="30" t="n">
        <v>43221</v>
      </c>
      <c r="C1661" s="30" t="n">
        <v>44783</v>
      </c>
      <c r="D1661" s="31" t="n">
        <f aca="false">VLOOKUP(A1661,'Order Shipping'!$A$2:$C$2000,3,FALSE())</f>
        <v>1.5</v>
      </c>
      <c r="E1661" s="32" t="n">
        <f aca="false">VLOOKUP($A1661,'Order Sales'!$A$2:$G$2154,E$1,FALSE())</f>
        <v>8</v>
      </c>
      <c r="F1661" s="32" t="n">
        <f aca="false">VLOOKUP($A1661,'Order Sales'!$A$2:$G$2154,F$1,FALSE())</f>
        <v>47.68</v>
      </c>
      <c r="G1661" s="32" t="str">
        <f aca="false">VLOOKUP($A1661,'Order Sales'!$A$2:$G$2154,G$1,FALSE())</f>
        <v>Corporate</v>
      </c>
    </row>
    <row r="1662" customFormat="false" ht="14.25" hidden="false" customHeight="false" outlineLevel="0" collapsed="false">
      <c r="A1662" s="1" t="n">
        <v>1711</v>
      </c>
      <c r="B1662" s="30" t="n">
        <v>43421</v>
      </c>
      <c r="C1662" s="30" t="n">
        <v>44784</v>
      </c>
      <c r="D1662" s="31" t="n">
        <f aca="false">VLOOKUP(A1662,'Order Shipping'!$A$2:$C$2000,3,FALSE())</f>
        <v>6.1</v>
      </c>
      <c r="E1662" s="32" t="n">
        <f aca="false">VLOOKUP($A1662,'Order Sales'!$A$2:$G$2154,E$1,FALSE())</f>
        <v>42</v>
      </c>
      <c r="F1662" s="32" t="n">
        <f aca="false">VLOOKUP($A1662,'Order Sales'!$A$2:$G$2154,F$1,FALSE())</f>
        <v>429.47</v>
      </c>
      <c r="G1662" s="32" t="str">
        <f aca="false">VLOOKUP($A1662,'Order Sales'!$A$2:$G$2154,G$1,FALSE())</f>
        <v>Corporate</v>
      </c>
    </row>
    <row r="1663" customFormat="false" ht="14.25" hidden="false" customHeight="false" outlineLevel="0" collapsed="false">
      <c r="A1663" s="1" t="n">
        <v>1928</v>
      </c>
      <c r="B1663" s="30" t="n">
        <v>43162</v>
      </c>
      <c r="C1663" s="30" t="n">
        <v>44785</v>
      </c>
      <c r="D1663" s="31" t="n">
        <f aca="false">VLOOKUP(A1663,'Order Shipping'!$A$2:$C$2000,3,FALSE())</f>
        <v>14.1</v>
      </c>
      <c r="E1663" s="32" t="n">
        <f aca="false">VLOOKUP($A1663,'Order Sales'!$A$2:$G$2154,E$1,FALSE())</f>
        <v>4</v>
      </c>
      <c r="F1663" s="32" t="n">
        <f aca="false">VLOOKUP($A1663,'Order Sales'!$A$2:$G$2154,F$1,FALSE())</f>
        <v>79.07</v>
      </c>
      <c r="G1663" s="32" t="str">
        <f aca="false">VLOOKUP($A1663,'Order Sales'!$A$2:$G$2154,G$1,FALSE())</f>
        <v>Small Business</v>
      </c>
    </row>
    <row r="1664" customFormat="false" ht="14.25" hidden="false" customHeight="false" outlineLevel="0" collapsed="false">
      <c r="A1664" s="1" t="n">
        <v>1317</v>
      </c>
      <c r="B1664" s="30" t="n">
        <v>43441</v>
      </c>
      <c r="C1664" s="30" t="n">
        <v>44786</v>
      </c>
      <c r="D1664" s="31" t="n">
        <f aca="false">VLOOKUP(A1664,'Order Shipping'!$A$2:$C$2000,3,FALSE())</f>
        <v>0.5</v>
      </c>
      <c r="E1664" s="32" t="n">
        <f aca="false">VLOOKUP($A1664,'Order Sales'!$A$2:$G$2154,E$1,FALSE())</f>
        <v>4</v>
      </c>
      <c r="F1664" s="32" t="n">
        <f aca="false">VLOOKUP($A1664,'Order Sales'!$A$2:$G$2154,F$1,FALSE())</f>
        <v>19.75</v>
      </c>
      <c r="G1664" s="32" t="str">
        <f aca="false">VLOOKUP($A1664,'Order Sales'!$A$2:$G$2154,G$1,FALSE())</f>
        <v>Consumer</v>
      </c>
    </row>
    <row r="1665" customFormat="false" ht="14.25" hidden="false" customHeight="false" outlineLevel="0" collapsed="false">
      <c r="A1665" s="1" t="n">
        <v>2437</v>
      </c>
      <c r="B1665" s="30" t="n">
        <v>43290</v>
      </c>
      <c r="C1665" s="30" t="n">
        <v>44787</v>
      </c>
      <c r="D1665" s="31" t="n">
        <f aca="false">VLOOKUP(A1665,'Order Shipping'!$A$2:$C$2000,3,FALSE())</f>
        <v>26.2</v>
      </c>
      <c r="E1665" s="32" t="n">
        <f aca="false">VLOOKUP($A1665,'Order Sales'!$A$2:$G$2154,E$1,FALSE())</f>
        <v>33</v>
      </c>
      <c r="F1665" s="32" t="n">
        <f aca="false">VLOOKUP($A1665,'Order Sales'!$A$2:$G$2154,F$1,FALSE())</f>
        <v>6381.68</v>
      </c>
      <c r="G1665" s="32" t="str">
        <f aca="false">VLOOKUP($A1665,'Order Sales'!$A$2:$G$2154,G$1,FALSE())</f>
        <v>Consumer</v>
      </c>
    </row>
    <row r="1666" customFormat="false" ht="14.25" hidden="false" customHeight="false" outlineLevel="0" collapsed="false">
      <c r="A1666" s="1" t="n">
        <v>2371</v>
      </c>
      <c r="B1666" s="30" t="n">
        <v>43109</v>
      </c>
      <c r="C1666" s="30" t="n">
        <v>44788</v>
      </c>
      <c r="D1666" s="31" t="n">
        <f aca="false">VLOOKUP(A1666,'Order Shipping'!$A$2:$C$2000,3,FALSE())</f>
        <v>6.2</v>
      </c>
      <c r="E1666" s="32" t="n">
        <f aca="false">VLOOKUP($A1666,'Order Sales'!$A$2:$G$2154,E$1,FALSE())</f>
        <v>17</v>
      </c>
      <c r="F1666" s="32" t="n">
        <f aca="false">VLOOKUP($A1666,'Order Sales'!$A$2:$G$2154,F$1,FALSE())</f>
        <v>1907.47</v>
      </c>
      <c r="G1666" s="32" t="str">
        <f aca="false">VLOOKUP($A1666,'Order Sales'!$A$2:$G$2154,G$1,FALSE())</f>
        <v>Corporate</v>
      </c>
    </row>
    <row r="1667" customFormat="false" ht="14.25" hidden="false" customHeight="false" outlineLevel="0" collapsed="false">
      <c r="A1667" s="1" t="n">
        <v>2840</v>
      </c>
      <c r="B1667" s="30" t="n">
        <v>43226</v>
      </c>
      <c r="C1667" s="30" t="n">
        <v>44789</v>
      </c>
      <c r="D1667" s="31" t="n">
        <f aca="false">VLOOKUP(A1667,'Order Shipping'!$A$2:$C$2000,3,FALSE())</f>
        <v>6.4</v>
      </c>
      <c r="E1667" s="32" t="n">
        <f aca="false">VLOOKUP($A1667,'Order Sales'!$A$2:$G$2154,E$1,FALSE())</f>
        <v>43</v>
      </c>
      <c r="F1667" s="32" t="n">
        <f aca="false">VLOOKUP($A1667,'Order Sales'!$A$2:$G$2154,F$1,FALSE())</f>
        <v>562.57</v>
      </c>
      <c r="G1667" s="32" t="str">
        <f aca="false">VLOOKUP($A1667,'Order Sales'!$A$2:$G$2154,G$1,FALSE())</f>
        <v>Small Business</v>
      </c>
    </row>
    <row r="1668" customFormat="false" ht="14.25" hidden="false" customHeight="false" outlineLevel="0" collapsed="false">
      <c r="A1668" s="1" t="n">
        <v>1259</v>
      </c>
      <c r="B1668" s="30" t="n">
        <v>43105</v>
      </c>
      <c r="C1668" s="30" t="n">
        <v>44790</v>
      </c>
      <c r="D1668" s="31" t="n">
        <f aca="false">VLOOKUP(A1668,'Order Shipping'!$A$2:$C$2000,3,FALSE())</f>
        <v>11.9</v>
      </c>
      <c r="E1668" s="32" t="n">
        <f aca="false">VLOOKUP($A1668,'Order Sales'!$A$2:$G$2154,E$1,FALSE())</f>
        <v>5</v>
      </c>
      <c r="F1668" s="32" t="n">
        <f aca="false">VLOOKUP($A1668,'Order Sales'!$A$2:$G$2154,F$1,FALSE())</f>
        <v>54.89</v>
      </c>
      <c r="G1668" s="32" t="str">
        <f aca="false">VLOOKUP($A1668,'Order Sales'!$A$2:$G$2154,G$1,FALSE())</f>
        <v>Consumer</v>
      </c>
    </row>
    <row r="1669" customFormat="false" ht="14.25" hidden="false" customHeight="false" outlineLevel="0" collapsed="false">
      <c r="A1669" s="1" t="n">
        <v>1330</v>
      </c>
      <c r="B1669" s="30" t="n">
        <v>43101</v>
      </c>
      <c r="C1669" s="30" t="n">
        <v>44791</v>
      </c>
      <c r="D1669" s="31" t="n">
        <f aca="false">VLOOKUP(A1669,'Order Shipping'!$A$2:$C$2000,3,FALSE())</f>
        <v>32.1</v>
      </c>
      <c r="E1669" s="32" t="n">
        <f aca="false">VLOOKUP($A1669,'Order Sales'!$A$2:$G$2154,E$1,FALSE())</f>
        <v>1</v>
      </c>
      <c r="F1669" s="32" t="n">
        <f aca="false">VLOOKUP($A1669,'Order Sales'!$A$2:$G$2154,F$1,FALSE())</f>
        <v>205.96</v>
      </c>
      <c r="G1669" s="32" t="str">
        <f aca="false">VLOOKUP($A1669,'Order Sales'!$A$2:$G$2154,G$1,FALSE())</f>
        <v>Corporate</v>
      </c>
    </row>
    <row r="1670" customFormat="false" ht="14.25" hidden="false" customHeight="false" outlineLevel="0" collapsed="false">
      <c r="A1670" s="1" t="n">
        <v>1621</v>
      </c>
      <c r="B1670" s="30" t="n">
        <v>43285</v>
      </c>
      <c r="C1670" s="30" t="n">
        <v>44792</v>
      </c>
      <c r="D1670" s="31" t="n">
        <f aca="false">VLOOKUP(A1670,'Order Shipping'!$A$2:$C$2000,3,FALSE())</f>
        <v>1</v>
      </c>
      <c r="E1670" s="32" t="n">
        <f aca="false">VLOOKUP($A1670,'Order Sales'!$A$2:$G$2154,E$1,FALSE())</f>
        <v>41</v>
      </c>
      <c r="F1670" s="32" t="n">
        <f aca="false">VLOOKUP($A1670,'Order Sales'!$A$2:$G$2154,F$1,FALSE())</f>
        <v>265.47</v>
      </c>
      <c r="G1670" s="32" t="str">
        <f aca="false">VLOOKUP($A1670,'Order Sales'!$A$2:$G$2154,G$1,FALSE())</f>
        <v>Home Office</v>
      </c>
    </row>
    <row r="1671" customFormat="false" ht="14.25" hidden="false" customHeight="false" outlineLevel="0" collapsed="false">
      <c r="A1671" s="1" t="n">
        <v>1044</v>
      </c>
      <c r="B1671" s="30" t="n">
        <v>43103</v>
      </c>
      <c r="C1671" s="30" t="n">
        <v>44793</v>
      </c>
      <c r="D1671" s="31" t="n">
        <f aca="false">VLOOKUP(A1671,'Order Shipping'!$A$2:$C$2000,3,FALSE())</f>
        <v>6</v>
      </c>
      <c r="E1671" s="32" t="n">
        <f aca="false">VLOOKUP($A1671,'Order Sales'!$A$2:$G$2154,E$1,FALSE())</f>
        <v>33</v>
      </c>
      <c r="F1671" s="32" t="n">
        <f aca="false">VLOOKUP($A1671,'Order Sales'!$A$2:$G$2154,F$1,FALSE())</f>
        <v>405.1</v>
      </c>
      <c r="G1671" s="32" t="str">
        <f aca="false">VLOOKUP($A1671,'Order Sales'!$A$2:$G$2154,G$1,FALSE())</f>
        <v>Corporate</v>
      </c>
    </row>
    <row r="1672" customFormat="false" ht="14.25" hidden="false" customHeight="false" outlineLevel="0" collapsed="false">
      <c r="A1672" s="1" t="n">
        <v>1213</v>
      </c>
      <c r="B1672" s="30" t="n">
        <v>43331</v>
      </c>
      <c r="C1672" s="30" t="n">
        <v>44794</v>
      </c>
      <c r="D1672" s="31" t="n">
        <f aca="false">VLOOKUP(A1672,'Order Shipping'!$A$2:$C$2000,3,FALSE())</f>
        <v>5.5</v>
      </c>
      <c r="E1672" s="32" t="n">
        <f aca="false">VLOOKUP($A1672,'Order Sales'!$A$2:$G$2154,E$1,FALSE())</f>
        <v>30</v>
      </c>
      <c r="F1672" s="32" t="n">
        <f aca="false">VLOOKUP($A1672,'Order Sales'!$A$2:$G$2154,F$1,FALSE())</f>
        <v>328.4</v>
      </c>
      <c r="G1672" s="32" t="str">
        <f aca="false">VLOOKUP($A1672,'Order Sales'!$A$2:$G$2154,G$1,FALSE())</f>
        <v>Home Office</v>
      </c>
    </row>
    <row r="1673" customFormat="false" ht="14.25" hidden="false" customHeight="false" outlineLevel="0" collapsed="false">
      <c r="A1673" s="1" t="n">
        <v>2407</v>
      </c>
      <c r="B1673" s="30" t="n">
        <v>43179</v>
      </c>
      <c r="C1673" s="30" t="n">
        <v>44795</v>
      </c>
      <c r="D1673" s="31" t="n">
        <f aca="false">VLOOKUP(A1673,'Order Shipping'!$A$2:$C$2000,3,FALSE())</f>
        <v>0.5</v>
      </c>
      <c r="E1673" s="32" t="n">
        <f aca="false">VLOOKUP($A1673,'Order Sales'!$A$2:$G$2154,E$1,FALSE())</f>
        <v>46</v>
      </c>
      <c r="F1673" s="32" t="n">
        <f aca="false">VLOOKUP($A1673,'Order Sales'!$A$2:$G$2154,F$1,FALSE())</f>
        <v>118.73</v>
      </c>
      <c r="G1673" s="32" t="str">
        <f aca="false">VLOOKUP($A1673,'Order Sales'!$A$2:$G$2154,G$1,FALSE())</f>
        <v>Small Business</v>
      </c>
    </row>
    <row r="1674" customFormat="false" ht="14.25" hidden="false" customHeight="false" outlineLevel="0" collapsed="false">
      <c r="A1674" s="1" t="n">
        <v>1730</v>
      </c>
      <c r="B1674" s="30" t="n">
        <v>43161</v>
      </c>
      <c r="C1674" s="30" t="n">
        <v>44796</v>
      </c>
      <c r="D1674" s="31" t="n">
        <f aca="false">VLOOKUP(A1674,'Order Shipping'!$A$2:$C$2000,3,FALSE())</f>
        <v>1.1</v>
      </c>
      <c r="E1674" s="32" t="n">
        <f aca="false">VLOOKUP($A1674,'Order Sales'!$A$2:$G$2154,E$1,FALSE())</f>
        <v>44</v>
      </c>
      <c r="F1674" s="32" t="n">
        <f aca="false">VLOOKUP($A1674,'Order Sales'!$A$2:$G$2154,F$1,FALSE())</f>
        <v>853.84</v>
      </c>
      <c r="G1674" s="32" t="str">
        <f aca="false">VLOOKUP($A1674,'Order Sales'!$A$2:$G$2154,G$1,FALSE())</f>
        <v>Home Office</v>
      </c>
    </row>
    <row r="1675" customFormat="false" ht="14.25" hidden="false" customHeight="false" outlineLevel="0" collapsed="false">
      <c r="A1675" s="1" t="n">
        <v>2694</v>
      </c>
      <c r="B1675" s="30" t="n">
        <v>43410</v>
      </c>
      <c r="C1675" s="30" t="n">
        <v>44797</v>
      </c>
      <c r="D1675" s="31" t="n">
        <f aca="false">VLOOKUP(A1675,'Order Shipping'!$A$2:$C$2000,3,FALSE())</f>
        <v>8.8</v>
      </c>
      <c r="E1675" s="32" t="n">
        <f aca="false">VLOOKUP($A1675,'Order Sales'!$A$2:$G$2154,E$1,FALSE())</f>
        <v>46</v>
      </c>
      <c r="F1675" s="32" t="n">
        <f aca="false">VLOOKUP($A1675,'Order Sales'!$A$2:$G$2154,F$1,FALSE())</f>
        <v>1565.7</v>
      </c>
      <c r="G1675" s="32" t="str">
        <f aca="false">VLOOKUP($A1675,'Order Sales'!$A$2:$G$2154,G$1,FALSE())</f>
        <v>Home Office</v>
      </c>
    </row>
    <row r="1676" customFormat="false" ht="14.25" hidden="false" customHeight="false" outlineLevel="0" collapsed="false">
      <c r="A1676" s="1" t="n">
        <v>2601</v>
      </c>
      <c r="B1676" s="30" t="n">
        <v>43290</v>
      </c>
      <c r="C1676" s="30" t="n">
        <v>44798</v>
      </c>
      <c r="D1676" s="31" t="n">
        <f aca="false">VLOOKUP(A1676,'Order Shipping'!$A$2:$C$2000,3,FALSE())</f>
        <v>32.1</v>
      </c>
      <c r="E1676" s="32" t="n">
        <f aca="false">VLOOKUP($A1676,'Order Sales'!$A$2:$G$2154,E$1,FALSE())</f>
        <v>33</v>
      </c>
      <c r="F1676" s="32" t="n">
        <f aca="false">VLOOKUP($A1676,'Order Sales'!$A$2:$G$2154,F$1,FALSE())</f>
        <v>6057.36</v>
      </c>
      <c r="G1676" s="32" t="str">
        <f aca="false">VLOOKUP($A1676,'Order Sales'!$A$2:$G$2154,G$1,FALSE())</f>
        <v>Corporate</v>
      </c>
    </row>
    <row r="1677" customFormat="false" ht="14.25" hidden="false" customHeight="false" outlineLevel="0" collapsed="false">
      <c r="A1677" s="1" t="n">
        <v>2865</v>
      </c>
      <c r="B1677" s="30" t="n">
        <v>43351</v>
      </c>
      <c r="C1677" s="30" t="n">
        <v>44799</v>
      </c>
      <c r="D1677" s="31" t="n">
        <f aca="false">VLOOKUP(A1677,'Order Shipping'!$A$2:$C$2000,3,FALSE())</f>
        <v>6.1</v>
      </c>
      <c r="E1677" s="32" t="n">
        <f aca="false">VLOOKUP($A1677,'Order Sales'!$A$2:$G$2154,E$1,FALSE())</f>
        <v>49</v>
      </c>
      <c r="F1677" s="32" t="n">
        <f aca="false">VLOOKUP($A1677,'Order Sales'!$A$2:$G$2154,F$1,FALSE())</f>
        <v>284.94</v>
      </c>
      <c r="G1677" s="32" t="str">
        <f aca="false">VLOOKUP($A1677,'Order Sales'!$A$2:$G$2154,G$1,FALSE())</f>
        <v>Home Office</v>
      </c>
    </row>
    <row r="1678" customFormat="false" ht="14.25" hidden="false" customHeight="false" outlineLevel="0" collapsed="false">
      <c r="A1678" s="1" t="n">
        <v>2438</v>
      </c>
      <c r="B1678" s="30" t="n">
        <v>43290</v>
      </c>
      <c r="C1678" s="30" t="n">
        <v>44800</v>
      </c>
      <c r="D1678" s="31" t="n">
        <f aca="false">VLOOKUP(A1678,'Order Shipping'!$A$2:$C$2000,3,FALSE())</f>
        <v>7.9</v>
      </c>
      <c r="E1678" s="32" t="n">
        <f aca="false">VLOOKUP($A1678,'Order Sales'!$A$2:$G$2154,E$1,FALSE())</f>
        <v>15</v>
      </c>
      <c r="F1678" s="32" t="n">
        <f aca="false">VLOOKUP($A1678,'Order Sales'!$A$2:$G$2154,F$1,FALSE())</f>
        <v>116.84</v>
      </c>
      <c r="G1678" s="32" t="str">
        <f aca="false">VLOOKUP($A1678,'Order Sales'!$A$2:$G$2154,G$1,FALSE())</f>
        <v>Consumer</v>
      </c>
    </row>
    <row r="1679" customFormat="false" ht="14.25" hidden="false" customHeight="false" outlineLevel="0" collapsed="false">
      <c r="A1679" s="1" t="n">
        <v>1396</v>
      </c>
      <c r="B1679" s="30" t="n">
        <v>43136</v>
      </c>
      <c r="C1679" s="30" t="n">
        <v>44801</v>
      </c>
      <c r="D1679" s="31" t="n">
        <f aca="false">VLOOKUP(A1679,'Order Shipping'!$A$2:$C$2000,3,FALSE())</f>
        <v>8.6</v>
      </c>
      <c r="E1679" s="32" t="n">
        <f aca="false">VLOOKUP($A1679,'Order Sales'!$A$2:$G$2154,E$1,FALSE())</f>
        <v>27</v>
      </c>
      <c r="F1679" s="32" t="n">
        <f aca="false">VLOOKUP($A1679,'Order Sales'!$A$2:$G$2154,F$1,FALSE())</f>
        <v>4752.99</v>
      </c>
      <c r="G1679" s="32" t="str">
        <f aca="false">VLOOKUP($A1679,'Order Sales'!$A$2:$G$2154,G$1,FALSE())</f>
        <v>Small Business</v>
      </c>
    </row>
    <row r="1680" customFormat="false" ht="14.25" hidden="false" customHeight="false" outlineLevel="0" collapsed="false">
      <c r="A1680" s="1" t="n">
        <v>2579</v>
      </c>
      <c r="B1680" s="30" t="n">
        <v>43450</v>
      </c>
      <c r="C1680" s="30" t="n">
        <v>44802</v>
      </c>
      <c r="D1680" s="31" t="n">
        <f aca="false">VLOOKUP(A1680,'Order Shipping'!$A$2:$C$2000,3,FALSE())</f>
        <v>0.5</v>
      </c>
      <c r="E1680" s="32" t="n">
        <f aca="false">VLOOKUP($A1680,'Order Sales'!$A$2:$G$2154,E$1,FALSE())</f>
        <v>35</v>
      </c>
      <c r="F1680" s="32" t="n">
        <f aca="false">VLOOKUP($A1680,'Order Sales'!$A$2:$G$2154,F$1,FALSE())</f>
        <v>185.35</v>
      </c>
      <c r="G1680" s="32" t="str">
        <f aca="false">VLOOKUP($A1680,'Order Sales'!$A$2:$G$2154,G$1,FALSE())</f>
        <v>Consumer</v>
      </c>
    </row>
    <row r="1681" customFormat="false" ht="14.25" hidden="false" customHeight="false" outlineLevel="0" collapsed="false">
      <c r="A1681" s="1" t="n">
        <v>2219</v>
      </c>
      <c r="B1681" s="30" t="n">
        <v>43266</v>
      </c>
      <c r="C1681" s="30" t="n">
        <v>44803</v>
      </c>
      <c r="D1681" s="31" t="n">
        <f aca="false">VLOOKUP(A1681,'Order Shipping'!$A$2:$C$2000,3,FALSE())</f>
        <v>4.5</v>
      </c>
      <c r="E1681" s="32" t="n">
        <f aca="false">VLOOKUP($A1681,'Order Sales'!$A$2:$G$2154,E$1,FALSE())</f>
        <v>19</v>
      </c>
      <c r="F1681" s="32" t="n">
        <f aca="false">VLOOKUP($A1681,'Order Sales'!$A$2:$G$2154,F$1,FALSE())</f>
        <v>75.24</v>
      </c>
      <c r="G1681" s="32" t="str">
        <f aca="false">VLOOKUP($A1681,'Order Sales'!$A$2:$G$2154,G$1,FALSE())</f>
        <v>Home Office</v>
      </c>
    </row>
    <row r="1682" customFormat="false" ht="14.25" hidden="false" customHeight="false" outlineLevel="0" collapsed="false">
      <c r="A1682" s="1" t="n">
        <v>2227</v>
      </c>
      <c r="B1682" s="30" t="n">
        <v>43241</v>
      </c>
      <c r="C1682" s="30" t="n">
        <v>44804</v>
      </c>
      <c r="D1682" s="31" t="n">
        <f aca="false">VLOOKUP(A1682,'Order Shipping'!$A$2:$C$2000,3,FALSE())</f>
        <v>9.4</v>
      </c>
      <c r="E1682" s="32" t="n">
        <f aca="false">VLOOKUP($A1682,'Order Sales'!$A$2:$G$2154,E$1,FALSE())</f>
        <v>45</v>
      </c>
      <c r="F1682" s="32" t="n">
        <f aca="false">VLOOKUP($A1682,'Order Sales'!$A$2:$G$2154,F$1,FALSE())</f>
        <v>2678.56</v>
      </c>
      <c r="G1682" s="32" t="str">
        <f aca="false">VLOOKUP($A1682,'Order Sales'!$A$2:$G$2154,G$1,FALSE())</f>
        <v>Corporate</v>
      </c>
    </row>
    <row r="1683" customFormat="false" ht="14.25" hidden="false" customHeight="false" outlineLevel="0" collapsed="false">
      <c r="A1683" s="1" t="n">
        <v>1441</v>
      </c>
      <c r="B1683" s="30" t="n">
        <v>43391</v>
      </c>
      <c r="C1683" s="30" t="n">
        <v>44805</v>
      </c>
      <c r="D1683" s="31" t="n">
        <f aca="false">VLOOKUP(A1683,'Order Shipping'!$A$2:$C$2000,3,FALSE())</f>
        <v>26.2</v>
      </c>
      <c r="E1683" s="32" t="n">
        <f aca="false">VLOOKUP($A1683,'Order Sales'!$A$2:$G$2154,E$1,FALSE())</f>
        <v>43</v>
      </c>
      <c r="F1683" s="32" t="n">
        <f aca="false">VLOOKUP($A1683,'Order Sales'!$A$2:$G$2154,F$1,FALSE())</f>
        <v>25929.89</v>
      </c>
      <c r="G1683" s="32" t="str">
        <f aca="false">VLOOKUP($A1683,'Order Sales'!$A$2:$G$2154,G$1,FALSE())</f>
        <v>Consumer</v>
      </c>
    </row>
    <row r="1684" customFormat="false" ht="14.25" hidden="false" customHeight="false" outlineLevel="0" collapsed="false">
      <c r="A1684" s="1" t="n">
        <v>2638</v>
      </c>
      <c r="B1684" s="30" t="n">
        <v>43118</v>
      </c>
      <c r="C1684" s="30" t="n">
        <v>44806</v>
      </c>
      <c r="D1684" s="31" t="n">
        <f aca="false">VLOOKUP(A1684,'Order Shipping'!$A$2:$C$2000,3,FALSE())</f>
        <v>55.9</v>
      </c>
      <c r="E1684" s="32" t="n">
        <f aca="false">VLOOKUP($A1684,'Order Sales'!$A$2:$G$2154,E$1,FALSE())</f>
        <v>4</v>
      </c>
      <c r="F1684" s="32" t="n">
        <f aca="false">VLOOKUP($A1684,'Order Sales'!$A$2:$G$2154,F$1,FALSE())</f>
        <v>991.44</v>
      </c>
      <c r="G1684" s="32" t="str">
        <f aca="false">VLOOKUP($A1684,'Order Sales'!$A$2:$G$2154,G$1,FALSE())</f>
        <v>Consumer</v>
      </c>
    </row>
    <row r="1685" customFormat="false" ht="14.25" hidden="false" customHeight="false" outlineLevel="0" collapsed="false">
      <c r="A1685" s="1" t="n">
        <v>2950</v>
      </c>
      <c r="B1685" s="30" t="n">
        <v>43281</v>
      </c>
      <c r="C1685" s="30" t="n">
        <v>44807</v>
      </c>
      <c r="D1685" s="31" t="n">
        <f aca="false">VLOOKUP(A1685,'Order Shipping'!$A$2:$C$2000,3,FALSE())</f>
        <v>32.1</v>
      </c>
      <c r="E1685" s="32" t="n">
        <f aca="false">VLOOKUP($A1685,'Order Sales'!$A$2:$G$2154,E$1,FALSE())</f>
        <v>11</v>
      </c>
      <c r="F1685" s="32" t="n">
        <f aca="false">VLOOKUP($A1685,'Order Sales'!$A$2:$G$2154,F$1,FALSE())</f>
        <v>2162.02</v>
      </c>
      <c r="G1685" s="32" t="str">
        <f aca="false">VLOOKUP($A1685,'Order Sales'!$A$2:$G$2154,G$1,FALSE())</f>
        <v>Home Office</v>
      </c>
    </row>
    <row r="1686" customFormat="false" ht="14.25" hidden="false" customHeight="false" outlineLevel="0" collapsed="false">
      <c r="A1686" s="1" t="n">
        <v>2658</v>
      </c>
      <c r="B1686" s="30" t="n">
        <v>43296</v>
      </c>
      <c r="C1686" s="30" t="n">
        <v>44808</v>
      </c>
      <c r="D1686" s="31" t="n">
        <f aca="false">VLOOKUP(A1686,'Order Shipping'!$A$2:$C$2000,3,FALSE())</f>
        <v>8.2</v>
      </c>
      <c r="E1686" s="32" t="n">
        <f aca="false">VLOOKUP($A1686,'Order Sales'!$A$2:$G$2154,E$1,FALSE())</f>
        <v>20</v>
      </c>
      <c r="F1686" s="32" t="n">
        <f aca="false">VLOOKUP($A1686,'Order Sales'!$A$2:$G$2154,F$1,FALSE())</f>
        <v>2351.23</v>
      </c>
      <c r="G1686" s="32" t="str">
        <f aca="false">VLOOKUP($A1686,'Order Sales'!$A$2:$G$2154,G$1,FALSE())</f>
        <v>Small Business</v>
      </c>
    </row>
    <row r="1687" customFormat="false" ht="14.25" hidden="false" customHeight="false" outlineLevel="0" collapsed="false">
      <c r="A1687" s="1" t="n">
        <v>2137</v>
      </c>
      <c r="B1687" s="30" t="n">
        <v>43132</v>
      </c>
      <c r="C1687" s="30" t="n">
        <v>44809</v>
      </c>
      <c r="D1687" s="31" t="n">
        <f aca="false">VLOOKUP(A1687,'Order Shipping'!$A$2:$C$2000,3,FALSE())</f>
        <v>5.7</v>
      </c>
      <c r="E1687" s="32" t="n">
        <f aca="false">VLOOKUP($A1687,'Order Sales'!$A$2:$G$2154,E$1,FALSE())</f>
        <v>14</v>
      </c>
      <c r="F1687" s="32" t="n">
        <f aca="false">VLOOKUP($A1687,'Order Sales'!$A$2:$G$2154,F$1,FALSE())</f>
        <v>360.03</v>
      </c>
      <c r="G1687" s="32" t="str">
        <f aca="false">VLOOKUP($A1687,'Order Sales'!$A$2:$G$2154,G$1,FALSE())</f>
        <v>Small Business</v>
      </c>
    </row>
    <row r="1688" customFormat="false" ht="14.25" hidden="false" customHeight="false" outlineLevel="0" collapsed="false">
      <c r="A1688" s="1" t="n">
        <v>1573</v>
      </c>
      <c r="B1688" s="30" t="n">
        <v>43201</v>
      </c>
      <c r="C1688" s="30" t="n">
        <v>44810</v>
      </c>
      <c r="D1688" s="31" t="n">
        <f aca="false">VLOOKUP(A1688,'Order Shipping'!$A$2:$C$2000,3,FALSE())</f>
        <v>3.5</v>
      </c>
      <c r="E1688" s="32" t="n">
        <f aca="false">VLOOKUP($A1688,'Order Sales'!$A$2:$G$2154,E$1,FALSE())</f>
        <v>50</v>
      </c>
      <c r="F1688" s="32" t="n">
        <f aca="false">VLOOKUP($A1688,'Order Sales'!$A$2:$G$2154,F$1,FALSE())</f>
        <v>908.46</v>
      </c>
      <c r="G1688" s="32" t="str">
        <f aca="false">VLOOKUP($A1688,'Order Sales'!$A$2:$G$2154,G$1,FALSE())</f>
        <v>Home Office</v>
      </c>
    </row>
    <row r="1689" customFormat="false" ht="14.25" hidden="false" customHeight="false" outlineLevel="0" collapsed="false">
      <c r="A1689" s="1" t="n">
        <v>1907</v>
      </c>
      <c r="B1689" s="30" t="n">
        <v>43390</v>
      </c>
      <c r="C1689" s="30" t="n">
        <v>44811</v>
      </c>
      <c r="D1689" s="31" t="n">
        <f aca="false">VLOOKUP(A1689,'Order Shipping'!$A$2:$C$2000,3,FALSE())</f>
        <v>7.1</v>
      </c>
      <c r="E1689" s="32" t="n">
        <f aca="false">VLOOKUP($A1689,'Order Sales'!$A$2:$G$2154,E$1,FALSE())</f>
        <v>16</v>
      </c>
      <c r="F1689" s="32" t="n">
        <f aca="false">VLOOKUP($A1689,'Order Sales'!$A$2:$G$2154,F$1,FALSE())</f>
        <v>345.89</v>
      </c>
      <c r="G1689" s="32" t="str">
        <f aca="false">VLOOKUP($A1689,'Order Sales'!$A$2:$G$2154,G$1,FALSE())</f>
        <v>Small Business</v>
      </c>
    </row>
    <row r="1690" customFormat="false" ht="14.25" hidden="false" customHeight="false" outlineLevel="0" collapsed="false">
      <c r="A1690" s="1" t="n">
        <v>1701</v>
      </c>
      <c r="B1690" s="30" t="n">
        <v>43121</v>
      </c>
      <c r="C1690" s="30" t="n">
        <v>44812</v>
      </c>
      <c r="D1690" s="31" t="n">
        <f aca="false">VLOOKUP(A1690,'Order Shipping'!$A$2:$C$2000,3,FALSE())</f>
        <v>5.9</v>
      </c>
      <c r="E1690" s="32" t="n">
        <f aca="false">VLOOKUP($A1690,'Order Sales'!$A$2:$G$2154,E$1,FALSE())</f>
        <v>43</v>
      </c>
      <c r="F1690" s="32" t="n">
        <f aca="false">VLOOKUP($A1690,'Order Sales'!$A$2:$G$2154,F$1,FALSE())</f>
        <v>1470.93</v>
      </c>
      <c r="G1690" s="32" t="str">
        <f aca="false">VLOOKUP($A1690,'Order Sales'!$A$2:$G$2154,G$1,FALSE())</f>
        <v>Small Business</v>
      </c>
    </row>
    <row r="1691" customFormat="false" ht="14.25" hidden="false" customHeight="false" outlineLevel="0" collapsed="false">
      <c r="A1691" s="1" t="n">
        <v>1807</v>
      </c>
      <c r="B1691" s="30" t="n">
        <v>43128</v>
      </c>
      <c r="C1691" s="30" t="n">
        <v>44813</v>
      </c>
      <c r="D1691" s="31" t="n">
        <f aca="false">VLOOKUP(A1691,'Order Shipping'!$A$2:$C$2000,3,FALSE())</f>
        <v>32.1</v>
      </c>
      <c r="E1691" s="32" t="n">
        <f aca="false">VLOOKUP($A1691,'Order Sales'!$A$2:$G$2154,E$1,FALSE())</f>
        <v>12</v>
      </c>
      <c r="F1691" s="32" t="n">
        <f aca="false">VLOOKUP($A1691,'Order Sales'!$A$2:$G$2154,F$1,FALSE())</f>
        <v>1476.58</v>
      </c>
      <c r="G1691" s="32" t="str">
        <f aca="false">VLOOKUP($A1691,'Order Sales'!$A$2:$G$2154,G$1,FALSE())</f>
        <v>Home Office</v>
      </c>
    </row>
    <row r="1692" customFormat="false" ht="14.25" hidden="false" customHeight="false" outlineLevel="0" collapsed="false">
      <c r="A1692" s="1" t="n">
        <v>2097</v>
      </c>
      <c r="B1692" s="30" t="n">
        <v>43449</v>
      </c>
      <c r="C1692" s="30" t="n">
        <v>44814</v>
      </c>
      <c r="D1692" s="31" t="n">
        <f aca="false">VLOOKUP(A1692,'Order Shipping'!$A$2:$C$2000,3,FALSE())</f>
        <v>37.5</v>
      </c>
      <c r="E1692" s="32" t="n">
        <f aca="false">VLOOKUP($A1692,'Order Sales'!$A$2:$G$2154,E$1,FALSE())</f>
        <v>38</v>
      </c>
      <c r="F1692" s="32" t="n">
        <f aca="false">VLOOKUP($A1692,'Order Sales'!$A$2:$G$2154,F$1,FALSE())</f>
        <v>5594.17</v>
      </c>
      <c r="G1692" s="32" t="str">
        <f aca="false">VLOOKUP($A1692,'Order Sales'!$A$2:$G$2154,G$1,FALSE())</f>
        <v>Consumer</v>
      </c>
    </row>
    <row r="1693" customFormat="false" ht="14.25" hidden="false" customHeight="false" outlineLevel="0" collapsed="false">
      <c r="A1693" s="1" t="n">
        <v>2910</v>
      </c>
      <c r="B1693" s="30" t="n">
        <v>43181</v>
      </c>
      <c r="C1693" s="30" t="n">
        <v>44815</v>
      </c>
      <c r="D1693" s="31" t="n">
        <f aca="false">VLOOKUP(A1693,'Order Shipping'!$A$2:$C$2000,3,FALSE())</f>
        <v>5.9</v>
      </c>
      <c r="E1693" s="32" t="n">
        <f aca="false">VLOOKUP($A1693,'Order Sales'!$A$2:$G$2154,E$1,FALSE())</f>
        <v>37</v>
      </c>
      <c r="F1693" s="32" t="n">
        <f aca="false">VLOOKUP($A1693,'Order Sales'!$A$2:$G$2154,F$1,FALSE())</f>
        <v>272.78</v>
      </c>
      <c r="G1693" s="32" t="str">
        <f aca="false">VLOOKUP($A1693,'Order Sales'!$A$2:$G$2154,G$1,FALSE())</f>
        <v>Corporate</v>
      </c>
    </row>
    <row r="1694" customFormat="false" ht="14.25" hidden="false" customHeight="false" outlineLevel="0" collapsed="false">
      <c r="A1694" s="1" t="n">
        <v>2801</v>
      </c>
      <c r="B1694" s="30" t="n">
        <v>43182</v>
      </c>
      <c r="C1694" s="30" t="n">
        <v>44816</v>
      </c>
      <c r="D1694" s="31" t="n">
        <f aca="false">VLOOKUP(A1694,'Order Shipping'!$A$2:$C$2000,3,FALSE())</f>
        <v>2.7</v>
      </c>
      <c r="E1694" s="32" t="n">
        <f aca="false">VLOOKUP($A1694,'Order Sales'!$A$2:$G$2154,E$1,FALSE())</f>
        <v>5</v>
      </c>
      <c r="F1694" s="32" t="n">
        <f aca="false">VLOOKUP($A1694,'Order Sales'!$A$2:$G$2154,F$1,FALSE())</f>
        <v>89.13</v>
      </c>
      <c r="G1694" s="32" t="str">
        <f aca="false">VLOOKUP($A1694,'Order Sales'!$A$2:$G$2154,G$1,FALSE())</f>
        <v>Corporate</v>
      </c>
    </row>
    <row r="1695" customFormat="false" ht="14.25" hidden="false" customHeight="false" outlineLevel="0" collapsed="false">
      <c r="A1695" s="1" t="n">
        <v>1229</v>
      </c>
      <c r="B1695" s="30" t="n">
        <v>43419</v>
      </c>
      <c r="C1695" s="30" t="n">
        <v>44817</v>
      </c>
      <c r="D1695" s="31" t="n">
        <f aca="false">VLOOKUP(A1695,'Order Shipping'!$A$2:$C$2000,3,FALSE())</f>
        <v>2.1</v>
      </c>
      <c r="E1695" s="32" t="n">
        <f aca="false">VLOOKUP($A1695,'Order Sales'!$A$2:$G$2154,E$1,FALSE())</f>
        <v>32</v>
      </c>
      <c r="F1695" s="32" t="n">
        <f aca="false">VLOOKUP($A1695,'Order Sales'!$A$2:$G$2154,F$1,FALSE())</f>
        <v>1403.04</v>
      </c>
      <c r="G1695" s="32" t="str">
        <f aca="false">VLOOKUP($A1695,'Order Sales'!$A$2:$G$2154,G$1,FALSE())</f>
        <v>Corporate</v>
      </c>
    </row>
    <row r="1696" customFormat="false" ht="14.25" hidden="false" customHeight="false" outlineLevel="0" collapsed="false">
      <c r="A1696" s="1" t="n">
        <v>1062</v>
      </c>
      <c r="B1696" s="30" t="n">
        <v>43108</v>
      </c>
      <c r="C1696" s="30" t="n">
        <v>44818</v>
      </c>
      <c r="D1696" s="31" t="n">
        <f aca="false">VLOOKUP(A1696,'Order Shipping'!$A$2:$C$2000,3,FALSE())</f>
        <v>21.4</v>
      </c>
      <c r="E1696" s="32" t="n">
        <f aca="false">VLOOKUP($A1696,'Order Sales'!$A$2:$G$2154,E$1,FALSE())</f>
        <v>3</v>
      </c>
      <c r="F1696" s="32" t="n">
        <f aca="false">VLOOKUP($A1696,'Order Sales'!$A$2:$G$2154,F$1,FALSE())</f>
        <v>1418.92</v>
      </c>
      <c r="G1696" s="32" t="str">
        <f aca="false">VLOOKUP($A1696,'Order Sales'!$A$2:$G$2154,G$1,FALSE())</f>
        <v>Corporate</v>
      </c>
    </row>
    <row r="1697" customFormat="false" ht="14.25" hidden="false" customHeight="false" outlineLevel="0" collapsed="false">
      <c r="A1697" s="1" t="n">
        <v>2417</v>
      </c>
      <c r="B1697" s="30" t="n">
        <v>43453</v>
      </c>
      <c r="C1697" s="30" t="n">
        <v>44819</v>
      </c>
      <c r="D1697" s="31" t="n">
        <f aca="false">VLOOKUP(A1697,'Order Shipping'!$A$2:$C$2000,3,FALSE())</f>
        <v>9.3</v>
      </c>
      <c r="E1697" s="32" t="n">
        <f aca="false">VLOOKUP($A1697,'Order Sales'!$A$2:$G$2154,E$1,FALSE())</f>
        <v>42</v>
      </c>
      <c r="F1697" s="32" t="n">
        <f aca="false">VLOOKUP($A1697,'Order Sales'!$A$2:$G$2154,F$1,FALSE())</f>
        <v>297.47</v>
      </c>
      <c r="G1697" s="32" t="str">
        <f aca="false">VLOOKUP($A1697,'Order Sales'!$A$2:$G$2154,G$1,FALSE())</f>
        <v>Small Business</v>
      </c>
    </row>
    <row r="1698" customFormat="false" ht="14.25" hidden="false" customHeight="false" outlineLevel="0" collapsed="false">
      <c r="A1698" s="1" t="n">
        <v>1784</v>
      </c>
      <c r="B1698" s="30" t="n">
        <v>43101</v>
      </c>
      <c r="C1698" s="30" t="n">
        <v>44820</v>
      </c>
      <c r="D1698" s="31" t="n">
        <f aca="false">VLOOKUP(A1698,'Order Shipping'!$A$2:$C$2000,3,FALSE())</f>
        <v>16.8</v>
      </c>
      <c r="E1698" s="32" t="n">
        <f aca="false">VLOOKUP($A1698,'Order Sales'!$A$2:$G$2154,E$1,FALSE())</f>
        <v>50</v>
      </c>
      <c r="F1698" s="32" t="n">
        <f aca="false">VLOOKUP($A1698,'Order Sales'!$A$2:$G$2154,F$1,FALSE())</f>
        <v>1313.08</v>
      </c>
      <c r="G1698" s="32" t="str">
        <f aca="false">VLOOKUP($A1698,'Order Sales'!$A$2:$G$2154,G$1,FALSE())</f>
        <v>Consumer</v>
      </c>
    </row>
    <row r="1699" customFormat="false" ht="14.25" hidden="false" customHeight="false" outlineLevel="0" collapsed="false">
      <c r="A1699" s="1" t="n">
        <v>1987</v>
      </c>
      <c r="B1699" s="30" t="n">
        <v>43204</v>
      </c>
      <c r="C1699" s="30" t="n">
        <v>44821</v>
      </c>
      <c r="D1699" s="31" t="n">
        <f aca="false">VLOOKUP(A1699,'Order Shipping'!$A$2:$C$2000,3,FALSE())</f>
        <v>44.8</v>
      </c>
      <c r="E1699" s="32" t="n">
        <f aca="false">VLOOKUP($A1699,'Order Sales'!$A$2:$G$2154,E$1,FALSE())</f>
        <v>22</v>
      </c>
      <c r="F1699" s="32" t="n">
        <f aca="false">VLOOKUP($A1699,'Order Sales'!$A$2:$G$2154,F$1,FALSE())</f>
        <v>6552.62</v>
      </c>
      <c r="G1699" s="32" t="str">
        <f aca="false">VLOOKUP($A1699,'Order Sales'!$A$2:$G$2154,G$1,FALSE())</f>
        <v>Home Office</v>
      </c>
    </row>
    <row r="1700" customFormat="false" ht="14.25" hidden="false" customHeight="false" outlineLevel="0" collapsed="false">
      <c r="A1700" s="1" t="n">
        <v>2278</v>
      </c>
      <c r="B1700" s="30" t="n">
        <v>43328</v>
      </c>
      <c r="C1700" s="30" t="n">
        <v>44822</v>
      </c>
      <c r="D1700" s="31" t="n">
        <f aca="false">VLOOKUP(A1700,'Order Shipping'!$A$2:$C$2000,3,FALSE())</f>
        <v>0.5</v>
      </c>
      <c r="E1700" s="32" t="n">
        <f aca="false">VLOOKUP($A1700,'Order Sales'!$A$2:$G$2154,E$1,FALSE())</f>
        <v>37</v>
      </c>
      <c r="F1700" s="32" t="n">
        <f aca="false">VLOOKUP($A1700,'Order Sales'!$A$2:$G$2154,F$1,FALSE())</f>
        <v>119.17</v>
      </c>
      <c r="G1700" s="32" t="str">
        <f aca="false">VLOOKUP($A1700,'Order Sales'!$A$2:$G$2154,G$1,FALSE())</f>
        <v>Corporate</v>
      </c>
    </row>
    <row r="1701" customFormat="false" ht="14.25" hidden="false" customHeight="false" outlineLevel="0" collapsed="false">
      <c r="A1701" s="1" t="n">
        <v>2490</v>
      </c>
      <c r="B1701" s="30" t="n">
        <v>43205</v>
      </c>
      <c r="C1701" s="30" t="n">
        <v>44823</v>
      </c>
      <c r="D1701" s="31" t="n">
        <f aca="false">VLOOKUP(A1701,'Order Shipping'!$A$2:$C$2000,3,FALSE())</f>
        <v>5.5</v>
      </c>
      <c r="E1701" s="32" t="n">
        <f aca="false">VLOOKUP($A1701,'Order Sales'!$A$2:$G$2154,E$1,FALSE())</f>
        <v>38</v>
      </c>
      <c r="F1701" s="32" t="n">
        <f aca="false">VLOOKUP($A1701,'Order Sales'!$A$2:$G$2154,F$1,FALSE())</f>
        <v>165.69</v>
      </c>
      <c r="G1701" s="32" t="str">
        <f aca="false">VLOOKUP($A1701,'Order Sales'!$A$2:$G$2154,G$1,FALSE())</f>
        <v>Corporate</v>
      </c>
    </row>
    <row r="1702" customFormat="false" ht="14.25" hidden="false" customHeight="false" outlineLevel="0" collapsed="false">
      <c r="A1702" s="1" t="n">
        <v>1132</v>
      </c>
      <c r="B1702" s="30" t="n">
        <v>43176</v>
      </c>
      <c r="C1702" s="30" t="n">
        <v>44824</v>
      </c>
      <c r="D1702" s="31" t="n">
        <f aca="false">VLOOKUP(A1702,'Order Shipping'!$A$2:$C$2000,3,FALSE())</f>
        <v>3.7</v>
      </c>
      <c r="E1702" s="32" t="n">
        <f aca="false">VLOOKUP($A1702,'Order Sales'!$A$2:$G$2154,E$1,FALSE())</f>
        <v>42</v>
      </c>
      <c r="F1702" s="32" t="n">
        <f aca="false">VLOOKUP($A1702,'Order Sales'!$A$2:$G$2154,F$1,FALSE())</f>
        <v>400.59</v>
      </c>
      <c r="G1702" s="32" t="str">
        <f aca="false">VLOOKUP($A1702,'Order Sales'!$A$2:$G$2154,G$1,FALSE())</f>
        <v>Home Office</v>
      </c>
    </row>
    <row r="1703" customFormat="false" ht="14.25" hidden="false" customHeight="false" outlineLevel="0" collapsed="false">
      <c r="A1703" s="1" t="n">
        <v>1376</v>
      </c>
      <c r="B1703" s="30" t="n">
        <v>43272</v>
      </c>
      <c r="C1703" s="30" t="n">
        <v>44825</v>
      </c>
      <c r="D1703" s="31" t="n">
        <f aca="false">VLOOKUP(A1703,'Order Shipping'!$A$2:$C$2000,3,FALSE())</f>
        <v>6.7</v>
      </c>
      <c r="E1703" s="32" t="n">
        <f aca="false">VLOOKUP($A1703,'Order Sales'!$A$2:$G$2154,E$1,FALSE())</f>
        <v>29</v>
      </c>
      <c r="F1703" s="32" t="n">
        <f aca="false">VLOOKUP($A1703,'Order Sales'!$A$2:$G$2154,F$1,FALSE())</f>
        <v>516.71</v>
      </c>
      <c r="G1703" s="32" t="str">
        <f aca="false">VLOOKUP($A1703,'Order Sales'!$A$2:$G$2154,G$1,FALSE())</f>
        <v>Consumer</v>
      </c>
    </row>
    <row r="1704" customFormat="false" ht="14.25" hidden="false" customHeight="false" outlineLevel="0" collapsed="false">
      <c r="A1704" s="1" t="n">
        <v>1092</v>
      </c>
      <c r="B1704" s="30" t="n">
        <v>43446</v>
      </c>
      <c r="C1704" s="30" t="n">
        <v>44826</v>
      </c>
      <c r="D1704" s="31" t="n">
        <f aca="false">VLOOKUP(A1704,'Order Shipping'!$A$2:$C$2000,3,FALSE())</f>
        <v>47.7</v>
      </c>
      <c r="E1704" s="32" t="n">
        <f aca="false">VLOOKUP($A1704,'Order Sales'!$A$2:$G$2154,E$1,FALSE())</f>
        <v>13</v>
      </c>
      <c r="F1704" s="32" t="n">
        <f aca="false">VLOOKUP($A1704,'Order Sales'!$A$2:$G$2154,F$1,FALSE())</f>
        <v>12587.75</v>
      </c>
      <c r="G1704" s="32" t="str">
        <f aca="false">VLOOKUP($A1704,'Order Sales'!$A$2:$G$2154,G$1,FALSE())</f>
        <v>Corporate</v>
      </c>
    </row>
    <row r="1705" customFormat="false" ht="14.25" hidden="false" customHeight="false" outlineLevel="0" collapsed="false">
      <c r="A1705" s="1" t="n">
        <v>2765</v>
      </c>
      <c r="B1705" s="30" t="n">
        <v>43197</v>
      </c>
      <c r="C1705" s="30" t="n">
        <v>44827</v>
      </c>
      <c r="D1705" s="31" t="n">
        <f aca="false">VLOOKUP(A1705,'Order Shipping'!$A$2:$C$2000,3,FALSE())</f>
        <v>1.3</v>
      </c>
      <c r="E1705" s="32" t="n">
        <f aca="false">VLOOKUP($A1705,'Order Sales'!$A$2:$G$2154,E$1,FALSE())</f>
        <v>19</v>
      </c>
      <c r="F1705" s="32" t="n">
        <f aca="false">VLOOKUP($A1705,'Order Sales'!$A$2:$G$2154,F$1,FALSE())</f>
        <v>57.72</v>
      </c>
      <c r="G1705" s="32" t="str">
        <f aca="false">VLOOKUP($A1705,'Order Sales'!$A$2:$G$2154,G$1,FALSE())</f>
        <v>Small Business</v>
      </c>
    </row>
    <row r="1706" customFormat="false" ht="14.25" hidden="false" customHeight="false" outlineLevel="0" collapsed="false">
      <c r="A1706" s="1" t="n">
        <v>2003</v>
      </c>
      <c r="B1706" s="30" t="n">
        <v>43263</v>
      </c>
      <c r="C1706" s="30" t="n">
        <v>44828</v>
      </c>
      <c r="D1706" s="31" t="n">
        <f aca="false">VLOOKUP(A1706,'Order Shipping'!$A$2:$C$2000,3,FALSE())</f>
        <v>59.1</v>
      </c>
      <c r="E1706" s="32" t="n">
        <f aca="false">VLOOKUP($A1706,'Order Sales'!$A$2:$G$2154,E$1,FALSE())</f>
        <v>44</v>
      </c>
      <c r="F1706" s="32" t="n">
        <f aca="false">VLOOKUP($A1706,'Order Sales'!$A$2:$G$2154,F$1,FALSE())</f>
        <v>8308.69</v>
      </c>
      <c r="G1706" s="32" t="str">
        <f aca="false">VLOOKUP($A1706,'Order Sales'!$A$2:$G$2154,G$1,FALSE())</f>
        <v>Home Office</v>
      </c>
    </row>
    <row r="1707" customFormat="false" ht="14.25" hidden="false" customHeight="false" outlineLevel="0" collapsed="false">
      <c r="A1707" s="1" t="n">
        <v>2455</v>
      </c>
      <c r="B1707" s="30" t="n">
        <v>43440</v>
      </c>
      <c r="C1707" s="30" t="n">
        <v>44829</v>
      </c>
      <c r="D1707" s="31" t="n">
        <f aca="false">VLOOKUP(A1707,'Order Shipping'!$A$2:$C$2000,3,FALSE())</f>
        <v>8.2</v>
      </c>
      <c r="E1707" s="32" t="n">
        <f aca="false">VLOOKUP($A1707,'Order Sales'!$A$2:$G$2154,E$1,FALSE())</f>
        <v>25</v>
      </c>
      <c r="F1707" s="32" t="n">
        <f aca="false">VLOOKUP($A1707,'Order Sales'!$A$2:$G$2154,F$1,FALSE())</f>
        <v>2744.1</v>
      </c>
      <c r="G1707" s="32" t="str">
        <f aca="false">VLOOKUP($A1707,'Order Sales'!$A$2:$G$2154,G$1,FALSE())</f>
        <v>Corporate</v>
      </c>
    </row>
    <row r="1708" customFormat="false" ht="14.25" hidden="false" customHeight="false" outlineLevel="0" collapsed="false">
      <c r="A1708" s="1" t="n">
        <v>2830</v>
      </c>
      <c r="B1708" s="30" t="n">
        <v>43335</v>
      </c>
      <c r="C1708" s="30" t="n">
        <v>44830</v>
      </c>
      <c r="D1708" s="31" t="n">
        <f aca="false">VLOOKUP(A1708,'Order Shipping'!$A$2:$C$2000,3,FALSE())</f>
        <v>37.5</v>
      </c>
      <c r="E1708" s="32" t="n">
        <f aca="false">VLOOKUP($A1708,'Order Sales'!$A$2:$G$2154,E$1,FALSE())</f>
        <v>33</v>
      </c>
      <c r="F1708" s="32" t="n">
        <f aca="false">VLOOKUP($A1708,'Order Sales'!$A$2:$G$2154,F$1,FALSE())</f>
        <v>3310.32</v>
      </c>
      <c r="G1708" s="32" t="str">
        <f aca="false">VLOOKUP($A1708,'Order Sales'!$A$2:$G$2154,G$1,FALSE())</f>
        <v>Small Business</v>
      </c>
    </row>
    <row r="1709" customFormat="false" ht="14.25" hidden="false" customHeight="false" outlineLevel="0" collapsed="false">
      <c r="A1709" s="1" t="n">
        <v>1825</v>
      </c>
      <c r="B1709" s="30" t="n">
        <v>43367</v>
      </c>
      <c r="C1709" s="30" t="n">
        <v>44831</v>
      </c>
      <c r="D1709" s="31" t="n">
        <f aca="false">VLOOKUP(A1709,'Order Shipping'!$A$2:$C$2000,3,FALSE())</f>
        <v>5.5</v>
      </c>
      <c r="E1709" s="32" t="n">
        <f aca="false">VLOOKUP($A1709,'Order Sales'!$A$2:$G$2154,E$1,FALSE())</f>
        <v>36</v>
      </c>
      <c r="F1709" s="32" t="n">
        <f aca="false">VLOOKUP($A1709,'Order Sales'!$A$2:$G$2154,F$1,FALSE())</f>
        <v>1918.77</v>
      </c>
      <c r="G1709" s="32" t="str">
        <f aca="false">VLOOKUP($A1709,'Order Sales'!$A$2:$G$2154,G$1,FALSE())</f>
        <v>Consumer</v>
      </c>
    </row>
    <row r="1710" customFormat="false" ht="14.25" hidden="false" customHeight="false" outlineLevel="0" collapsed="false">
      <c r="A1710" s="1" t="n">
        <v>1198</v>
      </c>
      <c r="B1710" s="30" t="n">
        <v>43457</v>
      </c>
      <c r="C1710" s="30" t="n">
        <v>44832</v>
      </c>
      <c r="D1710" s="31" t="n">
        <f aca="false">VLOOKUP(A1710,'Order Shipping'!$A$2:$C$2000,3,FALSE())</f>
        <v>5.5</v>
      </c>
      <c r="E1710" s="32" t="n">
        <f aca="false">VLOOKUP($A1710,'Order Sales'!$A$2:$G$2154,E$1,FALSE())</f>
        <v>50</v>
      </c>
      <c r="F1710" s="32" t="n">
        <f aca="false">VLOOKUP($A1710,'Order Sales'!$A$2:$G$2154,F$1,FALSE())</f>
        <v>546.3</v>
      </c>
      <c r="G1710" s="32" t="str">
        <f aca="false">VLOOKUP($A1710,'Order Sales'!$A$2:$G$2154,G$1,FALSE())</f>
        <v>Small Business</v>
      </c>
    </row>
    <row r="1711" customFormat="false" ht="14.25" hidden="false" customHeight="false" outlineLevel="0" collapsed="false">
      <c r="A1711" s="1" t="n">
        <v>2698</v>
      </c>
      <c r="B1711" s="30" t="n">
        <v>43430</v>
      </c>
      <c r="C1711" s="30" t="n">
        <v>44833</v>
      </c>
      <c r="D1711" s="31" t="n">
        <f aca="false">VLOOKUP(A1711,'Order Shipping'!$A$2:$C$2000,3,FALSE())</f>
        <v>6.1</v>
      </c>
      <c r="E1711" s="32" t="n">
        <f aca="false">VLOOKUP($A1711,'Order Sales'!$A$2:$G$2154,E$1,FALSE())</f>
        <v>13</v>
      </c>
      <c r="F1711" s="32" t="n">
        <f aca="false">VLOOKUP($A1711,'Order Sales'!$A$2:$G$2154,F$1,FALSE())</f>
        <v>79.15</v>
      </c>
      <c r="G1711" s="32" t="str">
        <f aca="false">VLOOKUP($A1711,'Order Sales'!$A$2:$G$2154,G$1,FALSE())</f>
        <v>Small Business</v>
      </c>
    </row>
    <row r="1712" customFormat="false" ht="14.25" hidden="false" customHeight="false" outlineLevel="0" collapsed="false">
      <c r="A1712" s="1" t="n">
        <v>2398</v>
      </c>
      <c r="B1712" s="30" t="n">
        <v>43451</v>
      </c>
      <c r="C1712" s="30" t="n">
        <v>44834</v>
      </c>
      <c r="D1712" s="31" t="n">
        <f aca="false">VLOOKUP(A1712,'Order Shipping'!$A$2:$C$2000,3,FALSE())</f>
        <v>5.1</v>
      </c>
      <c r="E1712" s="32" t="n">
        <f aca="false">VLOOKUP($A1712,'Order Sales'!$A$2:$G$2154,E$1,FALSE())</f>
        <v>18</v>
      </c>
      <c r="F1712" s="32" t="n">
        <f aca="false">VLOOKUP($A1712,'Order Sales'!$A$2:$G$2154,F$1,FALSE())</f>
        <v>870.87</v>
      </c>
      <c r="G1712" s="32" t="str">
        <f aca="false">VLOOKUP($A1712,'Order Sales'!$A$2:$G$2154,G$1,FALSE())</f>
        <v>Corporate</v>
      </c>
    </row>
    <row r="1713" customFormat="false" ht="14.25" hidden="false" customHeight="false" outlineLevel="0" collapsed="false">
      <c r="A1713" s="1" t="n">
        <v>2034</v>
      </c>
      <c r="B1713" s="30" t="n">
        <v>43272</v>
      </c>
      <c r="C1713" s="30" t="n">
        <v>44835</v>
      </c>
      <c r="D1713" s="31" t="n">
        <f aca="false">VLOOKUP(A1713,'Order Shipping'!$A$2:$C$2000,3,FALSE())</f>
        <v>5.4</v>
      </c>
      <c r="E1713" s="32" t="n">
        <f aca="false">VLOOKUP($A1713,'Order Sales'!$A$2:$G$2154,E$1,FALSE())</f>
        <v>32</v>
      </c>
      <c r="F1713" s="32" t="n">
        <f aca="false">VLOOKUP($A1713,'Order Sales'!$A$2:$G$2154,F$1,FALSE())</f>
        <v>584.23</v>
      </c>
      <c r="G1713" s="32" t="str">
        <f aca="false">VLOOKUP($A1713,'Order Sales'!$A$2:$G$2154,G$1,FALSE())</f>
        <v>Consumer</v>
      </c>
    </row>
    <row r="1714" customFormat="false" ht="14.25" hidden="false" customHeight="false" outlineLevel="0" collapsed="false">
      <c r="A1714" s="1" t="n">
        <v>1654</v>
      </c>
      <c r="B1714" s="30" t="n">
        <v>43168</v>
      </c>
      <c r="C1714" s="30" t="n">
        <v>44836</v>
      </c>
      <c r="D1714" s="31" t="n">
        <f aca="false">VLOOKUP(A1714,'Order Shipping'!$A$2:$C$2000,3,FALSE())</f>
        <v>6.6</v>
      </c>
      <c r="E1714" s="32" t="n">
        <f aca="false">VLOOKUP($A1714,'Order Sales'!$A$2:$G$2154,E$1,FALSE())</f>
        <v>23</v>
      </c>
      <c r="F1714" s="32" t="n">
        <f aca="false">VLOOKUP($A1714,'Order Sales'!$A$2:$G$2154,F$1,FALSE())</f>
        <v>481.92</v>
      </c>
      <c r="G1714" s="32" t="str">
        <f aca="false">VLOOKUP($A1714,'Order Sales'!$A$2:$G$2154,G$1,FALSE())</f>
        <v>Home Office</v>
      </c>
    </row>
    <row r="1715" customFormat="false" ht="14.25" hidden="false" customHeight="false" outlineLevel="0" collapsed="false">
      <c r="A1715" s="1" t="n">
        <v>2414</v>
      </c>
      <c r="B1715" s="30" t="n">
        <v>43224</v>
      </c>
      <c r="C1715" s="30" t="n">
        <v>44837</v>
      </c>
      <c r="D1715" s="31" t="n">
        <f aca="false">VLOOKUP(A1715,'Order Shipping'!$A$2:$C$2000,3,FALSE())</f>
        <v>64.2</v>
      </c>
      <c r="E1715" s="32" t="n">
        <f aca="false">VLOOKUP($A1715,'Order Sales'!$A$2:$G$2154,E$1,FALSE())</f>
        <v>4</v>
      </c>
      <c r="F1715" s="32" t="n">
        <f aca="false">VLOOKUP($A1715,'Order Sales'!$A$2:$G$2154,F$1,FALSE())</f>
        <v>1283.29</v>
      </c>
      <c r="G1715" s="32" t="str">
        <f aca="false">VLOOKUP($A1715,'Order Sales'!$A$2:$G$2154,G$1,FALSE())</f>
        <v>Consumer</v>
      </c>
    </row>
    <row r="1716" customFormat="false" ht="14.25" hidden="false" customHeight="false" outlineLevel="0" collapsed="false">
      <c r="A1716" s="1" t="n">
        <v>1508</v>
      </c>
      <c r="B1716" s="30" t="n">
        <v>43285</v>
      </c>
      <c r="C1716" s="30" t="n">
        <v>44838</v>
      </c>
      <c r="D1716" s="31" t="n">
        <f aca="false">VLOOKUP(A1716,'Order Shipping'!$A$2:$C$2000,3,FALSE())</f>
        <v>21.4</v>
      </c>
      <c r="E1716" s="32" t="n">
        <f aca="false">VLOOKUP($A1716,'Order Sales'!$A$2:$G$2154,E$1,FALSE())</f>
        <v>50</v>
      </c>
      <c r="F1716" s="32" t="n">
        <f aca="false">VLOOKUP($A1716,'Order Sales'!$A$2:$G$2154,F$1,FALSE())</f>
        <v>2686.46</v>
      </c>
      <c r="G1716" s="32" t="str">
        <f aca="false">VLOOKUP($A1716,'Order Sales'!$A$2:$G$2154,G$1,FALSE())</f>
        <v>Home Office</v>
      </c>
    </row>
    <row r="1717" customFormat="false" ht="14.25" hidden="false" customHeight="false" outlineLevel="0" collapsed="false">
      <c r="A1717" s="1" t="n">
        <v>1972</v>
      </c>
      <c r="B1717" s="30" t="n">
        <v>43263</v>
      </c>
      <c r="C1717" s="30" t="n">
        <v>44839</v>
      </c>
      <c r="D1717" s="31" t="n">
        <f aca="false">VLOOKUP(A1717,'Order Shipping'!$A$2:$C$2000,3,FALSE())</f>
        <v>26.2</v>
      </c>
      <c r="E1717" s="32" t="n">
        <f aca="false">VLOOKUP($A1717,'Order Sales'!$A$2:$G$2154,E$1,FALSE())</f>
        <v>12</v>
      </c>
      <c r="F1717" s="32" t="n">
        <f aca="false">VLOOKUP($A1717,'Order Sales'!$A$2:$G$2154,F$1,FALSE())</f>
        <v>3377.56</v>
      </c>
      <c r="G1717" s="32" t="str">
        <f aca="false">VLOOKUP($A1717,'Order Sales'!$A$2:$G$2154,G$1,FALSE())</f>
        <v>Corporate</v>
      </c>
    </row>
    <row r="1718" customFormat="false" ht="14.25" hidden="false" customHeight="false" outlineLevel="0" collapsed="false">
      <c r="A1718" s="1" t="n">
        <v>1997</v>
      </c>
      <c r="B1718" s="30" t="n">
        <v>43294</v>
      </c>
      <c r="C1718" s="30" t="n">
        <v>44840</v>
      </c>
      <c r="D1718" s="31" t="n">
        <f aca="false">VLOOKUP(A1718,'Order Shipping'!$A$2:$C$2000,3,FALSE())</f>
        <v>6.3</v>
      </c>
      <c r="E1718" s="32" t="n">
        <f aca="false">VLOOKUP($A1718,'Order Sales'!$A$2:$G$2154,E$1,FALSE())</f>
        <v>35</v>
      </c>
      <c r="F1718" s="32" t="n">
        <f aca="false">VLOOKUP($A1718,'Order Sales'!$A$2:$G$2154,F$1,FALSE())</f>
        <v>991.52</v>
      </c>
      <c r="G1718" s="32" t="str">
        <f aca="false">VLOOKUP($A1718,'Order Sales'!$A$2:$G$2154,G$1,FALSE())</f>
        <v>Consumer</v>
      </c>
    </row>
    <row r="1719" customFormat="false" ht="14.25" hidden="false" customHeight="false" outlineLevel="0" collapsed="false">
      <c r="A1719" s="1" t="n">
        <v>2072</v>
      </c>
      <c r="B1719" s="30" t="n">
        <v>43307</v>
      </c>
      <c r="C1719" s="30" t="n">
        <v>44841</v>
      </c>
      <c r="D1719" s="31" t="n">
        <f aca="false">VLOOKUP(A1719,'Order Shipping'!$A$2:$C$2000,3,FALSE())</f>
        <v>4.3</v>
      </c>
      <c r="E1719" s="32" t="n">
        <f aca="false">VLOOKUP($A1719,'Order Sales'!$A$2:$G$2154,E$1,FALSE())</f>
        <v>47</v>
      </c>
      <c r="F1719" s="32" t="n">
        <f aca="false">VLOOKUP($A1719,'Order Sales'!$A$2:$G$2154,F$1,FALSE())</f>
        <v>388.66</v>
      </c>
      <c r="G1719" s="32" t="str">
        <f aca="false">VLOOKUP($A1719,'Order Sales'!$A$2:$G$2154,G$1,FALSE())</f>
        <v>Consumer</v>
      </c>
    </row>
    <row r="1720" customFormat="false" ht="14.25" hidden="false" customHeight="false" outlineLevel="0" collapsed="false">
      <c r="A1720" s="1" t="n">
        <v>2912</v>
      </c>
      <c r="B1720" s="30" t="n">
        <v>43419</v>
      </c>
      <c r="C1720" s="30" t="n">
        <v>44842</v>
      </c>
      <c r="D1720" s="31" t="n">
        <f aca="false">VLOOKUP(A1720,'Order Shipping'!$A$2:$C$2000,3,FALSE())</f>
        <v>4.5</v>
      </c>
      <c r="E1720" s="32" t="n">
        <f aca="false">VLOOKUP($A1720,'Order Sales'!$A$2:$G$2154,E$1,FALSE())</f>
        <v>3</v>
      </c>
      <c r="F1720" s="32" t="n">
        <f aca="false">VLOOKUP($A1720,'Order Sales'!$A$2:$G$2154,F$1,FALSE())</f>
        <v>540</v>
      </c>
      <c r="G1720" s="32" t="str">
        <f aca="false">VLOOKUP($A1720,'Order Sales'!$A$2:$G$2154,G$1,FALSE())</f>
        <v>Consumer</v>
      </c>
    </row>
    <row r="1721" customFormat="false" ht="14.25" hidden="false" customHeight="false" outlineLevel="0" collapsed="false">
      <c r="A1721" s="1" t="n">
        <v>1017</v>
      </c>
      <c r="B1721" s="30" t="n">
        <v>43243</v>
      </c>
      <c r="C1721" s="30" t="n">
        <v>44843</v>
      </c>
      <c r="D1721" s="31" t="n">
        <f aca="false">VLOOKUP(A1721,'Order Shipping'!$A$2:$C$2000,3,FALSE())</f>
        <v>0.7</v>
      </c>
      <c r="E1721" s="32" t="n">
        <f aca="false">VLOOKUP($A1721,'Order Sales'!$A$2:$G$2154,E$1,FALSE())</f>
        <v>24</v>
      </c>
      <c r="F1721" s="32" t="n">
        <f aca="false">VLOOKUP($A1721,'Order Sales'!$A$2:$G$2154,F$1,FALSE())</f>
        <v>135.44</v>
      </c>
      <c r="G1721" s="32" t="str">
        <f aca="false">VLOOKUP($A1721,'Order Sales'!$A$2:$G$2154,G$1,FALSE())</f>
        <v>Home Office</v>
      </c>
    </row>
    <row r="1722" customFormat="false" ht="14.25" hidden="false" customHeight="false" outlineLevel="0" collapsed="false">
      <c r="A1722" s="1" t="n">
        <v>2059</v>
      </c>
      <c r="B1722" s="30" t="n">
        <v>43331</v>
      </c>
      <c r="C1722" s="30" t="n">
        <v>44844</v>
      </c>
      <c r="D1722" s="31" t="n">
        <f aca="false">VLOOKUP(A1722,'Order Shipping'!$A$2:$C$2000,3,FALSE())</f>
        <v>7.8</v>
      </c>
      <c r="E1722" s="32" t="n">
        <f aca="false">VLOOKUP($A1722,'Order Sales'!$A$2:$G$2154,E$1,FALSE())</f>
        <v>10</v>
      </c>
      <c r="F1722" s="32" t="n">
        <f aca="false">VLOOKUP($A1722,'Order Sales'!$A$2:$G$2154,F$1,FALSE())</f>
        <v>79.22</v>
      </c>
      <c r="G1722" s="32" t="str">
        <f aca="false">VLOOKUP($A1722,'Order Sales'!$A$2:$G$2154,G$1,FALSE())</f>
        <v>Home Office</v>
      </c>
    </row>
    <row r="1723" customFormat="false" ht="14.25" hidden="false" customHeight="false" outlineLevel="0" collapsed="false">
      <c r="A1723" s="1" t="n">
        <v>1543</v>
      </c>
      <c r="B1723" s="30" t="n">
        <v>43463</v>
      </c>
      <c r="C1723" s="30" t="n">
        <v>44845</v>
      </c>
      <c r="D1723" s="31" t="n">
        <f aca="false">VLOOKUP(A1723,'Order Shipping'!$A$2:$C$2000,3,FALSE())</f>
        <v>6.1</v>
      </c>
      <c r="E1723" s="32" t="n">
        <f aca="false">VLOOKUP($A1723,'Order Sales'!$A$2:$G$2154,E$1,FALSE())</f>
        <v>26</v>
      </c>
      <c r="F1723" s="32" t="n">
        <f aca="false">VLOOKUP($A1723,'Order Sales'!$A$2:$G$2154,F$1,FALSE())</f>
        <v>184.39</v>
      </c>
      <c r="G1723" s="32" t="str">
        <f aca="false">VLOOKUP($A1723,'Order Sales'!$A$2:$G$2154,G$1,FALSE())</f>
        <v>Corporate</v>
      </c>
    </row>
    <row r="1724" customFormat="false" ht="14.25" hidden="false" customHeight="false" outlineLevel="0" collapsed="false">
      <c r="A1724" s="1" t="n">
        <v>1870</v>
      </c>
      <c r="B1724" s="30" t="n">
        <v>43357</v>
      </c>
      <c r="C1724" s="30" t="n">
        <v>44846</v>
      </c>
      <c r="D1724" s="31" t="n">
        <f aca="false">VLOOKUP(A1724,'Order Shipping'!$A$2:$C$2000,3,FALSE())</f>
        <v>6.1</v>
      </c>
      <c r="E1724" s="32" t="n">
        <f aca="false">VLOOKUP($A1724,'Order Sales'!$A$2:$G$2154,E$1,FALSE())</f>
        <v>37</v>
      </c>
      <c r="F1724" s="32" t="n">
        <f aca="false">VLOOKUP($A1724,'Order Sales'!$A$2:$G$2154,F$1,FALSE())</f>
        <v>181.83</v>
      </c>
      <c r="G1724" s="32" t="str">
        <f aca="false">VLOOKUP($A1724,'Order Sales'!$A$2:$G$2154,G$1,FALSE())</f>
        <v>Corporate</v>
      </c>
    </row>
    <row r="1725" customFormat="false" ht="14.25" hidden="false" customHeight="false" outlineLevel="0" collapsed="false">
      <c r="A1725" s="1" t="n">
        <v>2367</v>
      </c>
      <c r="B1725" s="30" t="n">
        <v>43345</v>
      </c>
      <c r="C1725" s="30" t="n">
        <v>44847</v>
      </c>
      <c r="D1725" s="31" t="n">
        <f aca="false">VLOOKUP(A1725,'Order Shipping'!$A$2:$C$2000,3,FALSE())</f>
        <v>1.6</v>
      </c>
      <c r="E1725" s="32" t="n">
        <f aca="false">VLOOKUP($A1725,'Order Sales'!$A$2:$G$2154,E$1,FALSE())</f>
        <v>29</v>
      </c>
      <c r="F1725" s="32" t="n">
        <f aca="false">VLOOKUP($A1725,'Order Sales'!$A$2:$G$2154,F$1,FALSE())</f>
        <v>57.77</v>
      </c>
      <c r="G1725" s="32" t="str">
        <f aca="false">VLOOKUP($A1725,'Order Sales'!$A$2:$G$2154,G$1,FALSE())</f>
        <v>Corporate</v>
      </c>
    </row>
    <row r="1726" customFormat="false" ht="14.25" hidden="false" customHeight="false" outlineLevel="0" collapsed="false">
      <c r="A1726" s="1" t="n">
        <v>2960</v>
      </c>
      <c r="B1726" s="30" t="n">
        <v>43334</v>
      </c>
      <c r="C1726" s="30" t="n">
        <v>44848</v>
      </c>
      <c r="D1726" s="31" t="n">
        <f aca="false">VLOOKUP(A1726,'Order Shipping'!$A$2:$C$2000,3,FALSE())</f>
        <v>10.8</v>
      </c>
      <c r="E1726" s="32" t="n">
        <f aca="false">VLOOKUP($A1726,'Order Sales'!$A$2:$G$2154,E$1,FALSE())</f>
        <v>45</v>
      </c>
      <c r="F1726" s="32" t="n">
        <f aca="false">VLOOKUP($A1726,'Order Sales'!$A$2:$G$2154,F$1,FALSE())</f>
        <v>5008.55</v>
      </c>
      <c r="G1726" s="32" t="str">
        <f aca="false">VLOOKUP($A1726,'Order Sales'!$A$2:$G$2154,G$1,FALSE())</f>
        <v>Consumer</v>
      </c>
    </row>
    <row r="1727" customFormat="false" ht="14.25" hidden="false" customHeight="false" outlineLevel="0" collapsed="false">
      <c r="A1727" s="1" t="n">
        <v>2234</v>
      </c>
      <c r="B1727" s="30" t="n">
        <v>43422</v>
      </c>
      <c r="C1727" s="30" t="n">
        <v>44849</v>
      </c>
      <c r="D1727" s="31" t="n">
        <f aca="false">VLOOKUP(A1727,'Order Shipping'!$A$2:$C$2000,3,FALSE())</f>
        <v>2.5</v>
      </c>
      <c r="E1727" s="32" t="n">
        <f aca="false">VLOOKUP($A1727,'Order Sales'!$A$2:$G$2154,E$1,FALSE())</f>
        <v>1</v>
      </c>
      <c r="F1727" s="32" t="n">
        <f aca="false">VLOOKUP($A1727,'Order Sales'!$A$2:$G$2154,F$1,FALSE())</f>
        <v>11.36</v>
      </c>
      <c r="G1727" s="32" t="str">
        <f aca="false">VLOOKUP($A1727,'Order Sales'!$A$2:$G$2154,G$1,FALSE())</f>
        <v>Corporate</v>
      </c>
    </row>
    <row r="1728" customFormat="false" ht="14.25" hidden="false" customHeight="false" outlineLevel="0" collapsed="false">
      <c r="A1728" s="1" t="n">
        <v>2935</v>
      </c>
      <c r="B1728" s="30" t="n">
        <v>43463</v>
      </c>
      <c r="C1728" s="30" t="n">
        <v>44850</v>
      </c>
      <c r="D1728" s="31" t="n">
        <f aca="false">VLOOKUP(A1728,'Order Shipping'!$A$2:$C$2000,3,FALSE())</f>
        <v>6.3</v>
      </c>
      <c r="E1728" s="32" t="n">
        <f aca="false">VLOOKUP($A1728,'Order Sales'!$A$2:$G$2154,E$1,FALSE())</f>
        <v>48</v>
      </c>
      <c r="F1728" s="32" t="n">
        <f aca="false">VLOOKUP($A1728,'Order Sales'!$A$2:$G$2154,F$1,FALSE())</f>
        <v>1358.68</v>
      </c>
      <c r="G1728" s="32" t="str">
        <f aca="false">VLOOKUP($A1728,'Order Sales'!$A$2:$G$2154,G$1,FALSE())</f>
        <v>Consumer</v>
      </c>
    </row>
    <row r="1729" customFormat="false" ht="14.25" hidden="false" customHeight="false" outlineLevel="0" collapsed="false">
      <c r="A1729" s="1" t="n">
        <v>2073</v>
      </c>
      <c r="B1729" s="30" t="n">
        <v>43275</v>
      </c>
      <c r="C1729" s="30" t="n">
        <v>44851</v>
      </c>
      <c r="D1729" s="31" t="n">
        <f aca="false">VLOOKUP(A1729,'Order Shipping'!$A$2:$C$2000,3,FALSE())</f>
        <v>4.5</v>
      </c>
      <c r="E1729" s="32" t="n">
        <f aca="false">VLOOKUP($A1729,'Order Sales'!$A$2:$G$2154,E$1,FALSE())</f>
        <v>13</v>
      </c>
      <c r="F1729" s="32" t="n">
        <f aca="false">VLOOKUP($A1729,'Order Sales'!$A$2:$G$2154,F$1,FALSE())</f>
        <v>1612.32</v>
      </c>
      <c r="G1729" s="32" t="str">
        <f aca="false">VLOOKUP($A1729,'Order Sales'!$A$2:$G$2154,G$1,FALSE())</f>
        <v>Small Business</v>
      </c>
    </row>
    <row r="1730" customFormat="false" ht="14.25" hidden="false" customHeight="false" outlineLevel="0" collapsed="false">
      <c r="A1730" s="1" t="n">
        <v>2162</v>
      </c>
      <c r="B1730" s="30" t="n">
        <v>43226</v>
      </c>
      <c r="C1730" s="30" t="n">
        <v>44852</v>
      </c>
      <c r="D1730" s="31" t="n">
        <f aca="false">VLOOKUP(A1730,'Order Shipping'!$A$2:$C$2000,3,FALSE())</f>
        <v>21.4</v>
      </c>
      <c r="E1730" s="32" t="n">
        <f aca="false">VLOOKUP($A1730,'Order Sales'!$A$2:$G$2154,E$1,FALSE())</f>
        <v>9</v>
      </c>
      <c r="F1730" s="32" t="n">
        <f aca="false">VLOOKUP($A1730,'Order Sales'!$A$2:$G$2154,F$1,FALSE())</f>
        <v>1080.98</v>
      </c>
      <c r="G1730" s="32" t="str">
        <f aca="false">VLOOKUP($A1730,'Order Sales'!$A$2:$G$2154,G$1,FALSE())</f>
        <v>Home Office</v>
      </c>
    </row>
    <row r="1731" customFormat="false" ht="14.25" hidden="false" customHeight="false" outlineLevel="0" collapsed="false">
      <c r="A1731" s="1" t="n">
        <v>2482</v>
      </c>
      <c r="B1731" s="30" t="n">
        <v>43133</v>
      </c>
      <c r="C1731" s="30" t="n">
        <v>44853</v>
      </c>
      <c r="D1731" s="31" t="n">
        <f aca="false">VLOOKUP(A1731,'Order Shipping'!$A$2:$C$2000,3,FALSE())</f>
        <v>3.1</v>
      </c>
      <c r="E1731" s="32" t="n">
        <f aca="false">VLOOKUP($A1731,'Order Sales'!$A$2:$G$2154,E$1,FALSE())</f>
        <v>35</v>
      </c>
      <c r="F1731" s="32" t="n">
        <f aca="false">VLOOKUP($A1731,'Order Sales'!$A$2:$G$2154,F$1,FALSE())</f>
        <v>1420.52</v>
      </c>
      <c r="G1731" s="32" t="str">
        <f aca="false">VLOOKUP($A1731,'Order Sales'!$A$2:$G$2154,G$1,FALSE())</f>
        <v>Consumer</v>
      </c>
    </row>
    <row r="1732" customFormat="false" ht="14.25" hidden="false" customHeight="false" outlineLevel="0" collapsed="false">
      <c r="A1732" s="1" t="n">
        <v>2781</v>
      </c>
      <c r="B1732" s="30" t="n">
        <v>43380</v>
      </c>
      <c r="C1732" s="30" t="n">
        <v>44854</v>
      </c>
      <c r="D1732" s="31" t="n">
        <f aca="false">VLOOKUP(A1732,'Order Shipping'!$A$2:$C$2000,3,FALSE())</f>
        <v>0.5</v>
      </c>
      <c r="E1732" s="32" t="n">
        <f aca="false">VLOOKUP($A1732,'Order Sales'!$A$2:$G$2154,E$1,FALSE())</f>
        <v>3</v>
      </c>
      <c r="F1732" s="32" t="n">
        <f aca="false">VLOOKUP($A1732,'Order Sales'!$A$2:$G$2154,F$1,FALSE())</f>
        <v>20.82</v>
      </c>
      <c r="G1732" s="32" t="str">
        <f aca="false">VLOOKUP($A1732,'Order Sales'!$A$2:$G$2154,G$1,FALSE())</f>
        <v>Consumer</v>
      </c>
    </row>
    <row r="1733" customFormat="false" ht="14.25" hidden="false" customHeight="false" outlineLevel="0" collapsed="false">
      <c r="A1733" s="1" t="n">
        <v>1872</v>
      </c>
      <c r="B1733" s="30" t="n">
        <v>43444</v>
      </c>
      <c r="C1733" s="30" t="n">
        <v>44855</v>
      </c>
      <c r="D1733" s="31" t="n">
        <f aca="false">VLOOKUP(A1733,'Order Shipping'!$A$2:$C$2000,3,FALSE())</f>
        <v>23.8</v>
      </c>
      <c r="E1733" s="32" t="n">
        <f aca="false">VLOOKUP($A1733,'Order Sales'!$A$2:$G$2154,E$1,FALSE())</f>
        <v>26</v>
      </c>
      <c r="F1733" s="32" t="n">
        <f aca="false">VLOOKUP($A1733,'Order Sales'!$A$2:$G$2154,F$1,FALSE())</f>
        <v>1370.3</v>
      </c>
      <c r="G1733" s="32" t="str">
        <f aca="false">VLOOKUP($A1733,'Order Sales'!$A$2:$G$2154,G$1,FALSE())</f>
        <v>Corporate</v>
      </c>
    </row>
    <row r="1734" customFormat="false" ht="14.25" hidden="false" customHeight="false" outlineLevel="0" collapsed="false">
      <c r="A1734" s="1" t="n">
        <v>2677</v>
      </c>
      <c r="B1734" s="30" t="n">
        <v>43331</v>
      </c>
      <c r="C1734" s="30" t="n">
        <v>44856</v>
      </c>
      <c r="D1734" s="31" t="n">
        <f aca="false">VLOOKUP(A1734,'Order Shipping'!$A$2:$C$2000,3,FALSE())</f>
        <v>4.9</v>
      </c>
      <c r="E1734" s="32" t="n">
        <f aca="false">VLOOKUP($A1734,'Order Sales'!$A$2:$G$2154,E$1,FALSE())</f>
        <v>20</v>
      </c>
      <c r="F1734" s="32" t="n">
        <f aca="false">VLOOKUP($A1734,'Order Sales'!$A$2:$G$2154,F$1,FALSE())</f>
        <v>288.54</v>
      </c>
      <c r="G1734" s="32" t="str">
        <f aca="false">VLOOKUP($A1734,'Order Sales'!$A$2:$G$2154,G$1,FALSE())</f>
        <v>Consumer</v>
      </c>
    </row>
    <row r="1735" customFormat="false" ht="14.25" hidden="false" customHeight="false" outlineLevel="0" collapsed="false">
      <c r="A1735" s="1" t="n">
        <v>1412</v>
      </c>
      <c r="B1735" s="30" t="n">
        <v>43247</v>
      </c>
      <c r="C1735" s="30" t="n">
        <v>44857</v>
      </c>
      <c r="D1735" s="31" t="n">
        <f aca="false">VLOOKUP(A1735,'Order Shipping'!$A$2:$C$2000,3,FALSE())</f>
        <v>5.5</v>
      </c>
      <c r="E1735" s="32" t="n">
        <f aca="false">VLOOKUP($A1735,'Order Sales'!$A$2:$G$2154,E$1,FALSE())</f>
        <v>45</v>
      </c>
      <c r="F1735" s="32" t="n">
        <f aca="false">VLOOKUP($A1735,'Order Sales'!$A$2:$G$2154,F$1,FALSE())</f>
        <v>180.47</v>
      </c>
      <c r="G1735" s="32" t="str">
        <f aca="false">VLOOKUP($A1735,'Order Sales'!$A$2:$G$2154,G$1,FALSE())</f>
        <v>Corporate</v>
      </c>
    </row>
    <row r="1736" customFormat="false" ht="14.25" hidden="false" customHeight="false" outlineLevel="0" collapsed="false">
      <c r="A1736" s="1" t="n">
        <v>1854</v>
      </c>
      <c r="B1736" s="30" t="n">
        <v>43284</v>
      </c>
      <c r="C1736" s="30" t="n">
        <v>44858</v>
      </c>
      <c r="D1736" s="31" t="n">
        <f aca="false">VLOOKUP(A1736,'Order Shipping'!$A$2:$C$2000,3,FALSE())</f>
        <v>6.1</v>
      </c>
      <c r="E1736" s="32" t="n">
        <f aca="false">VLOOKUP($A1736,'Order Sales'!$A$2:$G$2154,E$1,FALSE())</f>
        <v>18</v>
      </c>
      <c r="F1736" s="32" t="n">
        <f aca="false">VLOOKUP($A1736,'Order Sales'!$A$2:$G$2154,F$1,FALSE())</f>
        <v>106.32</v>
      </c>
      <c r="G1736" s="32" t="str">
        <f aca="false">VLOOKUP($A1736,'Order Sales'!$A$2:$G$2154,G$1,FALSE())</f>
        <v>Corporate</v>
      </c>
    </row>
    <row r="1737" customFormat="false" ht="14.25" hidden="false" customHeight="false" outlineLevel="0" collapsed="false">
      <c r="A1737" s="1" t="n">
        <v>2480</v>
      </c>
      <c r="B1737" s="30" t="n">
        <v>43200</v>
      </c>
      <c r="C1737" s="30" t="n">
        <v>44859</v>
      </c>
      <c r="D1737" s="31" t="n">
        <f aca="false">VLOOKUP(A1737,'Order Shipping'!$A$2:$C$2000,3,FALSE())</f>
        <v>1.6</v>
      </c>
      <c r="E1737" s="32" t="n">
        <f aca="false">VLOOKUP($A1737,'Order Sales'!$A$2:$G$2154,E$1,FALSE())</f>
        <v>26</v>
      </c>
      <c r="F1737" s="32" t="n">
        <f aca="false">VLOOKUP($A1737,'Order Sales'!$A$2:$G$2154,F$1,FALSE())</f>
        <v>78.99</v>
      </c>
      <c r="G1737" s="32" t="str">
        <f aca="false">VLOOKUP($A1737,'Order Sales'!$A$2:$G$2154,G$1,FALSE())</f>
        <v>Corporate</v>
      </c>
    </row>
    <row r="1738" customFormat="false" ht="14.25" hidden="false" customHeight="false" outlineLevel="0" collapsed="false">
      <c r="A1738" s="1" t="n">
        <v>1489</v>
      </c>
      <c r="B1738" s="30" t="n">
        <v>43454</v>
      </c>
      <c r="C1738" s="30" t="n">
        <v>44860</v>
      </c>
      <c r="D1738" s="31" t="n">
        <f aca="false">VLOOKUP(A1738,'Order Shipping'!$A$2:$C$2000,3,FALSE())</f>
        <v>2.7</v>
      </c>
      <c r="E1738" s="32" t="n">
        <f aca="false">VLOOKUP($A1738,'Order Sales'!$A$2:$G$2154,E$1,FALSE())</f>
        <v>28</v>
      </c>
      <c r="F1738" s="32" t="n">
        <f aca="false">VLOOKUP($A1738,'Order Sales'!$A$2:$G$2154,F$1,FALSE())</f>
        <v>245.49</v>
      </c>
      <c r="G1738" s="32" t="str">
        <f aca="false">VLOOKUP($A1738,'Order Sales'!$A$2:$G$2154,G$1,FALSE())</f>
        <v>Small Business</v>
      </c>
    </row>
    <row r="1739" customFormat="false" ht="14.25" hidden="false" customHeight="false" outlineLevel="0" collapsed="false">
      <c r="A1739" s="1" t="n">
        <v>1331</v>
      </c>
      <c r="B1739" s="30" t="n">
        <v>43101</v>
      </c>
      <c r="C1739" s="30" t="n">
        <v>44861</v>
      </c>
      <c r="D1739" s="31" t="n">
        <f aca="false">VLOOKUP(A1739,'Order Shipping'!$A$2:$C$2000,3,FALSE())</f>
        <v>38.2</v>
      </c>
      <c r="E1739" s="32" t="n">
        <f aca="false">VLOOKUP($A1739,'Order Sales'!$A$2:$G$2154,E$1,FALSE())</f>
        <v>24</v>
      </c>
      <c r="F1739" s="32" t="n">
        <f aca="false">VLOOKUP($A1739,'Order Sales'!$A$2:$G$2154,F$1,FALSE())</f>
        <v>6856.88</v>
      </c>
      <c r="G1739" s="32" t="str">
        <f aca="false">VLOOKUP($A1739,'Order Sales'!$A$2:$G$2154,G$1,FALSE())</f>
        <v>Corporate</v>
      </c>
    </row>
    <row r="1740" customFormat="false" ht="14.25" hidden="false" customHeight="false" outlineLevel="0" collapsed="false">
      <c r="A1740" s="1" t="n">
        <v>1889</v>
      </c>
      <c r="B1740" s="30" t="n">
        <v>43239</v>
      </c>
      <c r="C1740" s="30" t="n">
        <v>44862</v>
      </c>
      <c r="D1740" s="31" t="n">
        <f aca="false">VLOOKUP(A1740,'Order Shipping'!$A$2:$C$2000,3,FALSE())</f>
        <v>19.7</v>
      </c>
      <c r="E1740" s="32" t="n">
        <f aca="false">VLOOKUP($A1740,'Order Sales'!$A$2:$G$2154,E$1,FALSE())</f>
        <v>28</v>
      </c>
      <c r="F1740" s="32" t="n">
        <f aca="false">VLOOKUP($A1740,'Order Sales'!$A$2:$G$2154,F$1,FALSE())</f>
        <v>1516.41</v>
      </c>
      <c r="G1740" s="32" t="str">
        <f aca="false">VLOOKUP($A1740,'Order Sales'!$A$2:$G$2154,G$1,FALSE())</f>
        <v>Home Office</v>
      </c>
    </row>
    <row r="1741" customFormat="false" ht="14.25" hidden="false" customHeight="false" outlineLevel="0" collapsed="false">
      <c r="A1741" s="1" t="n">
        <v>2554</v>
      </c>
      <c r="B1741" s="30" t="n">
        <v>43397</v>
      </c>
      <c r="C1741" s="30" t="n">
        <v>44863</v>
      </c>
      <c r="D1741" s="31" t="n">
        <f aca="false">VLOOKUP(A1741,'Order Shipping'!$A$2:$C$2000,3,FALSE())</f>
        <v>6.4</v>
      </c>
      <c r="E1741" s="32" t="n">
        <f aca="false">VLOOKUP($A1741,'Order Sales'!$A$2:$G$2154,E$1,FALSE())</f>
        <v>40</v>
      </c>
      <c r="F1741" s="32" t="n">
        <f aca="false">VLOOKUP($A1741,'Order Sales'!$A$2:$G$2154,F$1,FALSE())</f>
        <v>7081.75</v>
      </c>
      <c r="G1741" s="32" t="str">
        <f aca="false">VLOOKUP($A1741,'Order Sales'!$A$2:$G$2154,G$1,FALSE())</f>
        <v>Home Office</v>
      </c>
    </row>
    <row r="1742" customFormat="false" ht="14.25" hidden="false" customHeight="false" outlineLevel="0" collapsed="false">
      <c r="A1742" s="1" t="n">
        <v>2357</v>
      </c>
      <c r="B1742" s="30" t="n">
        <v>43344</v>
      </c>
      <c r="C1742" s="30" t="n">
        <v>44864</v>
      </c>
      <c r="D1742" s="31" t="n">
        <f aca="false">VLOOKUP(A1742,'Order Shipping'!$A$2:$C$2000,3,FALSE())</f>
        <v>1.8</v>
      </c>
      <c r="E1742" s="32" t="n">
        <f aca="false">VLOOKUP($A1742,'Order Sales'!$A$2:$G$2154,E$1,FALSE())</f>
        <v>21</v>
      </c>
      <c r="F1742" s="32" t="n">
        <f aca="false">VLOOKUP($A1742,'Order Sales'!$A$2:$G$2154,F$1,FALSE())</f>
        <v>166.63</v>
      </c>
      <c r="G1742" s="32" t="str">
        <f aca="false">VLOOKUP($A1742,'Order Sales'!$A$2:$G$2154,G$1,FALSE())</f>
        <v>Corporate</v>
      </c>
    </row>
    <row r="1743" customFormat="false" ht="14.25" hidden="false" customHeight="false" outlineLevel="0" collapsed="false">
      <c r="A1743" s="1" t="n">
        <v>2920</v>
      </c>
      <c r="B1743" s="30" t="n">
        <v>43392</v>
      </c>
      <c r="C1743" s="30" t="n">
        <v>44865</v>
      </c>
      <c r="D1743" s="31" t="n">
        <f aca="false">VLOOKUP(A1743,'Order Shipping'!$A$2:$C$2000,3,FALSE())</f>
        <v>55.9</v>
      </c>
      <c r="E1743" s="32" t="n">
        <f aca="false">VLOOKUP($A1743,'Order Sales'!$A$2:$G$2154,E$1,FALSE())</f>
        <v>3</v>
      </c>
      <c r="F1743" s="32" t="n">
        <f aca="false">VLOOKUP($A1743,'Order Sales'!$A$2:$G$2154,F$1,FALSE())</f>
        <v>584.09</v>
      </c>
      <c r="G1743" s="32" t="str">
        <f aca="false">VLOOKUP($A1743,'Order Sales'!$A$2:$G$2154,G$1,FALSE())</f>
        <v>Consumer</v>
      </c>
    </row>
    <row r="1744" customFormat="false" ht="14.25" hidden="false" customHeight="false" outlineLevel="0" collapsed="false">
      <c r="A1744" s="1" t="n">
        <v>1355</v>
      </c>
      <c r="B1744" s="30" t="n">
        <v>43231</v>
      </c>
      <c r="C1744" s="30" t="n">
        <v>44866</v>
      </c>
      <c r="D1744" s="31" t="n">
        <f aca="false">VLOOKUP(A1744,'Order Shipping'!$A$2:$C$2000,3,FALSE())</f>
        <v>7.3</v>
      </c>
      <c r="E1744" s="32" t="n">
        <f aca="false">VLOOKUP($A1744,'Order Sales'!$A$2:$G$2154,E$1,FALSE())</f>
        <v>45</v>
      </c>
      <c r="F1744" s="32" t="n">
        <f aca="false">VLOOKUP($A1744,'Order Sales'!$A$2:$G$2154,F$1,FALSE())</f>
        <v>302.95</v>
      </c>
      <c r="G1744" s="32" t="str">
        <f aca="false">VLOOKUP($A1744,'Order Sales'!$A$2:$G$2154,G$1,FALSE())</f>
        <v>Home Office</v>
      </c>
    </row>
    <row r="1745" customFormat="false" ht="14.25" hidden="false" customHeight="false" outlineLevel="0" collapsed="false">
      <c r="A1745" s="1" t="n">
        <v>2104</v>
      </c>
      <c r="B1745" s="30" t="n">
        <v>43271</v>
      </c>
      <c r="C1745" s="30" t="n">
        <v>44867</v>
      </c>
      <c r="D1745" s="31" t="n">
        <f aca="false">VLOOKUP(A1745,'Order Shipping'!$A$2:$C$2000,3,FALSE())</f>
        <v>9.6</v>
      </c>
      <c r="E1745" s="32" t="n">
        <f aca="false">VLOOKUP($A1745,'Order Sales'!$A$2:$G$2154,E$1,FALSE())</f>
        <v>8</v>
      </c>
      <c r="F1745" s="32" t="n">
        <f aca="false">VLOOKUP($A1745,'Order Sales'!$A$2:$G$2154,F$1,FALSE())</f>
        <v>191.29</v>
      </c>
      <c r="G1745" s="32" t="str">
        <f aca="false">VLOOKUP($A1745,'Order Sales'!$A$2:$G$2154,G$1,FALSE())</f>
        <v>Home Office</v>
      </c>
    </row>
    <row r="1746" customFormat="false" ht="14.25" hidden="false" customHeight="false" outlineLevel="0" collapsed="false">
      <c r="A1746" s="1" t="n">
        <v>1007</v>
      </c>
      <c r="B1746" s="30" t="n">
        <v>43295</v>
      </c>
      <c r="C1746" s="30" t="n">
        <v>44868</v>
      </c>
      <c r="D1746" s="31" t="n">
        <f aca="false">VLOOKUP(A1746,'Order Shipping'!$A$2:$C$2000,3,FALSE())</f>
        <v>9.6</v>
      </c>
      <c r="E1746" s="32" t="n">
        <f aca="false">VLOOKUP($A1746,'Order Sales'!$A$2:$G$2154,E$1,FALSE())</f>
        <v>15</v>
      </c>
      <c r="F1746" s="32" t="n">
        <f aca="false">VLOOKUP($A1746,'Order Sales'!$A$2:$G$2154,F$1,FALSE())</f>
        <v>150.4</v>
      </c>
      <c r="G1746" s="32" t="str">
        <f aca="false">VLOOKUP($A1746,'Order Sales'!$A$2:$G$2154,G$1,FALSE())</f>
        <v>Corporate</v>
      </c>
    </row>
    <row r="1747" customFormat="false" ht="14.25" hidden="false" customHeight="false" outlineLevel="0" collapsed="false">
      <c r="A1747" s="1" t="n">
        <v>1594</v>
      </c>
      <c r="B1747" s="30" t="n">
        <v>43170</v>
      </c>
      <c r="C1747" s="30" t="n">
        <v>44869</v>
      </c>
      <c r="D1747" s="31" t="n">
        <f aca="false">VLOOKUP(A1747,'Order Shipping'!$A$2:$C$2000,3,FALSE())</f>
        <v>0.9</v>
      </c>
      <c r="E1747" s="32" t="n">
        <f aca="false">VLOOKUP($A1747,'Order Sales'!$A$2:$G$2154,E$1,FALSE())</f>
        <v>12</v>
      </c>
      <c r="F1747" s="32" t="n">
        <f aca="false">VLOOKUP($A1747,'Order Sales'!$A$2:$G$2154,F$1,FALSE())</f>
        <v>81.77</v>
      </c>
      <c r="G1747" s="32" t="str">
        <f aca="false">VLOOKUP($A1747,'Order Sales'!$A$2:$G$2154,G$1,FALSE())</f>
        <v>Corporate</v>
      </c>
    </row>
    <row r="1748" customFormat="false" ht="14.25" hidden="false" customHeight="false" outlineLevel="0" collapsed="false">
      <c r="A1748" s="1" t="n">
        <v>1413</v>
      </c>
      <c r="B1748" s="30" t="n">
        <v>43247</v>
      </c>
      <c r="C1748" s="30" t="n">
        <v>44870</v>
      </c>
      <c r="D1748" s="31" t="n">
        <f aca="false">VLOOKUP(A1748,'Order Shipping'!$A$2:$C$2000,3,FALSE())</f>
        <v>6.1</v>
      </c>
      <c r="E1748" s="32" t="n">
        <f aca="false">VLOOKUP($A1748,'Order Sales'!$A$2:$G$2154,E$1,FALSE())</f>
        <v>36</v>
      </c>
      <c r="F1748" s="32" t="n">
        <f aca="false">VLOOKUP($A1748,'Order Sales'!$A$2:$G$2154,F$1,FALSE())</f>
        <v>224.2</v>
      </c>
      <c r="G1748" s="32" t="str">
        <f aca="false">VLOOKUP($A1748,'Order Sales'!$A$2:$G$2154,G$1,FALSE())</f>
        <v>Corporate</v>
      </c>
    </row>
    <row r="1749" customFormat="false" ht="14.25" hidden="false" customHeight="false" outlineLevel="0" collapsed="false">
      <c r="A1749" s="1" t="n">
        <v>1590</v>
      </c>
      <c r="B1749" s="30" t="n">
        <v>43439</v>
      </c>
      <c r="C1749" s="30" t="n">
        <v>44871</v>
      </c>
      <c r="D1749" s="31" t="n">
        <f aca="false">VLOOKUP(A1749,'Order Shipping'!$A$2:$C$2000,3,FALSE())</f>
        <v>4.3</v>
      </c>
      <c r="E1749" s="32" t="n">
        <f aca="false">VLOOKUP($A1749,'Order Sales'!$A$2:$G$2154,E$1,FALSE())</f>
        <v>29</v>
      </c>
      <c r="F1749" s="32" t="n">
        <f aca="false">VLOOKUP($A1749,'Order Sales'!$A$2:$G$2154,F$1,FALSE())</f>
        <v>640.38</v>
      </c>
      <c r="G1749" s="32" t="str">
        <f aca="false">VLOOKUP($A1749,'Order Sales'!$A$2:$G$2154,G$1,FALSE())</f>
        <v>Consumer</v>
      </c>
    </row>
    <row r="1750" customFormat="false" ht="14.25" hidden="false" customHeight="false" outlineLevel="0" collapsed="false">
      <c r="A1750" s="1" t="n">
        <v>2906</v>
      </c>
      <c r="B1750" s="30" t="n">
        <v>43251</v>
      </c>
      <c r="C1750" s="30" t="n">
        <v>44872</v>
      </c>
      <c r="D1750" s="31" t="n">
        <f aca="false">VLOOKUP(A1750,'Order Shipping'!$A$2:$C$2000,3,FALSE())</f>
        <v>0.5</v>
      </c>
      <c r="E1750" s="32" t="n">
        <f aca="false">VLOOKUP($A1750,'Order Sales'!$A$2:$G$2154,E$1,FALSE())</f>
        <v>25</v>
      </c>
      <c r="F1750" s="32" t="n">
        <f aca="false">VLOOKUP($A1750,'Order Sales'!$A$2:$G$2154,F$1,FALSE())</f>
        <v>2627.43</v>
      </c>
      <c r="G1750" s="32" t="str">
        <f aca="false">VLOOKUP($A1750,'Order Sales'!$A$2:$G$2154,G$1,FALSE())</f>
        <v>Corporate</v>
      </c>
    </row>
    <row r="1751" customFormat="false" ht="14.25" hidden="false" customHeight="false" outlineLevel="0" collapsed="false">
      <c r="A1751" s="1" t="n">
        <v>2979</v>
      </c>
      <c r="B1751" s="30" t="n">
        <v>43127</v>
      </c>
      <c r="C1751" s="30" t="n">
        <v>44873</v>
      </c>
      <c r="D1751" s="31" t="n">
        <f aca="false">VLOOKUP(A1751,'Order Shipping'!$A$2:$C$2000,3,FALSE())</f>
        <v>7.1</v>
      </c>
      <c r="E1751" s="32" t="n">
        <f aca="false">VLOOKUP($A1751,'Order Sales'!$A$2:$G$2154,E$1,FALSE())</f>
        <v>26</v>
      </c>
      <c r="F1751" s="32" t="n">
        <f aca="false">VLOOKUP($A1751,'Order Sales'!$A$2:$G$2154,F$1,FALSE())</f>
        <v>121.82</v>
      </c>
      <c r="G1751" s="32" t="str">
        <f aca="false">VLOOKUP($A1751,'Order Sales'!$A$2:$G$2154,G$1,FALSE())</f>
        <v>Corporate</v>
      </c>
    </row>
    <row r="1752" customFormat="false" ht="14.25" hidden="false" customHeight="false" outlineLevel="0" collapsed="false">
      <c r="A1752" s="1" t="n">
        <v>1093</v>
      </c>
      <c r="B1752" s="30" t="n">
        <v>43446</v>
      </c>
      <c r="C1752" s="30" t="n">
        <v>44874</v>
      </c>
      <c r="D1752" s="31" t="n">
        <f aca="false">VLOOKUP(A1752,'Order Shipping'!$A$2:$C$2000,3,FALSE())</f>
        <v>9.4</v>
      </c>
      <c r="E1752" s="32" t="n">
        <f aca="false">VLOOKUP($A1752,'Order Sales'!$A$2:$G$2154,E$1,FALSE())</f>
        <v>29</v>
      </c>
      <c r="F1752" s="32" t="n">
        <f aca="false">VLOOKUP($A1752,'Order Sales'!$A$2:$G$2154,F$1,FALSE())</f>
        <v>223.06</v>
      </c>
      <c r="G1752" s="32" t="str">
        <f aca="false">VLOOKUP($A1752,'Order Sales'!$A$2:$G$2154,G$1,FALSE())</f>
        <v>Corporate</v>
      </c>
    </row>
    <row r="1753" customFormat="false" ht="14.25" hidden="false" customHeight="false" outlineLevel="0" collapsed="false">
      <c r="A1753" s="1" t="n">
        <v>1631</v>
      </c>
      <c r="B1753" s="30" t="n">
        <v>43455</v>
      </c>
      <c r="C1753" s="30" t="n">
        <v>44875</v>
      </c>
      <c r="D1753" s="31" t="n">
        <f aca="false">VLOOKUP(A1753,'Order Shipping'!$A$2:$C$2000,3,FALSE())</f>
        <v>1.3</v>
      </c>
      <c r="E1753" s="32" t="n">
        <f aca="false">VLOOKUP($A1753,'Order Sales'!$A$2:$G$2154,E$1,FALSE())</f>
        <v>42</v>
      </c>
      <c r="F1753" s="32" t="n">
        <f aca="false">VLOOKUP($A1753,'Order Sales'!$A$2:$G$2154,F$1,FALSE())</f>
        <v>125.13</v>
      </c>
      <c r="G1753" s="32" t="str">
        <f aca="false">VLOOKUP($A1753,'Order Sales'!$A$2:$G$2154,G$1,FALSE())</f>
        <v>Corporate</v>
      </c>
    </row>
    <row r="1754" customFormat="false" ht="14.25" hidden="false" customHeight="false" outlineLevel="0" collapsed="false">
      <c r="A1754" s="1" t="n">
        <v>1918</v>
      </c>
      <c r="B1754" s="30" t="n">
        <v>43357</v>
      </c>
      <c r="C1754" s="30" t="n">
        <v>44876</v>
      </c>
      <c r="D1754" s="31" t="n">
        <f aca="false">VLOOKUP(A1754,'Order Shipping'!$A$2:$C$2000,3,FALSE())</f>
        <v>9.6</v>
      </c>
      <c r="E1754" s="32" t="n">
        <f aca="false">VLOOKUP($A1754,'Order Sales'!$A$2:$G$2154,E$1,FALSE())</f>
        <v>25</v>
      </c>
      <c r="F1754" s="32" t="n">
        <f aca="false">VLOOKUP($A1754,'Order Sales'!$A$2:$G$2154,F$1,FALSE())</f>
        <v>499.69</v>
      </c>
      <c r="G1754" s="32" t="str">
        <f aca="false">VLOOKUP($A1754,'Order Sales'!$A$2:$G$2154,G$1,FALSE())</f>
        <v>Corporate</v>
      </c>
    </row>
    <row r="1755" customFormat="false" ht="14.25" hidden="false" customHeight="false" outlineLevel="0" collapsed="false">
      <c r="A1755" s="1" t="n">
        <v>2123</v>
      </c>
      <c r="B1755" s="30" t="n">
        <v>43435</v>
      </c>
      <c r="C1755" s="30" t="n">
        <v>44877</v>
      </c>
      <c r="D1755" s="31" t="n">
        <f aca="false">VLOOKUP(A1755,'Order Shipping'!$A$2:$C$2000,3,FALSE())</f>
        <v>5.6</v>
      </c>
      <c r="E1755" s="32" t="n">
        <f aca="false">VLOOKUP($A1755,'Order Sales'!$A$2:$G$2154,E$1,FALSE())</f>
        <v>42</v>
      </c>
      <c r="F1755" s="32" t="n">
        <f aca="false">VLOOKUP($A1755,'Order Sales'!$A$2:$G$2154,F$1,FALSE())</f>
        <v>285.75</v>
      </c>
      <c r="G1755" s="32" t="str">
        <f aca="false">VLOOKUP($A1755,'Order Sales'!$A$2:$G$2154,G$1,FALSE())</f>
        <v>Corporate</v>
      </c>
    </row>
    <row r="1756" customFormat="false" ht="14.25" hidden="false" customHeight="false" outlineLevel="0" collapsed="false">
      <c r="A1756" s="1" t="n">
        <v>1606</v>
      </c>
      <c r="B1756" s="30" t="n">
        <v>43163</v>
      </c>
      <c r="C1756" s="30" t="n">
        <v>44878</v>
      </c>
      <c r="D1756" s="31" t="n">
        <f aca="false">VLOOKUP(A1756,'Order Shipping'!$A$2:$C$2000,3,FALSE())</f>
        <v>0.5</v>
      </c>
      <c r="E1756" s="32" t="n">
        <f aca="false">VLOOKUP($A1756,'Order Sales'!$A$2:$G$2154,E$1,FALSE())</f>
        <v>15</v>
      </c>
      <c r="F1756" s="32" t="n">
        <f aca="false">VLOOKUP($A1756,'Order Sales'!$A$2:$G$2154,F$1,FALSE())</f>
        <v>43.16</v>
      </c>
      <c r="G1756" s="32" t="str">
        <f aca="false">VLOOKUP($A1756,'Order Sales'!$A$2:$G$2154,G$1,FALSE())</f>
        <v>Home Office</v>
      </c>
    </row>
    <row r="1757" customFormat="false" ht="14.25" hidden="false" customHeight="false" outlineLevel="0" collapsed="false">
      <c r="A1757" s="1" t="n">
        <v>2724</v>
      </c>
      <c r="B1757" s="30" t="n">
        <v>43125</v>
      </c>
      <c r="C1757" s="30" t="n">
        <v>44879</v>
      </c>
      <c r="D1757" s="31" t="n">
        <f aca="false">VLOOKUP(A1757,'Order Shipping'!$A$2:$C$2000,3,FALSE())</f>
        <v>26.2</v>
      </c>
      <c r="E1757" s="32" t="n">
        <f aca="false">VLOOKUP($A1757,'Order Sales'!$A$2:$G$2154,E$1,FALSE())</f>
        <v>10</v>
      </c>
      <c r="F1757" s="32" t="n">
        <f aca="false">VLOOKUP($A1757,'Order Sales'!$A$2:$G$2154,F$1,FALSE())</f>
        <v>1380.7</v>
      </c>
      <c r="G1757" s="32" t="str">
        <f aca="false">VLOOKUP($A1757,'Order Sales'!$A$2:$G$2154,G$1,FALSE())</f>
        <v>Small Business</v>
      </c>
    </row>
    <row r="1758" customFormat="false" ht="14.25" hidden="false" customHeight="false" outlineLevel="0" collapsed="false">
      <c r="A1758" s="1" t="n">
        <v>2479</v>
      </c>
      <c r="B1758" s="30" t="n">
        <v>43370</v>
      </c>
      <c r="C1758" s="30" t="n">
        <v>44880</v>
      </c>
      <c r="D1758" s="31" t="n">
        <f aca="false">VLOOKUP(A1758,'Order Shipping'!$A$2:$C$2000,3,FALSE())</f>
        <v>5.2</v>
      </c>
      <c r="E1758" s="32" t="n">
        <f aca="false">VLOOKUP($A1758,'Order Sales'!$A$2:$G$2154,E$1,FALSE())</f>
        <v>46</v>
      </c>
      <c r="F1758" s="32" t="n">
        <f aca="false">VLOOKUP($A1758,'Order Sales'!$A$2:$G$2154,F$1,FALSE())</f>
        <v>94.27</v>
      </c>
      <c r="G1758" s="32" t="str">
        <f aca="false">VLOOKUP($A1758,'Order Sales'!$A$2:$G$2154,G$1,FALSE())</f>
        <v>Consumer</v>
      </c>
    </row>
    <row r="1759" customFormat="false" ht="14.25" hidden="false" customHeight="false" outlineLevel="0" collapsed="false">
      <c r="A1759" s="1" t="n">
        <v>1786</v>
      </c>
      <c r="B1759" s="30" t="n">
        <v>43270</v>
      </c>
      <c r="C1759" s="30" t="n">
        <v>44881</v>
      </c>
      <c r="D1759" s="31" t="n">
        <f aca="false">VLOOKUP(A1759,'Order Shipping'!$A$2:$C$2000,3,FALSE())</f>
        <v>5.6</v>
      </c>
      <c r="E1759" s="32" t="n">
        <f aca="false">VLOOKUP($A1759,'Order Sales'!$A$2:$G$2154,E$1,FALSE())</f>
        <v>15</v>
      </c>
      <c r="F1759" s="32" t="n">
        <f aca="false">VLOOKUP($A1759,'Order Sales'!$A$2:$G$2154,F$1,FALSE())</f>
        <v>958.91</v>
      </c>
      <c r="G1759" s="32" t="str">
        <f aca="false">VLOOKUP($A1759,'Order Sales'!$A$2:$G$2154,G$1,FALSE())</f>
        <v>Corporate</v>
      </c>
    </row>
    <row r="1760" customFormat="false" ht="14.25" hidden="false" customHeight="false" outlineLevel="0" collapsed="false">
      <c r="A1760" s="1" t="n">
        <v>2257</v>
      </c>
      <c r="B1760" s="30" t="n">
        <v>43392</v>
      </c>
      <c r="C1760" s="30" t="n">
        <v>44882</v>
      </c>
      <c r="D1760" s="31" t="n">
        <f aca="false">VLOOKUP(A1760,'Order Shipping'!$A$2:$C$2000,3,FALSE())</f>
        <v>7.1</v>
      </c>
      <c r="E1760" s="32" t="n">
        <f aca="false">VLOOKUP($A1760,'Order Sales'!$A$2:$G$2154,E$1,FALSE())</f>
        <v>24</v>
      </c>
      <c r="F1760" s="32" t="n">
        <f aca="false">VLOOKUP($A1760,'Order Sales'!$A$2:$G$2154,F$1,FALSE())</f>
        <v>174.8</v>
      </c>
      <c r="G1760" s="32" t="str">
        <f aca="false">VLOOKUP($A1760,'Order Sales'!$A$2:$G$2154,G$1,FALSE())</f>
        <v>Small Business</v>
      </c>
    </row>
    <row r="1761" customFormat="false" ht="14.25" hidden="false" customHeight="false" outlineLevel="0" collapsed="false">
      <c r="A1761" s="1" t="n">
        <v>2873</v>
      </c>
      <c r="B1761" s="30" t="n">
        <v>43304</v>
      </c>
      <c r="C1761" s="30" t="n">
        <v>44883</v>
      </c>
      <c r="D1761" s="31" t="n">
        <f aca="false">VLOOKUP(A1761,'Order Shipping'!$A$2:$C$2000,3,FALSE())</f>
        <v>2.2</v>
      </c>
      <c r="E1761" s="32" t="n">
        <f aca="false">VLOOKUP($A1761,'Order Sales'!$A$2:$G$2154,E$1,FALSE())</f>
        <v>26</v>
      </c>
      <c r="F1761" s="32" t="n">
        <f aca="false">VLOOKUP($A1761,'Order Sales'!$A$2:$G$2154,F$1,FALSE())</f>
        <v>141.49</v>
      </c>
      <c r="G1761" s="32" t="str">
        <f aca="false">VLOOKUP($A1761,'Order Sales'!$A$2:$G$2154,G$1,FALSE())</f>
        <v>Consumer</v>
      </c>
    </row>
    <row r="1762" customFormat="false" ht="14.25" hidden="false" customHeight="false" outlineLevel="0" collapsed="false">
      <c r="A1762" s="1" t="n">
        <v>1178</v>
      </c>
      <c r="B1762" s="30" t="n">
        <v>43151</v>
      </c>
      <c r="C1762" s="30" t="n">
        <v>44884</v>
      </c>
      <c r="D1762" s="31" t="n">
        <f aca="false">VLOOKUP(A1762,'Order Shipping'!$A$2:$C$2000,3,FALSE())</f>
        <v>1.3</v>
      </c>
      <c r="E1762" s="32" t="n">
        <f aca="false">VLOOKUP($A1762,'Order Sales'!$A$2:$G$2154,E$1,FALSE())</f>
        <v>7</v>
      </c>
      <c r="F1762" s="32" t="n">
        <f aca="false">VLOOKUP($A1762,'Order Sales'!$A$2:$G$2154,F$1,FALSE())</f>
        <v>562.34</v>
      </c>
      <c r="G1762" s="32" t="str">
        <f aca="false">VLOOKUP($A1762,'Order Sales'!$A$2:$G$2154,G$1,FALSE())</f>
        <v>Corporate</v>
      </c>
    </row>
    <row r="1763" customFormat="false" ht="14.25" hidden="false" customHeight="false" outlineLevel="0" collapsed="false">
      <c r="A1763" s="1" t="n">
        <v>2969</v>
      </c>
      <c r="B1763" s="30" t="n">
        <v>43436</v>
      </c>
      <c r="C1763" s="30" t="n">
        <v>44885</v>
      </c>
      <c r="D1763" s="31" t="n">
        <f aca="false">VLOOKUP(A1763,'Order Shipping'!$A$2:$C$2000,3,FALSE())</f>
        <v>1.6</v>
      </c>
      <c r="E1763" s="32" t="n">
        <f aca="false">VLOOKUP($A1763,'Order Sales'!$A$2:$G$2154,E$1,FALSE())</f>
        <v>7</v>
      </c>
      <c r="F1763" s="32" t="n">
        <f aca="false">VLOOKUP($A1763,'Order Sales'!$A$2:$G$2154,F$1,FALSE())</f>
        <v>16.7</v>
      </c>
      <c r="G1763" s="32" t="str">
        <f aca="false">VLOOKUP($A1763,'Order Sales'!$A$2:$G$2154,G$1,FALSE())</f>
        <v>Home Office</v>
      </c>
    </row>
    <row r="1764" customFormat="false" ht="14.25" hidden="false" customHeight="false" outlineLevel="0" collapsed="false">
      <c r="A1764" s="1" t="n">
        <v>1929</v>
      </c>
      <c r="B1764" s="30" t="n">
        <v>43162</v>
      </c>
      <c r="C1764" s="30" t="n">
        <v>44886</v>
      </c>
      <c r="D1764" s="31" t="n">
        <f aca="false">VLOOKUP(A1764,'Order Shipping'!$A$2:$C$2000,3,FALSE())</f>
        <v>5.9</v>
      </c>
      <c r="E1764" s="32" t="n">
        <f aca="false">VLOOKUP($A1764,'Order Sales'!$A$2:$G$2154,E$1,FALSE())</f>
        <v>31</v>
      </c>
      <c r="F1764" s="32" t="n">
        <f aca="false">VLOOKUP($A1764,'Order Sales'!$A$2:$G$2154,F$1,FALSE())</f>
        <v>211.42</v>
      </c>
      <c r="G1764" s="32" t="str">
        <f aca="false">VLOOKUP($A1764,'Order Sales'!$A$2:$G$2154,G$1,FALSE())</f>
        <v>Small Business</v>
      </c>
    </row>
    <row r="1765" customFormat="false" ht="14.25" hidden="false" customHeight="false" outlineLevel="0" collapsed="false">
      <c r="A1765" s="1" t="n">
        <v>1516</v>
      </c>
      <c r="B1765" s="30" t="n">
        <v>43320</v>
      </c>
      <c r="C1765" s="30" t="n">
        <v>44887</v>
      </c>
      <c r="D1765" s="31" t="n">
        <f aca="false">VLOOKUP(A1765,'Order Shipping'!$A$2:$C$2000,3,FALSE())</f>
        <v>1.7</v>
      </c>
      <c r="E1765" s="32" t="n">
        <f aca="false">VLOOKUP($A1765,'Order Sales'!$A$2:$G$2154,E$1,FALSE())</f>
        <v>3</v>
      </c>
      <c r="F1765" s="32" t="n">
        <f aca="false">VLOOKUP($A1765,'Order Sales'!$A$2:$G$2154,F$1,FALSE())</f>
        <v>11.05</v>
      </c>
      <c r="G1765" s="32" t="str">
        <f aca="false">VLOOKUP($A1765,'Order Sales'!$A$2:$G$2154,G$1,FALSE())</f>
        <v>Small Business</v>
      </c>
    </row>
    <row r="1766" customFormat="false" ht="14.25" hidden="false" customHeight="false" outlineLevel="0" collapsed="false">
      <c r="A1766" s="1" t="n">
        <v>1633</v>
      </c>
      <c r="B1766" s="30" t="n">
        <v>43349</v>
      </c>
      <c r="C1766" s="30" t="n">
        <v>44888</v>
      </c>
      <c r="D1766" s="31" t="n">
        <f aca="false">VLOOKUP(A1766,'Order Shipping'!$A$2:$C$2000,3,FALSE())</f>
        <v>2.1</v>
      </c>
      <c r="E1766" s="32" t="n">
        <f aca="false">VLOOKUP($A1766,'Order Sales'!$A$2:$G$2154,E$1,FALSE())</f>
        <v>20</v>
      </c>
      <c r="F1766" s="32" t="n">
        <f aca="false">VLOOKUP($A1766,'Order Sales'!$A$2:$G$2154,F$1,FALSE())</f>
        <v>71.72</v>
      </c>
      <c r="G1766" s="32" t="str">
        <f aca="false">VLOOKUP($A1766,'Order Sales'!$A$2:$G$2154,G$1,FALSE())</f>
        <v>Corporate</v>
      </c>
    </row>
    <row r="1767" customFormat="false" ht="14.25" hidden="false" customHeight="false" outlineLevel="0" collapsed="false">
      <c r="A1767" s="1" t="n">
        <v>2060</v>
      </c>
      <c r="B1767" s="30" t="n">
        <v>43238</v>
      </c>
      <c r="C1767" s="30" t="n">
        <v>44889</v>
      </c>
      <c r="D1767" s="31" t="n">
        <f aca="false">VLOOKUP(A1767,'Order Shipping'!$A$2:$C$2000,3,FALSE())</f>
        <v>1.4</v>
      </c>
      <c r="E1767" s="32" t="n">
        <f aca="false">VLOOKUP($A1767,'Order Sales'!$A$2:$G$2154,E$1,FALSE())</f>
        <v>44</v>
      </c>
      <c r="F1767" s="32" t="n">
        <f aca="false">VLOOKUP($A1767,'Order Sales'!$A$2:$G$2154,F$1,FALSE())</f>
        <v>131.67</v>
      </c>
      <c r="G1767" s="32" t="str">
        <f aca="false">VLOOKUP($A1767,'Order Sales'!$A$2:$G$2154,G$1,FALSE())</f>
        <v>Corporate</v>
      </c>
    </row>
    <row r="1768" customFormat="false" ht="14.25" hidden="false" customHeight="false" outlineLevel="0" collapsed="false">
      <c r="A1768" s="1" t="n">
        <v>2032</v>
      </c>
      <c r="B1768" s="30" t="n">
        <v>43307</v>
      </c>
      <c r="C1768" s="30" t="n">
        <v>44890</v>
      </c>
      <c r="D1768" s="31" t="n">
        <f aca="false">VLOOKUP(A1768,'Order Shipping'!$A$2:$C$2000,3,FALSE())</f>
        <v>0.5</v>
      </c>
      <c r="E1768" s="32" t="n">
        <f aca="false">VLOOKUP($A1768,'Order Sales'!$A$2:$G$2154,E$1,FALSE())</f>
        <v>40</v>
      </c>
      <c r="F1768" s="32" t="n">
        <f aca="false">VLOOKUP($A1768,'Order Sales'!$A$2:$G$2154,F$1,FALSE())</f>
        <v>271.8</v>
      </c>
      <c r="G1768" s="32" t="str">
        <f aca="false">VLOOKUP($A1768,'Order Sales'!$A$2:$G$2154,G$1,FALSE())</f>
        <v>Small Business</v>
      </c>
    </row>
    <row r="1769" customFormat="false" ht="14.25" hidden="false" customHeight="false" outlineLevel="0" collapsed="false">
      <c r="A1769" s="1" t="n">
        <v>2125</v>
      </c>
      <c r="B1769" s="30" t="n">
        <v>43383</v>
      </c>
      <c r="C1769" s="30" t="n">
        <v>44891</v>
      </c>
      <c r="D1769" s="31" t="n">
        <f aca="false">VLOOKUP(A1769,'Order Shipping'!$A$2:$C$2000,3,FALSE())</f>
        <v>2.2</v>
      </c>
      <c r="E1769" s="32" t="n">
        <f aca="false">VLOOKUP($A1769,'Order Sales'!$A$2:$G$2154,E$1,FALSE())</f>
        <v>1</v>
      </c>
      <c r="F1769" s="32" t="n">
        <f aca="false">VLOOKUP($A1769,'Order Sales'!$A$2:$G$2154,F$1,FALSE())</f>
        <v>7.65</v>
      </c>
      <c r="G1769" s="32" t="str">
        <f aca="false">VLOOKUP($A1769,'Order Sales'!$A$2:$G$2154,G$1,FALSE())</f>
        <v>Consumer</v>
      </c>
    </row>
    <row r="1770" customFormat="false" ht="14.25" hidden="false" customHeight="false" outlineLevel="0" collapsed="false">
      <c r="A1770" s="1" t="n">
        <v>1224</v>
      </c>
      <c r="B1770" s="30" t="n">
        <v>43443</v>
      </c>
      <c r="C1770" s="30" t="n">
        <v>44892</v>
      </c>
      <c r="D1770" s="31" t="n">
        <f aca="false">VLOOKUP(A1770,'Order Shipping'!$A$2:$C$2000,3,FALSE())</f>
        <v>6.4</v>
      </c>
      <c r="E1770" s="32" t="n">
        <f aca="false">VLOOKUP($A1770,'Order Sales'!$A$2:$G$2154,E$1,FALSE())</f>
        <v>14</v>
      </c>
      <c r="F1770" s="32" t="n">
        <f aca="false">VLOOKUP($A1770,'Order Sales'!$A$2:$G$2154,F$1,FALSE())</f>
        <v>315.14</v>
      </c>
      <c r="G1770" s="32" t="str">
        <f aca="false">VLOOKUP($A1770,'Order Sales'!$A$2:$G$2154,G$1,FALSE())</f>
        <v>Small Business</v>
      </c>
    </row>
    <row r="1771" customFormat="false" ht="14.25" hidden="false" customHeight="false" outlineLevel="0" collapsed="false">
      <c r="A1771" s="1" t="n">
        <v>1541</v>
      </c>
      <c r="B1771" s="30" t="n">
        <v>43209</v>
      </c>
      <c r="C1771" s="30" t="n">
        <v>44893</v>
      </c>
      <c r="D1771" s="31" t="n">
        <f aca="false">VLOOKUP(A1771,'Order Shipping'!$A$2:$C$2000,3,FALSE())</f>
        <v>37.5</v>
      </c>
      <c r="E1771" s="32" t="n">
        <f aca="false">VLOOKUP($A1771,'Order Sales'!$A$2:$G$2154,E$1,FALSE())</f>
        <v>26</v>
      </c>
      <c r="F1771" s="32" t="n">
        <f aca="false">VLOOKUP($A1771,'Order Sales'!$A$2:$G$2154,F$1,FALSE())</f>
        <v>2892.69</v>
      </c>
      <c r="G1771" s="32" t="str">
        <f aca="false">VLOOKUP($A1771,'Order Sales'!$A$2:$G$2154,G$1,FALSE())</f>
        <v>Home Office</v>
      </c>
    </row>
    <row r="1772" customFormat="false" ht="14.25" hidden="false" customHeight="false" outlineLevel="0" collapsed="false">
      <c r="A1772" s="1" t="n">
        <v>1772</v>
      </c>
      <c r="B1772" s="30" t="n">
        <v>43200</v>
      </c>
      <c r="C1772" s="30" t="n">
        <v>44894</v>
      </c>
      <c r="D1772" s="31" t="n">
        <f aca="false">VLOOKUP(A1772,'Order Shipping'!$A$2:$C$2000,3,FALSE())</f>
        <v>9.3</v>
      </c>
      <c r="E1772" s="32" t="n">
        <f aca="false">VLOOKUP($A1772,'Order Sales'!$A$2:$G$2154,E$1,FALSE())</f>
        <v>36</v>
      </c>
      <c r="F1772" s="32" t="n">
        <f aca="false">VLOOKUP($A1772,'Order Sales'!$A$2:$G$2154,F$1,FALSE())</f>
        <v>249.72</v>
      </c>
      <c r="G1772" s="32" t="str">
        <f aca="false">VLOOKUP($A1772,'Order Sales'!$A$2:$G$2154,G$1,FALSE())</f>
        <v>Small Business</v>
      </c>
    </row>
    <row r="1773" customFormat="false" ht="14.25" hidden="false" customHeight="false" outlineLevel="0" collapsed="false">
      <c r="A1773" s="1" t="n">
        <v>2088</v>
      </c>
      <c r="B1773" s="30" t="n">
        <v>43298</v>
      </c>
      <c r="C1773" s="30" t="n">
        <v>44895</v>
      </c>
      <c r="D1773" s="31" t="n">
        <f aca="false">VLOOKUP(A1773,'Order Shipping'!$A$2:$C$2000,3,FALSE())</f>
        <v>0.5</v>
      </c>
      <c r="E1773" s="32" t="n">
        <f aca="false">VLOOKUP($A1773,'Order Sales'!$A$2:$G$2154,E$1,FALSE())</f>
        <v>3</v>
      </c>
      <c r="F1773" s="32" t="n">
        <f aca="false">VLOOKUP($A1773,'Order Sales'!$A$2:$G$2154,F$1,FALSE())</f>
        <v>9.2</v>
      </c>
      <c r="G1773" s="32" t="str">
        <f aca="false">VLOOKUP($A1773,'Order Sales'!$A$2:$G$2154,G$1,FALSE())</f>
        <v>Consumer</v>
      </c>
    </row>
    <row r="1774" customFormat="false" ht="14.25" hidden="false" customHeight="false" outlineLevel="0" collapsed="false">
      <c r="A1774" s="1" t="n">
        <v>1428</v>
      </c>
      <c r="B1774" s="30" t="n">
        <v>43110</v>
      </c>
      <c r="C1774" s="30" t="n">
        <v>44896</v>
      </c>
      <c r="D1774" s="31" t="n">
        <f aca="false">VLOOKUP(A1774,'Order Shipping'!$A$2:$C$2000,3,FALSE())</f>
        <v>7.1</v>
      </c>
      <c r="E1774" s="32" t="n">
        <f aca="false">VLOOKUP($A1774,'Order Sales'!$A$2:$G$2154,E$1,FALSE())</f>
        <v>15</v>
      </c>
      <c r="F1774" s="32" t="n">
        <f aca="false">VLOOKUP($A1774,'Order Sales'!$A$2:$G$2154,F$1,FALSE())</f>
        <v>72.13</v>
      </c>
      <c r="G1774" s="32" t="str">
        <f aca="false">VLOOKUP($A1774,'Order Sales'!$A$2:$G$2154,G$1,FALSE())</f>
        <v>Corporate</v>
      </c>
    </row>
    <row r="1775" customFormat="false" ht="14.25" hidden="false" customHeight="false" outlineLevel="0" collapsed="false">
      <c r="A1775" s="1" t="n">
        <v>2915</v>
      </c>
      <c r="B1775" s="30" t="n">
        <v>43400</v>
      </c>
      <c r="C1775" s="30" t="n">
        <v>44897</v>
      </c>
      <c r="D1775" s="31" t="n">
        <f aca="false">VLOOKUP(A1775,'Order Shipping'!$A$2:$C$2000,3,FALSE())</f>
        <v>2.1</v>
      </c>
      <c r="E1775" s="32" t="n">
        <f aca="false">VLOOKUP($A1775,'Order Sales'!$A$2:$G$2154,E$1,FALSE())</f>
        <v>11</v>
      </c>
      <c r="F1775" s="32" t="n">
        <f aca="false">VLOOKUP($A1775,'Order Sales'!$A$2:$G$2154,F$1,FALSE())</f>
        <v>505.17</v>
      </c>
      <c r="G1775" s="32" t="str">
        <f aca="false">VLOOKUP($A1775,'Order Sales'!$A$2:$G$2154,G$1,FALSE())</f>
        <v>Corporate</v>
      </c>
    </row>
    <row r="1776" customFormat="false" ht="14.25" hidden="false" customHeight="false" outlineLevel="0" collapsed="false">
      <c r="A1776" s="1" t="n">
        <v>2154</v>
      </c>
      <c r="B1776" s="30" t="n">
        <v>43342</v>
      </c>
      <c r="C1776" s="30" t="n">
        <v>44898</v>
      </c>
      <c r="D1776" s="31" t="n">
        <f aca="false">VLOOKUP(A1776,'Order Shipping'!$A$2:$C$2000,3,FALSE())</f>
        <v>6.6</v>
      </c>
      <c r="E1776" s="32" t="n">
        <f aca="false">VLOOKUP($A1776,'Order Sales'!$A$2:$G$2154,E$1,FALSE())</f>
        <v>39</v>
      </c>
      <c r="F1776" s="32" t="n">
        <f aca="false">VLOOKUP($A1776,'Order Sales'!$A$2:$G$2154,F$1,FALSE())</f>
        <v>323.24</v>
      </c>
      <c r="G1776" s="32" t="str">
        <f aca="false">VLOOKUP($A1776,'Order Sales'!$A$2:$G$2154,G$1,FALSE())</f>
        <v>Consumer</v>
      </c>
    </row>
    <row r="1777" customFormat="false" ht="14.25" hidden="false" customHeight="false" outlineLevel="0" collapsed="false">
      <c r="A1777" s="1" t="n">
        <v>2557</v>
      </c>
      <c r="B1777" s="30" t="n">
        <v>43123</v>
      </c>
      <c r="C1777" s="30" t="n">
        <v>44899</v>
      </c>
      <c r="D1777" s="31" t="n">
        <f aca="false">VLOOKUP(A1777,'Order Shipping'!$A$2:$C$2000,3,FALSE())</f>
        <v>1.6</v>
      </c>
      <c r="E1777" s="32" t="n">
        <f aca="false">VLOOKUP($A1777,'Order Sales'!$A$2:$G$2154,E$1,FALSE())</f>
        <v>18</v>
      </c>
      <c r="F1777" s="32" t="n">
        <f aca="false">VLOOKUP($A1777,'Order Sales'!$A$2:$G$2154,F$1,FALSE())</f>
        <v>96.29</v>
      </c>
      <c r="G1777" s="32" t="str">
        <f aca="false">VLOOKUP($A1777,'Order Sales'!$A$2:$G$2154,G$1,FALSE())</f>
        <v>Small Business</v>
      </c>
    </row>
    <row r="1778" customFormat="false" ht="14.25" hidden="false" customHeight="false" outlineLevel="0" collapsed="false">
      <c r="A1778" s="1" t="n">
        <v>2819</v>
      </c>
      <c r="B1778" s="30" t="n">
        <v>43339</v>
      </c>
      <c r="C1778" s="30" t="n">
        <v>44900</v>
      </c>
      <c r="D1778" s="31" t="n">
        <f aca="false">VLOOKUP(A1778,'Order Shipping'!$A$2:$C$2000,3,FALSE())</f>
        <v>5.8</v>
      </c>
      <c r="E1778" s="32" t="n">
        <f aca="false">VLOOKUP($A1778,'Order Sales'!$A$2:$G$2154,E$1,FALSE())</f>
        <v>32</v>
      </c>
      <c r="F1778" s="32" t="n">
        <f aca="false">VLOOKUP($A1778,'Order Sales'!$A$2:$G$2154,F$1,FALSE())</f>
        <v>211.79</v>
      </c>
      <c r="G1778" s="32" t="str">
        <f aca="false">VLOOKUP($A1778,'Order Sales'!$A$2:$G$2154,G$1,FALSE())</f>
        <v>Small Business</v>
      </c>
    </row>
    <row r="1779" customFormat="false" ht="14.25" hidden="false" customHeight="false" outlineLevel="0" collapsed="false">
      <c r="A1779" s="1" t="n">
        <v>2983</v>
      </c>
      <c r="B1779" s="30" t="n">
        <v>43128</v>
      </c>
      <c r="C1779" s="30" t="n">
        <v>44901</v>
      </c>
      <c r="D1779" s="31" t="n">
        <f aca="false">VLOOKUP(A1779,'Order Shipping'!$A$2:$C$2000,3,FALSE())</f>
        <v>3.2</v>
      </c>
      <c r="E1779" s="32" t="n">
        <f aca="false">VLOOKUP($A1779,'Order Sales'!$A$2:$G$2154,E$1,FALSE())</f>
        <v>38</v>
      </c>
      <c r="F1779" s="32" t="n">
        <f aca="false">VLOOKUP($A1779,'Order Sales'!$A$2:$G$2154,F$1,FALSE())</f>
        <v>202.75</v>
      </c>
      <c r="G1779" s="32" t="str">
        <f aca="false">VLOOKUP($A1779,'Order Sales'!$A$2:$G$2154,G$1,FALSE())</f>
        <v>Home Office</v>
      </c>
    </row>
    <row r="1780" customFormat="false" ht="14.25" hidden="false" customHeight="false" outlineLevel="0" collapsed="false">
      <c r="A1780" s="1" t="n">
        <v>2221</v>
      </c>
      <c r="B1780" s="30" t="n">
        <v>43361</v>
      </c>
      <c r="C1780" s="30" t="n">
        <v>44902</v>
      </c>
      <c r="D1780" s="31" t="n">
        <f aca="false">VLOOKUP(A1780,'Order Shipping'!$A$2:$C$2000,3,FALSE())</f>
        <v>10.1</v>
      </c>
      <c r="E1780" s="32" t="n">
        <f aca="false">VLOOKUP($A1780,'Order Sales'!$A$2:$G$2154,E$1,FALSE())</f>
        <v>46</v>
      </c>
      <c r="F1780" s="32" t="n">
        <f aca="false">VLOOKUP($A1780,'Order Sales'!$A$2:$G$2154,F$1,FALSE())</f>
        <v>681.06</v>
      </c>
      <c r="G1780" s="32" t="str">
        <f aca="false">VLOOKUP($A1780,'Order Sales'!$A$2:$G$2154,G$1,FALSE())</f>
        <v>Corporate</v>
      </c>
    </row>
    <row r="1781" customFormat="false" ht="14.25" hidden="false" customHeight="false" outlineLevel="0" collapsed="false">
      <c r="A1781" s="1" t="n">
        <v>2896</v>
      </c>
      <c r="B1781" s="30" t="n">
        <v>43185</v>
      </c>
      <c r="C1781" s="30" t="n">
        <v>44903</v>
      </c>
      <c r="D1781" s="31" t="n">
        <f aca="false">VLOOKUP(A1781,'Order Shipping'!$A$2:$C$2000,3,FALSE())</f>
        <v>5.2</v>
      </c>
      <c r="E1781" s="32" t="n">
        <f aca="false">VLOOKUP($A1781,'Order Sales'!$A$2:$G$2154,E$1,FALSE())</f>
        <v>24</v>
      </c>
      <c r="F1781" s="32" t="n">
        <f aca="false">VLOOKUP($A1781,'Order Sales'!$A$2:$G$2154,F$1,FALSE())</f>
        <v>130.34</v>
      </c>
      <c r="G1781" s="32" t="str">
        <f aca="false">VLOOKUP($A1781,'Order Sales'!$A$2:$G$2154,G$1,FALSE())</f>
        <v>Home Office</v>
      </c>
    </row>
    <row r="1782" customFormat="false" ht="14.25" hidden="false" customHeight="false" outlineLevel="0" collapsed="false">
      <c r="A1782" s="1" t="n">
        <v>1729</v>
      </c>
      <c r="B1782" s="30" t="n">
        <v>43196</v>
      </c>
      <c r="C1782" s="30" t="n">
        <v>44904</v>
      </c>
      <c r="D1782" s="31" t="n">
        <f aca="false">VLOOKUP(A1782,'Order Shipping'!$A$2:$C$2000,3,FALSE())</f>
        <v>10.2</v>
      </c>
      <c r="E1782" s="32" t="n">
        <f aca="false">VLOOKUP($A1782,'Order Sales'!$A$2:$G$2154,E$1,FALSE())</f>
        <v>43</v>
      </c>
      <c r="F1782" s="32" t="n">
        <f aca="false">VLOOKUP($A1782,'Order Sales'!$A$2:$G$2154,F$1,FALSE())</f>
        <v>873.24</v>
      </c>
      <c r="G1782" s="32" t="str">
        <f aca="false">VLOOKUP($A1782,'Order Sales'!$A$2:$G$2154,G$1,FALSE())</f>
        <v>Corporate</v>
      </c>
    </row>
    <row r="1783" customFormat="false" ht="14.25" hidden="false" customHeight="false" outlineLevel="0" collapsed="false">
      <c r="A1783" s="1" t="n">
        <v>1739</v>
      </c>
      <c r="B1783" s="30" t="n">
        <v>43283</v>
      </c>
      <c r="C1783" s="30" t="n">
        <v>44905</v>
      </c>
      <c r="D1783" s="31" t="n">
        <f aca="false">VLOOKUP(A1783,'Order Shipping'!$A$2:$C$2000,3,FALSE())</f>
        <v>7.1</v>
      </c>
      <c r="E1783" s="32" t="n">
        <f aca="false">VLOOKUP($A1783,'Order Sales'!$A$2:$G$2154,E$1,FALSE())</f>
        <v>45</v>
      </c>
      <c r="F1783" s="32" t="n">
        <f aca="false">VLOOKUP($A1783,'Order Sales'!$A$2:$G$2154,F$1,FALSE())</f>
        <v>317.6</v>
      </c>
      <c r="G1783" s="32" t="str">
        <f aca="false">VLOOKUP($A1783,'Order Sales'!$A$2:$G$2154,G$1,FALSE())</f>
        <v>Corporate</v>
      </c>
    </row>
    <row r="1784" customFormat="false" ht="14.25" hidden="false" customHeight="false" outlineLevel="0" collapsed="false">
      <c r="A1784" s="1" t="n">
        <v>1253</v>
      </c>
      <c r="B1784" s="30" t="n">
        <v>43220</v>
      </c>
      <c r="C1784" s="30" t="n">
        <v>44906</v>
      </c>
      <c r="D1784" s="31" t="n">
        <f aca="false">VLOOKUP(A1784,'Order Shipping'!$A$2:$C$2000,3,FALSE())</f>
        <v>59.7</v>
      </c>
      <c r="E1784" s="32" t="n">
        <f aca="false">VLOOKUP($A1784,'Order Sales'!$A$2:$G$2154,E$1,FALSE())</f>
        <v>50</v>
      </c>
      <c r="F1784" s="32" t="n">
        <f aca="false">VLOOKUP($A1784,'Order Sales'!$A$2:$G$2154,F$1,FALSE())</f>
        <v>4177.41</v>
      </c>
      <c r="G1784" s="32" t="str">
        <f aca="false">VLOOKUP($A1784,'Order Sales'!$A$2:$G$2154,G$1,FALSE())</f>
        <v>Corporate</v>
      </c>
    </row>
    <row r="1785" customFormat="false" ht="14.25" hidden="false" customHeight="false" outlineLevel="0" collapsed="false">
      <c r="A1785" s="1" t="n">
        <v>2944</v>
      </c>
      <c r="B1785" s="30" t="n">
        <v>43107</v>
      </c>
      <c r="C1785" s="30" t="n">
        <v>44907</v>
      </c>
      <c r="D1785" s="31" t="n">
        <f aca="false">VLOOKUP(A1785,'Order Shipping'!$A$2:$C$2000,3,FALSE())</f>
        <v>14.6</v>
      </c>
      <c r="E1785" s="32" t="n">
        <f aca="false">VLOOKUP($A1785,'Order Sales'!$A$2:$G$2154,E$1,FALSE())</f>
        <v>36</v>
      </c>
      <c r="F1785" s="32" t="n">
        <f aca="false">VLOOKUP($A1785,'Order Sales'!$A$2:$G$2154,F$1,FALSE())</f>
        <v>2071.84</v>
      </c>
      <c r="G1785" s="32" t="str">
        <f aca="false">VLOOKUP($A1785,'Order Sales'!$A$2:$G$2154,G$1,FALSE())</f>
        <v>Corporate</v>
      </c>
    </row>
    <row r="1786" customFormat="false" ht="14.25" hidden="false" customHeight="false" outlineLevel="0" collapsed="false">
      <c r="A1786" s="1" t="n">
        <v>2608</v>
      </c>
      <c r="B1786" s="30" t="n">
        <v>43336</v>
      </c>
      <c r="C1786" s="30" t="n">
        <v>44908</v>
      </c>
      <c r="D1786" s="31" t="n">
        <f aca="false">VLOOKUP(A1786,'Order Shipping'!$A$2:$C$2000,3,FALSE())</f>
        <v>5.9</v>
      </c>
      <c r="E1786" s="32" t="n">
        <f aca="false">VLOOKUP($A1786,'Order Sales'!$A$2:$G$2154,E$1,FALSE())</f>
        <v>13</v>
      </c>
      <c r="F1786" s="32" t="n">
        <f aca="false">VLOOKUP($A1786,'Order Sales'!$A$2:$G$2154,F$1,FALSE())</f>
        <v>105.74</v>
      </c>
      <c r="G1786" s="32" t="str">
        <f aca="false">VLOOKUP($A1786,'Order Sales'!$A$2:$G$2154,G$1,FALSE())</f>
        <v>Corporate</v>
      </c>
    </row>
    <row r="1787" customFormat="false" ht="14.25" hidden="false" customHeight="false" outlineLevel="0" collapsed="false">
      <c r="A1787" s="1" t="n">
        <v>2450</v>
      </c>
      <c r="B1787" s="30" t="n">
        <v>43108</v>
      </c>
      <c r="C1787" s="30" t="n">
        <v>44909</v>
      </c>
      <c r="D1787" s="31" t="n">
        <f aca="false">VLOOKUP(A1787,'Order Shipping'!$A$2:$C$2000,3,FALSE())</f>
        <v>2.4</v>
      </c>
      <c r="E1787" s="32" t="n">
        <f aca="false">VLOOKUP($A1787,'Order Sales'!$A$2:$G$2154,E$1,FALSE())</f>
        <v>47</v>
      </c>
      <c r="F1787" s="32" t="n">
        <f aca="false">VLOOKUP($A1787,'Order Sales'!$A$2:$G$2154,F$1,FALSE())</f>
        <v>213.44</v>
      </c>
      <c r="G1787" s="32" t="str">
        <f aca="false">VLOOKUP($A1787,'Order Sales'!$A$2:$G$2154,G$1,FALSE())</f>
        <v>Corporate</v>
      </c>
    </row>
    <row r="1788" customFormat="false" ht="14.25" hidden="false" customHeight="false" outlineLevel="0" collapsed="false">
      <c r="A1788" s="1" t="n">
        <v>2329</v>
      </c>
      <c r="B1788" s="30" t="n">
        <v>43154</v>
      </c>
      <c r="C1788" s="30" t="n">
        <v>44910</v>
      </c>
      <c r="D1788" s="31" t="n">
        <f aca="false">VLOOKUP(A1788,'Order Shipping'!$A$2:$C$2000,3,FALSE())</f>
        <v>4.3</v>
      </c>
      <c r="E1788" s="32" t="n">
        <f aca="false">VLOOKUP($A1788,'Order Sales'!$A$2:$G$2154,E$1,FALSE())</f>
        <v>46</v>
      </c>
      <c r="F1788" s="32" t="n">
        <f aca="false">VLOOKUP($A1788,'Order Sales'!$A$2:$G$2154,F$1,FALSE())</f>
        <v>1858.09</v>
      </c>
      <c r="G1788" s="32" t="str">
        <f aca="false">VLOOKUP($A1788,'Order Sales'!$A$2:$G$2154,G$1,FALSE())</f>
        <v>Home Office</v>
      </c>
    </row>
    <row r="1789" customFormat="false" ht="14.25" hidden="false" customHeight="false" outlineLevel="0" collapsed="false">
      <c r="A1789" s="1" t="n">
        <v>2370</v>
      </c>
      <c r="B1789" s="30" t="n">
        <v>43293</v>
      </c>
      <c r="C1789" s="30" t="n">
        <v>44911</v>
      </c>
      <c r="D1789" s="31" t="n">
        <f aca="false">VLOOKUP(A1789,'Order Shipping'!$A$2:$C$2000,3,FALSE())</f>
        <v>7.3</v>
      </c>
      <c r="E1789" s="32" t="n">
        <f aca="false">VLOOKUP($A1789,'Order Sales'!$A$2:$G$2154,E$1,FALSE())</f>
        <v>23</v>
      </c>
      <c r="F1789" s="32" t="n">
        <f aca="false">VLOOKUP($A1789,'Order Sales'!$A$2:$G$2154,F$1,FALSE())</f>
        <v>1406.66</v>
      </c>
      <c r="G1789" s="32" t="str">
        <f aca="false">VLOOKUP($A1789,'Order Sales'!$A$2:$G$2154,G$1,FALSE())</f>
        <v>Consumer</v>
      </c>
    </row>
    <row r="1790" customFormat="false" ht="14.25" hidden="false" customHeight="false" outlineLevel="0" collapsed="false">
      <c r="A1790" s="1" t="n">
        <v>2066</v>
      </c>
      <c r="B1790" s="30" t="n">
        <v>43282</v>
      </c>
      <c r="C1790" s="30" t="n">
        <v>44912</v>
      </c>
      <c r="D1790" s="31" t="n">
        <f aca="false">VLOOKUP(A1790,'Order Shipping'!$A$2:$C$2000,3,FALSE())</f>
        <v>70.9</v>
      </c>
      <c r="E1790" s="32" t="n">
        <f aca="false">VLOOKUP($A1790,'Order Sales'!$A$2:$G$2154,E$1,FALSE())</f>
        <v>14</v>
      </c>
      <c r="F1790" s="32" t="n">
        <f aca="false">VLOOKUP($A1790,'Order Sales'!$A$2:$G$2154,F$1,FALSE())</f>
        <v>2231.95</v>
      </c>
      <c r="G1790" s="32" t="str">
        <f aca="false">VLOOKUP($A1790,'Order Sales'!$A$2:$G$2154,G$1,FALSE())</f>
        <v>Small Business</v>
      </c>
    </row>
    <row r="1791" customFormat="false" ht="14.25" hidden="false" customHeight="false" outlineLevel="0" collapsed="false">
      <c r="A1791" s="1" t="n">
        <v>2850</v>
      </c>
      <c r="B1791" s="30" t="n">
        <v>43392</v>
      </c>
      <c r="C1791" s="30" t="n">
        <v>44913</v>
      </c>
      <c r="D1791" s="31" t="n">
        <f aca="false">VLOOKUP(A1791,'Order Shipping'!$A$2:$C$2000,3,FALSE())</f>
        <v>1.1</v>
      </c>
      <c r="E1791" s="32" t="n">
        <f aca="false">VLOOKUP($A1791,'Order Sales'!$A$2:$G$2154,E$1,FALSE())</f>
        <v>23</v>
      </c>
      <c r="F1791" s="32" t="n">
        <f aca="false">VLOOKUP($A1791,'Order Sales'!$A$2:$G$2154,F$1,FALSE())</f>
        <v>444.11</v>
      </c>
      <c r="G1791" s="32" t="str">
        <f aca="false">VLOOKUP($A1791,'Order Sales'!$A$2:$G$2154,G$1,FALSE())</f>
        <v>Consumer</v>
      </c>
    </row>
    <row r="1792" customFormat="false" ht="14.25" hidden="false" customHeight="false" outlineLevel="0" collapsed="false">
      <c r="A1792" s="1" t="n">
        <v>1558</v>
      </c>
      <c r="B1792" s="30" t="n">
        <v>43437</v>
      </c>
      <c r="C1792" s="30" t="n">
        <v>44914</v>
      </c>
      <c r="D1792" s="31" t="n">
        <f aca="false">VLOOKUP(A1792,'Order Shipping'!$A$2:$C$2000,3,FALSE())</f>
        <v>2.1</v>
      </c>
      <c r="E1792" s="32" t="n">
        <f aca="false">VLOOKUP($A1792,'Order Sales'!$A$2:$G$2154,E$1,FALSE())</f>
        <v>44</v>
      </c>
      <c r="F1792" s="32" t="n">
        <f aca="false">VLOOKUP($A1792,'Order Sales'!$A$2:$G$2154,F$1,FALSE())</f>
        <v>1206.76</v>
      </c>
      <c r="G1792" s="32" t="str">
        <f aca="false">VLOOKUP($A1792,'Order Sales'!$A$2:$G$2154,G$1,FALSE())</f>
        <v>Corporate</v>
      </c>
    </row>
    <row r="1793" customFormat="false" ht="14.25" hidden="false" customHeight="false" outlineLevel="0" collapsed="false">
      <c r="A1793" s="1" t="n">
        <v>1318</v>
      </c>
      <c r="B1793" s="30" t="n">
        <v>43346</v>
      </c>
      <c r="C1793" s="30" t="n">
        <v>44915</v>
      </c>
      <c r="D1793" s="31" t="n">
        <f aca="false">VLOOKUP(A1793,'Order Shipping'!$A$2:$C$2000,3,FALSE())</f>
        <v>0.7</v>
      </c>
      <c r="E1793" s="32" t="n">
        <f aca="false">VLOOKUP($A1793,'Order Sales'!$A$2:$G$2154,E$1,FALSE())</f>
        <v>18</v>
      </c>
      <c r="F1793" s="32" t="n">
        <f aca="false">VLOOKUP($A1793,'Order Sales'!$A$2:$G$2154,F$1,FALSE())</f>
        <v>36.34</v>
      </c>
      <c r="G1793" s="32" t="str">
        <f aca="false">VLOOKUP($A1793,'Order Sales'!$A$2:$G$2154,G$1,FALSE())</f>
        <v>Home Office</v>
      </c>
    </row>
    <row r="1794" customFormat="false" ht="14.25" hidden="false" customHeight="false" outlineLevel="0" collapsed="false">
      <c r="A1794" s="1" t="n">
        <v>2762</v>
      </c>
      <c r="B1794" s="30" t="n">
        <v>43146</v>
      </c>
      <c r="C1794" s="30" t="n">
        <v>44916</v>
      </c>
      <c r="D1794" s="31" t="n">
        <f aca="false">VLOOKUP(A1794,'Order Shipping'!$A$2:$C$2000,3,FALSE())</f>
        <v>5.9</v>
      </c>
      <c r="E1794" s="32" t="n">
        <f aca="false">VLOOKUP($A1794,'Order Sales'!$A$2:$G$2154,E$1,FALSE())</f>
        <v>19</v>
      </c>
      <c r="F1794" s="32" t="n">
        <f aca="false">VLOOKUP($A1794,'Order Sales'!$A$2:$G$2154,F$1,FALSE())</f>
        <v>147.71</v>
      </c>
      <c r="G1794" s="32" t="str">
        <f aca="false">VLOOKUP($A1794,'Order Sales'!$A$2:$G$2154,G$1,FALSE())</f>
        <v>Corporate</v>
      </c>
    </row>
    <row r="1795" customFormat="false" ht="14.25" hidden="false" customHeight="false" outlineLevel="0" collapsed="false">
      <c r="A1795" s="1" t="n">
        <v>1662</v>
      </c>
      <c r="B1795" s="30" t="n">
        <v>43448</v>
      </c>
      <c r="C1795" s="30" t="n">
        <v>44917</v>
      </c>
      <c r="D1795" s="31" t="n">
        <f aca="false">VLOOKUP(A1795,'Order Shipping'!$A$2:$C$2000,3,FALSE())</f>
        <v>8.7</v>
      </c>
      <c r="E1795" s="32" t="n">
        <f aca="false">VLOOKUP($A1795,'Order Sales'!$A$2:$G$2154,E$1,FALSE())</f>
        <v>39</v>
      </c>
      <c r="F1795" s="32" t="n">
        <f aca="false">VLOOKUP($A1795,'Order Sales'!$A$2:$G$2154,F$1,FALSE())</f>
        <v>247.39</v>
      </c>
      <c r="G1795" s="32" t="str">
        <f aca="false">VLOOKUP($A1795,'Order Sales'!$A$2:$G$2154,G$1,FALSE())</f>
        <v>Consumer</v>
      </c>
    </row>
    <row r="1796" customFormat="false" ht="14.25" hidden="false" customHeight="false" outlineLevel="0" collapsed="false">
      <c r="A1796" s="1" t="n">
        <v>1747</v>
      </c>
      <c r="B1796" s="30" t="n">
        <v>43144</v>
      </c>
      <c r="C1796" s="30" t="n">
        <v>44918</v>
      </c>
      <c r="D1796" s="31" t="n">
        <f aca="false">VLOOKUP(A1796,'Order Shipping'!$A$2:$C$2000,3,FALSE())</f>
        <v>3.2</v>
      </c>
      <c r="E1796" s="32" t="n">
        <f aca="false">VLOOKUP($A1796,'Order Sales'!$A$2:$G$2154,E$1,FALSE())</f>
        <v>25</v>
      </c>
      <c r="F1796" s="32" t="n">
        <f aca="false">VLOOKUP($A1796,'Order Sales'!$A$2:$G$2154,F$1,FALSE())</f>
        <v>4671.99</v>
      </c>
      <c r="G1796" s="32" t="str">
        <f aca="false">VLOOKUP($A1796,'Order Sales'!$A$2:$G$2154,G$1,FALSE())</f>
        <v>Corporate</v>
      </c>
    </row>
    <row r="1797" customFormat="false" ht="14.25" hidden="false" customHeight="false" outlineLevel="0" collapsed="false">
      <c r="A1797" s="1" t="n">
        <v>1556</v>
      </c>
      <c r="B1797" s="30" t="n">
        <v>43239</v>
      </c>
      <c r="C1797" s="30" t="n">
        <v>44919</v>
      </c>
      <c r="D1797" s="31" t="n">
        <f aca="false">VLOOKUP(A1797,'Order Shipping'!$A$2:$C$2000,3,FALSE())</f>
        <v>7.8</v>
      </c>
      <c r="E1797" s="32" t="n">
        <f aca="false">VLOOKUP($A1797,'Order Sales'!$A$2:$G$2154,E$1,FALSE())</f>
        <v>37</v>
      </c>
      <c r="F1797" s="32" t="n">
        <f aca="false">VLOOKUP($A1797,'Order Sales'!$A$2:$G$2154,F$1,FALSE())</f>
        <v>276.64</v>
      </c>
      <c r="G1797" s="32" t="str">
        <f aca="false">VLOOKUP($A1797,'Order Sales'!$A$2:$G$2154,G$1,FALSE())</f>
        <v>Home Office</v>
      </c>
    </row>
    <row r="1798" customFormat="false" ht="14.25" hidden="false" customHeight="false" outlineLevel="0" collapsed="false">
      <c r="A1798" s="1" t="n">
        <v>2594</v>
      </c>
      <c r="B1798" s="30" t="n">
        <v>43235</v>
      </c>
      <c r="C1798" s="30" t="n">
        <v>44920</v>
      </c>
      <c r="D1798" s="31" t="n">
        <f aca="false">VLOOKUP(A1798,'Order Shipping'!$A$2:$C$2000,3,FALSE())</f>
        <v>1.1</v>
      </c>
      <c r="E1798" s="32" t="n">
        <f aca="false">VLOOKUP($A1798,'Order Sales'!$A$2:$G$2154,E$1,FALSE())</f>
        <v>44</v>
      </c>
      <c r="F1798" s="32" t="n">
        <f aca="false">VLOOKUP($A1798,'Order Sales'!$A$2:$G$2154,F$1,FALSE())</f>
        <v>889.79</v>
      </c>
      <c r="G1798" s="32" t="str">
        <f aca="false">VLOOKUP($A1798,'Order Sales'!$A$2:$G$2154,G$1,FALSE())</f>
        <v>Small Business</v>
      </c>
    </row>
    <row r="1799" customFormat="false" ht="14.25" hidden="false" customHeight="false" outlineLevel="0" collapsed="false">
      <c r="A1799" s="1" t="n">
        <v>1567</v>
      </c>
      <c r="B1799" s="30" t="n">
        <v>43357</v>
      </c>
      <c r="C1799" s="30" t="n">
        <v>44921</v>
      </c>
      <c r="D1799" s="31" t="n">
        <f aca="false">VLOOKUP(A1799,'Order Shipping'!$A$2:$C$2000,3,FALSE())</f>
        <v>6.5</v>
      </c>
      <c r="E1799" s="32" t="n">
        <f aca="false">VLOOKUP($A1799,'Order Sales'!$A$2:$G$2154,E$1,FALSE())</f>
        <v>36</v>
      </c>
      <c r="F1799" s="32" t="n">
        <f aca="false">VLOOKUP($A1799,'Order Sales'!$A$2:$G$2154,F$1,FALSE())</f>
        <v>84.55</v>
      </c>
      <c r="G1799" s="32" t="str">
        <f aca="false">VLOOKUP($A1799,'Order Sales'!$A$2:$G$2154,G$1,FALSE())</f>
        <v>Small Business</v>
      </c>
    </row>
    <row r="1800" customFormat="false" ht="14.25" hidden="false" customHeight="false" outlineLevel="0" collapsed="false">
      <c r="A1800" s="1" t="n">
        <v>2134</v>
      </c>
      <c r="B1800" s="30" t="n">
        <v>43160</v>
      </c>
      <c r="C1800" s="30" t="n">
        <v>44922</v>
      </c>
      <c r="D1800" s="31" t="n">
        <f aca="false">VLOOKUP(A1800,'Order Shipping'!$A$2:$C$2000,3,FALSE())</f>
        <v>1.4</v>
      </c>
      <c r="E1800" s="32" t="n">
        <f aca="false">VLOOKUP($A1800,'Order Sales'!$A$2:$G$2154,E$1,FALSE())</f>
        <v>19</v>
      </c>
      <c r="F1800" s="32" t="n">
        <f aca="false">VLOOKUP($A1800,'Order Sales'!$A$2:$G$2154,F$1,FALSE())</f>
        <v>54.56</v>
      </c>
      <c r="G1800" s="32" t="str">
        <f aca="false">VLOOKUP($A1800,'Order Sales'!$A$2:$G$2154,G$1,FALSE())</f>
        <v>Corporate</v>
      </c>
    </row>
    <row r="1801" customFormat="false" ht="14.25" hidden="false" customHeight="false" outlineLevel="0" collapsed="false">
      <c r="A1801" s="1" t="n">
        <v>2422</v>
      </c>
      <c r="B1801" s="30" t="n">
        <v>43271</v>
      </c>
      <c r="C1801" s="30" t="n">
        <v>44923</v>
      </c>
      <c r="D1801" s="31" t="n">
        <f aca="false">VLOOKUP(A1801,'Order Shipping'!$A$2:$C$2000,3,FALSE())</f>
        <v>5.9</v>
      </c>
      <c r="E1801" s="32" t="n">
        <f aca="false">VLOOKUP($A1801,'Order Sales'!$A$2:$G$2154,E$1,FALSE())</f>
        <v>27</v>
      </c>
      <c r="F1801" s="32" t="n">
        <f aca="false">VLOOKUP($A1801,'Order Sales'!$A$2:$G$2154,F$1,FALSE())</f>
        <v>880.29</v>
      </c>
      <c r="G1801" s="32" t="str">
        <f aca="false">VLOOKUP($A1801,'Order Sales'!$A$2:$G$2154,G$1,FALSE())</f>
        <v>Home Office</v>
      </c>
    </row>
    <row r="1802" customFormat="false" ht="14.25" hidden="false" customHeight="false" outlineLevel="0" collapsed="false">
      <c r="A1802" s="1" t="n">
        <v>2166</v>
      </c>
      <c r="B1802" s="30" t="n">
        <v>43134</v>
      </c>
      <c r="C1802" s="30" t="n">
        <v>44924</v>
      </c>
      <c r="D1802" s="31" t="n">
        <f aca="false">VLOOKUP(A1802,'Order Shipping'!$A$2:$C$2000,3,FALSE())</f>
        <v>7.3</v>
      </c>
      <c r="E1802" s="32" t="n">
        <f aca="false">VLOOKUP($A1802,'Order Sales'!$A$2:$G$2154,E$1,FALSE())</f>
        <v>49</v>
      </c>
      <c r="F1802" s="32" t="n">
        <f aca="false">VLOOKUP($A1802,'Order Sales'!$A$2:$G$2154,F$1,FALSE())</f>
        <v>177.1</v>
      </c>
      <c r="G1802" s="32" t="str">
        <f aca="false">VLOOKUP($A1802,'Order Sales'!$A$2:$G$2154,G$1,FALSE())</f>
        <v>Consumer</v>
      </c>
    </row>
    <row r="1803" customFormat="false" ht="14.25" hidden="false" customHeight="false" outlineLevel="0" collapsed="false">
      <c r="A1803" s="1" t="n">
        <v>1037</v>
      </c>
      <c r="B1803" s="30" t="n">
        <v>43350</v>
      </c>
      <c r="C1803" s="30" t="n">
        <v>44925</v>
      </c>
      <c r="D1803" s="31" t="n">
        <f aca="false">VLOOKUP(A1803,'Order Shipping'!$A$2:$C$2000,3,FALSE())</f>
        <v>0.7</v>
      </c>
      <c r="E1803" s="32" t="n">
        <f aca="false">VLOOKUP($A1803,'Order Sales'!$A$2:$G$2154,E$1,FALSE())</f>
        <v>42</v>
      </c>
      <c r="F1803" s="32" t="n">
        <f aca="false">VLOOKUP($A1803,'Order Sales'!$A$2:$G$2154,F$1,FALSE())</f>
        <v>80.4</v>
      </c>
      <c r="G1803" s="32" t="str">
        <f aca="false">VLOOKUP($A1803,'Order Sales'!$A$2:$G$2154,G$1,FALSE())</f>
        <v>Consumer</v>
      </c>
    </row>
    <row r="1804" customFormat="false" ht="14.25" hidden="false" customHeight="false" outlineLevel="0" collapsed="false">
      <c r="A1804" s="1" t="n">
        <v>1583</v>
      </c>
      <c r="B1804" s="30" t="n">
        <v>43199</v>
      </c>
      <c r="C1804" s="30" t="n">
        <v>44926</v>
      </c>
      <c r="D1804" s="31" t="n">
        <f aca="false">VLOOKUP(A1804,'Order Shipping'!$A$2:$C$2000,3,FALSE())</f>
        <v>55.9</v>
      </c>
      <c r="E1804" s="32" t="n">
        <f aca="false">VLOOKUP($A1804,'Order Sales'!$A$2:$G$2154,E$1,FALSE())</f>
        <v>45</v>
      </c>
      <c r="F1804" s="32" t="n">
        <f aca="false">VLOOKUP($A1804,'Order Sales'!$A$2:$G$2154,F$1,FALSE())</f>
        <v>2860.2</v>
      </c>
      <c r="G1804" s="32" t="str">
        <f aca="false">VLOOKUP($A1804,'Order Sales'!$A$2:$G$2154,G$1,FALSE())</f>
        <v>Corporate</v>
      </c>
    </row>
    <row r="1805" customFormat="false" ht="14.25" hidden="false" customHeight="false" outlineLevel="0" collapsed="false">
      <c r="A1805" s="1" t="n">
        <v>2766</v>
      </c>
      <c r="B1805" s="30" t="n">
        <v>43197</v>
      </c>
      <c r="C1805" s="30" t="n">
        <v>44927</v>
      </c>
      <c r="D1805" s="31" t="n">
        <f aca="false">VLOOKUP(A1805,'Order Shipping'!$A$2:$C$2000,3,FALSE())</f>
        <v>1.3</v>
      </c>
      <c r="E1805" s="32" t="n">
        <f aca="false">VLOOKUP($A1805,'Order Sales'!$A$2:$G$2154,E$1,FALSE())</f>
        <v>7</v>
      </c>
      <c r="F1805" s="32" t="n">
        <f aca="false">VLOOKUP($A1805,'Order Sales'!$A$2:$G$2154,F$1,FALSE())</f>
        <v>50.23</v>
      </c>
      <c r="G1805" s="32" t="str">
        <f aca="false">VLOOKUP($A1805,'Order Sales'!$A$2:$G$2154,G$1,FALSE())</f>
        <v>Small Business</v>
      </c>
    </row>
    <row r="1806" customFormat="false" ht="14.25" hidden="false" customHeight="false" outlineLevel="0" collapsed="false">
      <c r="A1806" s="1" t="n">
        <v>2510</v>
      </c>
      <c r="B1806" s="30" t="n">
        <v>43160</v>
      </c>
      <c r="C1806" s="30" t="n">
        <v>44928</v>
      </c>
      <c r="D1806" s="31" t="n">
        <f aca="false">VLOOKUP(A1806,'Order Shipping'!$A$2:$C$2000,3,FALSE())</f>
        <v>4.3</v>
      </c>
      <c r="E1806" s="32" t="n">
        <f aca="false">VLOOKUP($A1806,'Order Sales'!$A$2:$G$2154,E$1,FALSE())</f>
        <v>35</v>
      </c>
      <c r="F1806" s="32" t="n">
        <f aca="false">VLOOKUP($A1806,'Order Sales'!$A$2:$G$2154,F$1,FALSE())</f>
        <v>724.85</v>
      </c>
      <c r="G1806" s="32" t="str">
        <f aca="false">VLOOKUP($A1806,'Order Sales'!$A$2:$G$2154,G$1,FALSE())</f>
        <v>Small Business</v>
      </c>
    </row>
    <row r="1807" customFormat="false" ht="14.25" hidden="false" customHeight="false" outlineLevel="0" collapsed="false">
      <c r="A1807" s="1" t="n">
        <v>2702</v>
      </c>
      <c r="B1807" s="30" t="n">
        <v>43465</v>
      </c>
      <c r="C1807" s="30" t="n">
        <v>44929</v>
      </c>
      <c r="D1807" s="31" t="n">
        <f aca="false">VLOOKUP(A1807,'Order Shipping'!$A$2:$C$2000,3,FALSE())</f>
        <v>21.4</v>
      </c>
      <c r="E1807" s="32" t="n">
        <f aca="false">VLOOKUP($A1807,'Order Sales'!$A$2:$G$2154,E$1,FALSE())</f>
        <v>45</v>
      </c>
      <c r="F1807" s="32" t="n">
        <f aca="false">VLOOKUP($A1807,'Order Sales'!$A$2:$G$2154,F$1,FALSE())</f>
        <v>2519.64</v>
      </c>
      <c r="G1807" s="32" t="str">
        <f aca="false">VLOOKUP($A1807,'Order Sales'!$A$2:$G$2154,G$1,FALSE())</f>
        <v>Corporate</v>
      </c>
    </row>
    <row r="1808" customFormat="false" ht="14.25" hidden="false" customHeight="false" outlineLevel="0" collapsed="false">
      <c r="A1808" s="1" t="n">
        <v>2520</v>
      </c>
      <c r="B1808" s="30" t="n">
        <v>43305</v>
      </c>
      <c r="C1808" s="30" t="n">
        <v>44930</v>
      </c>
      <c r="D1808" s="31" t="n">
        <f aca="false">VLOOKUP(A1808,'Order Shipping'!$A$2:$C$2000,3,FALSE())</f>
        <v>9</v>
      </c>
      <c r="E1808" s="32" t="n">
        <f aca="false">VLOOKUP($A1808,'Order Sales'!$A$2:$G$2154,E$1,FALSE())</f>
        <v>44</v>
      </c>
      <c r="F1808" s="32" t="n">
        <f aca="false">VLOOKUP($A1808,'Order Sales'!$A$2:$G$2154,F$1,FALSE())</f>
        <v>323.21</v>
      </c>
      <c r="G1808" s="32" t="str">
        <f aca="false">VLOOKUP($A1808,'Order Sales'!$A$2:$G$2154,G$1,FALSE())</f>
        <v>Consumer</v>
      </c>
    </row>
    <row r="1809" customFormat="false" ht="14.25" hidden="false" customHeight="false" outlineLevel="0" collapsed="false">
      <c r="A1809" s="1" t="n">
        <v>2569</v>
      </c>
      <c r="B1809" s="30" t="n">
        <v>43267</v>
      </c>
      <c r="C1809" s="30" t="n">
        <v>44931</v>
      </c>
      <c r="D1809" s="31" t="n">
        <f aca="false">VLOOKUP(A1809,'Order Shipping'!$A$2:$C$2000,3,FALSE())</f>
        <v>67.1</v>
      </c>
      <c r="E1809" s="32" t="n">
        <f aca="false">VLOOKUP($A1809,'Order Sales'!$A$2:$G$2154,E$1,FALSE())</f>
        <v>6</v>
      </c>
      <c r="F1809" s="32" t="n">
        <f aca="false">VLOOKUP($A1809,'Order Sales'!$A$2:$G$2154,F$1,FALSE())</f>
        <v>1398.69</v>
      </c>
      <c r="G1809" s="32" t="str">
        <f aca="false">VLOOKUP($A1809,'Order Sales'!$A$2:$G$2154,G$1,FALSE())</f>
        <v>Corporate</v>
      </c>
    </row>
    <row r="1810" customFormat="false" ht="14.25" hidden="false" customHeight="false" outlineLevel="0" collapsed="false">
      <c r="A1810" s="1" t="n">
        <v>2834</v>
      </c>
      <c r="B1810" s="30" t="n">
        <v>43181</v>
      </c>
      <c r="C1810" s="30" t="n">
        <v>44932</v>
      </c>
      <c r="D1810" s="31" t="n">
        <f aca="false">VLOOKUP(A1810,'Order Shipping'!$A$2:$C$2000,3,FALSE())</f>
        <v>5.2</v>
      </c>
      <c r="E1810" s="32" t="n">
        <f aca="false">VLOOKUP($A1810,'Order Sales'!$A$2:$G$2154,E$1,FALSE())</f>
        <v>22</v>
      </c>
      <c r="F1810" s="32" t="n">
        <f aca="false">VLOOKUP($A1810,'Order Sales'!$A$2:$G$2154,F$1,FALSE())</f>
        <v>54.99</v>
      </c>
      <c r="G1810" s="32" t="str">
        <f aca="false">VLOOKUP($A1810,'Order Sales'!$A$2:$G$2154,G$1,FALSE())</f>
        <v>Small Business</v>
      </c>
    </row>
    <row r="1811" customFormat="false" ht="14.25" hidden="false" customHeight="false" outlineLevel="0" collapsed="false">
      <c r="A1811" s="1" t="n">
        <v>2224</v>
      </c>
      <c r="B1811" s="30" t="n">
        <v>43292</v>
      </c>
      <c r="C1811" s="30" t="n">
        <v>44933</v>
      </c>
      <c r="D1811" s="31" t="n">
        <f aca="false">VLOOKUP(A1811,'Order Shipping'!$A$2:$C$2000,3,FALSE())</f>
        <v>0.5</v>
      </c>
      <c r="E1811" s="32" t="n">
        <f aca="false">VLOOKUP($A1811,'Order Sales'!$A$2:$G$2154,E$1,FALSE())</f>
        <v>32</v>
      </c>
      <c r="F1811" s="32" t="n">
        <f aca="false">VLOOKUP($A1811,'Order Sales'!$A$2:$G$2154,F$1,FALSE())</f>
        <v>123.92</v>
      </c>
      <c r="G1811" s="32" t="str">
        <f aca="false">VLOOKUP($A1811,'Order Sales'!$A$2:$G$2154,G$1,FALSE())</f>
        <v>Small Business</v>
      </c>
    </row>
    <row r="1812" customFormat="false" ht="14.25" hidden="false" customHeight="false" outlineLevel="0" collapsed="false">
      <c r="A1812" s="1" t="n">
        <v>2027</v>
      </c>
      <c r="B1812" s="30" t="n">
        <v>43184</v>
      </c>
      <c r="C1812" s="30" t="n">
        <v>44934</v>
      </c>
      <c r="D1812" s="31" t="n">
        <f aca="false">VLOOKUP(A1812,'Order Shipping'!$A$2:$C$2000,3,FALSE())</f>
        <v>26.2</v>
      </c>
      <c r="E1812" s="32" t="n">
        <f aca="false">VLOOKUP($A1812,'Order Sales'!$A$2:$G$2154,E$1,FALSE())</f>
        <v>35</v>
      </c>
      <c r="F1812" s="32" t="n">
        <f aca="false">VLOOKUP($A1812,'Order Sales'!$A$2:$G$2154,F$1,FALSE())</f>
        <v>18604.79</v>
      </c>
      <c r="G1812" s="32" t="str">
        <f aca="false">VLOOKUP($A1812,'Order Sales'!$A$2:$G$2154,G$1,FALSE())</f>
        <v>Corporate</v>
      </c>
    </row>
    <row r="1813" customFormat="false" ht="14.25" hidden="false" customHeight="false" outlineLevel="0" collapsed="false">
      <c r="A1813" s="1" t="n">
        <v>2556</v>
      </c>
      <c r="B1813" s="30" t="n">
        <v>43353</v>
      </c>
      <c r="C1813" s="30" t="n">
        <v>44935</v>
      </c>
      <c r="D1813" s="31" t="n">
        <f aca="false">VLOOKUP(A1813,'Order Shipping'!$A$2:$C$2000,3,FALSE())</f>
        <v>13.5</v>
      </c>
      <c r="E1813" s="32" t="n">
        <f aca="false">VLOOKUP($A1813,'Order Sales'!$A$2:$G$2154,E$1,FALSE())</f>
        <v>47</v>
      </c>
      <c r="F1813" s="32" t="n">
        <f aca="false">VLOOKUP($A1813,'Order Sales'!$A$2:$G$2154,F$1,FALSE())</f>
        <v>6560.75</v>
      </c>
      <c r="G1813" s="32" t="str">
        <f aca="false">VLOOKUP($A1813,'Order Sales'!$A$2:$G$2154,G$1,FALSE())</f>
        <v>Small Business</v>
      </c>
    </row>
    <row r="1814" customFormat="false" ht="14.25" hidden="false" customHeight="false" outlineLevel="0" collapsed="false">
      <c r="A1814" s="1" t="n">
        <v>1182</v>
      </c>
      <c r="B1814" s="30" t="n">
        <v>43464</v>
      </c>
      <c r="C1814" s="30" t="n">
        <v>44936</v>
      </c>
      <c r="D1814" s="31" t="n">
        <f aca="false">VLOOKUP(A1814,'Order Shipping'!$A$2:$C$2000,3,FALSE())</f>
        <v>5.4</v>
      </c>
      <c r="E1814" s="32" t="n">
        <f aca="false">VLOOKUP($A1814,'Order Sales'!$A$2:$G$2154,E$1,FALSE())</f>
        <v>8</v>
      </c>
      <c r="F1814" s="32" t="n">
        <f aca="false">VLOOKUP($A1814,'Order Sales'!$A$2:$G$2154,F$1,FALSE())</f>
        <v>66.2</v>
      </c>
      <c r="G1814" s="32" t="str">
        <f aca="false">VLOOKUP($A1814,'Order Sales'!$A$2:$G$2154,G$1,FALSE())</f>
        <v>Home Office</v>
      </c>
    </row>
    <row r="1815" customFormat="false" ht="14.25" hidden="false" customHeight="false" outlineLevel="0" collapsed="false">
      <c r="A1815" s="1" t="n">
        <v>1526</v>
      </c>
      <c r="B1815" s="30" t="n">
        <v>43313</v>
      </c>
      <c r="C1815" s="30" t="n">
        <v>44937</v>
      </c>
      <c r="D1815" s="31" t="n">
        <f aca="false">VLOOKUP(A1815,'Order Shipping'!$A$2:$C$2000,3,FALSE())</f>
        <v>4.8</v>
      </c>
      <c r="E1815" s="32" t="n">
        <f aca="false">VLOOKUP($A1815,'Order Sales'!$A$2:$G$2154,E$1,FALSE())</f>
        <v>6</v>
      </c>
      <c r="F1815" s="32" t="n">
        <f aca="false">VLOOKUP($A1815,'Order Sales'!$A$2:$G$2154,F$1,FALSE())</f>
        <v>169</v>
      </c>
      <c r="G1815" s="32" t="str">
        <f aca="false">VLOOKUP($A1815,'Order Sales'!$A$2:$G$2154,G$1,FALSE())</f>
        <v>Corporate</v>
      </c>
    </row>
    <row r="1816" customFormat="false" ht="14.25" hidden="false" customHeight="false" outlineLevel="0" collapsed="false">
      <c r="A1816" s="1" t="n">
        <v>2390</v>
      </c>
      <c r="B1816" s="30" t="n">
        <v>43109</v>
      </c>
      <c r="C1816" s="30" t="n">
        <v>44938</v>
      </c>
      <c r="D1816" s="31" t="n">
        <f aca="false">VLOOKUP(A1816,'Order Shipping'!$A$2:$C$2000,3,FALSE())</f>
        <v>26.2</v>
      </c>
      <c r="E1816" s="32" t="n">
        <f aca="false">VLOOKUP($A1816,'Order Sales'!$A$2:$G$2154,E$1,FALSE())</f>
        <v>8</v>
      </c>
      <c r="F1816" s="32" t="n">
        <f aca="false">VLOOKUP($A1816,'Order Sales'!$A$2:$G$2154,F$1,FALSE())</f>
        <v>29600.39</v>
      </c>
      <c r="G1816" s="32" t="str">
        <f aca="false">VLOOKUP($A1816,'Order Sales'!$A$2:$G$2154,G$1,FALSE())</f>
        <v>Consumer</v>
      </c>
    </row>
    <row r="1817" customFormat="false" ht="14.25" hidden="false" customHeight="false" outlineLevel="0" collapsed="false">
      <c r="A1817" s="1" t="n">
        <v>1999</v>
      </c>
      <c r="B1817" s="30" t="n">
        <v>43137</v>
      </c>
      <c r="C1817" s="30" t="n">
        <v>44939</v>
      </c>
      <c r="D1817" s="31" t="n">
        <f aca="false">VLOOKUP(A1817,'Order Shipping'!$A$2:$C$2000,3,FALSE())</f>
        <v>7.7</v>
      </c>
      <c r="E1817" s="32" t="n">
        <f aca="false">VLOOKUP($A1817,'Order Sales'!$A$2:$G$2154,E$1,FALSE())</f>
        <v>42</v>
      </c>
      <c r="F1817" s="32" t="n">
        <f aca="false">VLOOKUP($A1817,'Order Sales'!$A$2:$G$2154,F$1,FALSE())</f>
        <v>663.15</v>
      </c>
      <c r="G1817" s="32" t="str">
        <f aca="false">VLOOKUP($A1817,'Order Sales'!$A$2:$G$2154,G$1,FALSE())</f>
        <v>Home Office</v>
      </c>
    </row>
    <row r="1818" customFormat="false" ht="14.25" hidden="false" customHeight="false" outlineLevel="0" collapsed="false">
      <c r="A1818" s="1" t="n">
        <v>2984</v>
      </c>
      <c r="B1818" s="30" t="n">
        <v>43354</v>
      </c>
      <c r="C1818" s="30" t="n">
        <v>44940</v>
      </c>
      <c r="D1818" s="31" t="n">
        <f aca="false">VLOOKUP(A1818,'Order Shipping'!$A$2:$C$2000,3,FALSE())</f>
        <v>0.7</v>
      </c>
      <c r="E1818" s="32" t="n">
        <f aca="false">VLOOKUP($A1818,'Order Sales'!$A$2:$G$2154,E$1,FALSE())</f>
        <v>39</v>
      </c>
      <c r="F1818" s="32" t="n">
        <f aca="false">VLOOKUP($A1818,'Order Sales'!$A$2:$G$2154,F$1,FALSE())</f>
        <v>112.42</v>
      </c>
      <c r="G1818" s="32" t="str">
        <f aca="false">VLOOKUP($A1818,'Order Sales'!$A$2:$G$2154,G$1,FALSE())</f>
        <v>Corporate</v>
      </c>
    </row>
    <row r="1819" customFormat="false" ht="14.25" hidden="false" customHeight="false" outlineLevel="0" collapsed="false">
      <c r="A1819" s="1" t="n">
        <v>2297</v>
      </c>
      <c r="B1819" s="30" t="n">
        <v>43217</v>
      </c>
      <c r="C1819" s="30" t="n">
        <v>44941</v>
      </c>
      <c r="D1819" s="31" t="n">
        <f aca="false">VLOOKUP(A1819,'Order Shipping'!$A$2:$C$2000,3,FALSE())</f>
        <v>75.1</v>
      </c>
      <c r="E1819" s="32" t="n">
        <f aca="false">VLOOKUP($A1819,'Order Sales'!$A$2:$G$2154,E$1,FALSE())</f>
        <v>28</v>
      </c>
      <c r="F1819" s="32" t="n">
        <f aca="false">VLOOKUP($A1819,'Order Sales'!$A$2:$G$2154,F$1,FALSE())</f>
        <v>3833.59</v>
      </c>
      <c r="G1819" s="32" t="str">
        <f aca="false">VLOOKUP($A1819,'Order Sales'!$A$2:$G$2154,G$1,FALSE())</f>
        <v>Corporate</v>
      </c>
    </row>
    <row r="1820" customFormat="false" ht="14.25" hidden="false" customHeight="false" outlineLevel="0" collapsed="false">
      <c r="A1820" s="1" t="n">
        <v>1008</v>
      </c>
      <c r="B1820" s="30" t="n">
        <v>43295</v>
      </c>
      <c r="C1820" s="30" t="n">
        <v>44942</v>
      </c>
      <c r="D1820" s="31" t="n">
        <f aca="false">VLOOKUP(A1820,'Order Shipping'!$A$2:$C$2000,3,FALSE())</f>
        <v>95.6</v>
      </c>
      <c r="E1820" s="32" t="n">
        <f aca="false">VLOOKUP($A1820,'Order Sales'!$A$2:$G$2154,E$1,FALSE())</f>
        <v>24</v>
      </c>
      <c r="F1820" s="32" t="n">
        <f aca="false">VLOOKUP($A1820,'Order Sales'!$A$2:$G$2154,F$1,FALSE())</f>
        <v>1884.7</v>
      </c>
      <c r="G1820" s="32" t="str">
        <f aca="false">VLOOKUP($A1820,'Order Sales'!$A$2:$G$2154,G$1,FALSE())</f>
        <v>Corporate</v>
      </c>
    </row>
    <row r="1821" customFormat="false" ht="14.25" hidden="false" customHeight="false" outlineLevel="0" collapsed="false">
      <c r="A1821" s="1" t="n">
        <v>2216</v>
      </c>
      <c r="B1821" s="30" t="n">
        <v>43336</v>
      </c>
      <c r="C1821" s="30" t="n">
        <v>44943</v>
      </c>
      <c r="D1821" s="31" t="n">
        <f aca="false">VLOOKUP(A1821,'Order Shipping'!$A$2:$C$2000,3,FALSE())</f>
        <v>15</v>
      </c>
      <c r="E1821" s="32" t="n">
        <f aca="false">VLOOKUP($A1821,'Order Sales'!$A$2:$G$2154,E$1,FALSE())</f>
        <v>32</v>
      </c>
      <c r="F1821" s="32" t="n">
        <f aca="false">VLOOKUP($A1821,'Order Sales'!$A$2:$G$2154,F$1,FALSE())</f>
        <v>3259.23</v>
      </c>
      <c r="G1821" s="32" t="str">
        <f aca="false">VLOOKUP($A1821,'Order Sales'!$A$2:$G$2154,G$1,FALSE())</f>
        <v>Corporate</v>
      </c>
    </row>
    <row r="1822" customFormat="false" ht="14.25" hidden="false" customHeight="false" outlineLevel="0" collapsed="false">
      <c r="A1822" s="1" t="n">
        <v>2172</v>
      </c>
      <c r="B1822" s="30" t="n">
        <v>43415</v>
      </c>
      <c r="C1822" s="30" t="n">
        <v>44944</v>
      </c>
      <c r="D1822" s="31" t="n">
        <f aca="false">VLOOKUP(A1822,'Order Shipping'!$A$2:$C$2000,3,FALSE())</f>
        <v>6.7</v>
      </c>
      <c r="E1822" s="32" t="n">
        <f aca="false">VLOOKUP($A1822,'Order Sales'!$A$2:$G$2154,E$1,FALSE())</f>
        <v>21</v>
      </c>
      <c r="F1822" s="32" t="n">
        <f aca="false">VLOOKUP($A1822,'Order Sales'!$A$2:$G$2154,F$1,FALSE())</f>
        <v>116.94</v>
      </c>
      <c r="G1822" s="32" t="str">
        <f aca="false">VLOOKUP($A1822,'Order Sales'!$A$2:$G$2154,G$1,FALSE())</f>
        <v>Small Business</v>
      </c>
    </row>
    <row r="1823" customFormat="false" ht="14.25" hidden="false" customHeight="false" outlineLevel="0" collapsed="false">
      <c r="A1823" s="1" t="n">
        <v>2525</v>
      </c>
      <c r="B1823" s="30" t="n">
        <v>43107</v>
      </c>
      <c r="C1823" s="30" t="n">
        <v>44945</v>
      </c>
      <c r="D1823" s="31" t="n">
        <f aca="false">VLOOKUP(A1823,'Order Shipping'!$A$2:$C$2000,3,FALSE())</f>
        <v>9.1</v>
      </c>
      <c r="E1823" s="32" t="n">
        <f aca="false">VLOOKUP($A1823,'Order Sales'!$A$2:$G$2154,E$1,FALSE())</f>
        <v>27</v>
      </c>
      <c r="F1823" s="32" t="n">
        <f aca="false">VLOOKUP($A1823,'Order Sales'!$A$2:$G$2154,F$1,FALSE())</f>
        <v>884.11</v>
      </c>
      <c r="G1823" s="32" t="str">
        <f aca="false">VLOOKUP($A1823,'Order Sales'!$A$2:$G$2154,G$1,FALSE())</f>
        <v>Consumer</v>
      </c>
    </row>
    <row r="1824" customFormat="false" ht="14.25" hidden="false" customHeight="false" outlineLevel="0" collapsed="false">
      <c r="A1824" s="1" t="n">
        <v>2472</v>
      </c>
      <c r="B1824" s="30" t="n">
        <v>43171</v>
      </c>
      <c r="C1824" s="30" t="n">
        <v>44946</v>
      </c>
      <c r="D1824" s="31" t="n">
        <f aca="false">VLOOKUP(A1824,'Order Shipping'!$A$2:$C$2000,3,FALSE())</f>
        <v>1.3</v>
      </c>
      <c r="E1824" s="32" t="n">
        <f aca="false">VLOOKUP($A1824,'Order Sales'!$A$2:$G$2154,E$1,FALSE())</f>
        <v>6</v>
      </c>
      <c r="F1824" s="32" t="n">
        <f aca="false">VLOOKUP($A1824,'Order Sales'!$A$2:$G$2154,F$1,FALSE())</f>
        <v>458.73</v>
      </c>
      <c r="G1824" s="32" t="str">
        <f aca="false">VLOOKUP($A1824,'Order Sales'!$A$2:$G$2154,G$1,FALSE())</f>
        <v>Corporate</v>
      </c>
    </row>
    <row r="1825" customFormat="false" ht="14.25" hidden="false" customHeight="false" outlineLevel="0" collapsed="false">
      <c r="A1825" s="1" t="n">
        <v>1322</v>
      </c>
      <c r="B1825" s="30" t="n">
        <v>43192</v>
      </c>
      <c r="C1825" s="30" t="n">
        <v>44947</v>
      </c>
      <c r="D1825" s="31" t="n">
        <f aca="false">VLOOKUP(A1825,'Order Shipping'!$A$2:$C$2000,3,FALSE())</f>
        <v>7.6</v>
      </c>
      <c r="E1825" s="32" t="n">
        <f aca="false">VLOOKUP($A1825,'Order Sales'!$A$2:$G$2154,E$1,FALSE())</f>
        <v>26</v>
      </c>
      <c r="F1825" s="32" t="n">
        <f aca="false">VLOOKUP($A1825,'Order Sales'!$A$2:$G$2154,F$1,FALSE())</f>
        <v>1151.22</v>
      </c>
      <c r="G1825" s="32" t="str">
        <f aca="false">VLOOKUP($A1825,'Order Sales'!$A$2:$G$2154,G$1,FALSE())</f>
        <v>Consumer</v>
      </c>
    </row>
    <row r="1826" customFormat="false" ht="14.25" hidden="false" customHeight="false" outlineLevel="0" collapsed="false">
      <c r="A1826" s="1" t="n">
        <v>1500</v>
      </c>
      <c r="B1826" s="30" t="n">
        <v>43139</v>
      </c>
      <c r="C1826" s="30" t="n">
        <v>44948</v>
      </c>
      <c r="D1826" s="31" t="n">
        <f aca="false">VLOOKUP(A1826,'Order Shipping'!$A$2:$C$2000,3,FALSE())</f>
        <v>4.3</v>
      </c>
      <c r="E1826" s="32" t="n">
        <f aca="false">VLOOKUP($A1826,'Order Sales'!$A$2:$G$2154,E$1,FALSE())</f>
        <v>50</v>
      </c>
      <c r="F1826" s="32" t="n">
        <f aca="false">VLOOKUP($A1826,'Order Sales'!$A$2:$G$2154,F$1,FALSE())</f>
        <v>1546.11</v>
      </c>
      <c r="G1826" s="32" t="str">
        <f aca="false">VLOOKUP($A1826,'Order Sales'!$A$2:$G$2154,G$1,FALSE())</f>
        <v>Small Business</v>
      </c>
    </row>
    <row r="1827" customFormat="false" ht="14.25" hidden="false" customHeight="false" outlineLevel="0" collapsed="false">
      <c r="A1827" s="1" t="n">
        <v>2679</v>
      </c>
      <c r="B1827" s="30" t="n">
        <v>43421</v>
      </c>
      <c r="C1827" s="30" t="n">
        <v>44949</v>
      </c>
      <c r="D1827" s="31" t="n">
        <f aca="false">VLOOKUP(A1827,'Order Shipping'!$A$2:$C$2000,3,FALSE())</f>
        <v>5.9</v>
      </c>
      <c r="E1827" s="32" t="n">
        <f aca="false">VLOOKUP($A1827,'Order Sales'!$A$2:$G$2154,E$1,FALSE())</f>
        <v>29</v>
      </c>
      <c r="F1827" s="32" t="n">
        <f aca="false">VLOOKUP($A1827,'Order Sales'!$A$2:$G$2154,F$1,FALSE())</f>
        <v>1731.13</v>
      </c>
      <c r="G1827" s="32" t="str">
        <f aca="false">VLOOKUP($A1827,'Order Sales'!$A$2:$G$2154,G$1,FALSE())</f>
        <v>Small Business</v>
      </c>
    </row>
    <row r="1828" customFormat="false" ht="14.25" hidden="false" customHeight="false" outlineLevel="0" collapsed="false">
      <c r="A1828" s="1" t="n">
        <v>2682</v>
      </c>
      <c r="B1828" s="30" t="n">
        <v>43387</v>
      </c>
      <c r="C1828" s="30" t="n">
        <v>44950</v>
      </c>
      <c r="D1828" s="31" t="n">
        <f aca="false">VLOOKUP(A1828,'Order Shipping'!$A$2:$C$2000,3,FALSE())</f>
        <v>2.1</v>
      </c>
      <c r="E1828" s="32" t="n">
        <f aca="false">VLOOKUP($A1828,'Order Sales'!$A$2:$G$2154,E$1,FALSE())</f>
        <v>43</v>
      </c>
      <c r="F1828" s="32" t="n">
        <f aca="false">VLOOKUP($A1828,'Order Sales'!$A$2:$G$2154,F$1,FALSE())</f>
        <v>368.34</v>
      </c>
      <c r="G1828" s="32" t="str">
        <f aca="false">VLOOKUP($A1828,'Order Sales'!$A$2:$G$2154,G$1,FALSE())</f>
        <v>Home Office</v>
      </c>
    </row>
    <row r="1829" customFormat="false" ht="14.25" hidden="false" customHeight="false" outlineLevel="0" collapsed="false">
      <c r="A1829" s="1" t="n">
        <v>2401</v>
      </c>
      <c r="B1829" s="30" t="n">
        <v>43109</v>
      </c>
      <c r="C1829" s="30" t="n">
        <v>44951</v>
      </c>
      <c r="D1829" s="31" t="n">
        <f aca="false">VLOOKUP(A1829,'Order Shipping'!$A$2:$C$2000,3,FALSE())</f>
        <v>6.1</v>
      </c>
      <c r="E1829" s="32" t="n">
        <f aca="false">VLOOKUP($A1829,'Order Sales'!$A$2:$G$2154,E$1,FALSE())</f>
        <v>36</v>
      </c>
      <c r="F1829" s="32" t="n">
        <f aca="false">VLOOKUP($A1829,'Order Sales'!$A$2:$G$2154,F$1,FALSE())</f>
        <v>201.52</v>
      </c>
      <c r="G1829" s="32" t="str">
        <f aca="false">VLOOKUP($A1829,'Order Sales'!$A$2:$G$2154,G$1,FALSE())</f>
        <v>Small Business</v>
      </c>
    </row>
    <row r="1830" customFormat="false" ht="14.25" hidden="false" customHeight="false" outlineLevel="0" collapsed="false">
      <c r="A1830" s="1" t="n">
        <v>1544</v>
      </c>
      <c r="B1830" s="30" t="n">
        <v>43120</v>
      </c>
      <c r="C1830" s="30" t="n">
        <v>44952</v>
      </c>
      <c r="D1830" s="31" t="n">
        <f aca="false">VLOOKUP(A1830,'Order Shipping'!$A$2:$C$2000,3,FALSE())</f>
        <v>58.1</v>
      </c>
      <c r="E1830" s="32" t="n">
        <f aca="false">VLOOKUP($A1830,'Order Sales'!$A$2:$G$2154,E$1,FALSE())</f>
        <v>4</v>
      </c>
      <c r="F1830" s="32" t="n">
        <f aca="false">VLOOKUP($A1830,'Order Sales'!$A$2:$G$2154,F$1,FALSE())</f>
        <v>1066.79</v>
      </c>
      <c r="G1830" s="32" t="str">
        <f aca="false">VLOOKUP($A1830,'Order Sales'!$A$2:$G$2154,G$1,FALSE())</f>
        <v>Consumer</v>
      </c>
    </row>
    <row r="1831" customFormat="false" ht="14.25" hidden="false" customHeight="false" outlineLevel="0" collapsed="false">
      <c r="A1831" s="1" t="n">
        <v>1468</v>
      </c>
      <c r="B1831" s="30" t="n">
        <v>43145</v>
      </c>
      <c r="C1831" s="30" t="n">
        <v>44953</v>
      </c>
      <c r="D1831" s="31" t="n">
        <f aca="false">VLOOKUP(A1831,'Order Shipping'!$A$2:$C$2000,3,FALSE())</f>
        <v>60.1</v>
      </c>
      <c r="E1831" s="32" t="n">
        <f aca="false">VLOOKUP($A1831,'Order Sales'!$A$2:$G$2154,E$1,FALSE())</f>
        <v>39</v>
      </c>
      <c r="F1831" s="32" t="n">
        <f aca="false">VLOOKUP($A1831,'Order Sales'!$A$2:$G$2154,F$1,FALSE())</f>
        <v>5065.25</v>
      </c>
      <c r="G1831" s="32" t="str">
        <f aca="false">VLOOKUP($A1831,'Order Sales'!$A$2:$G$2154,G$1,FALSE())</f>
        <v>Corporate</v>
      </c>
    </row>
    <row r="1832" customFormat="false" ht="14.25" hidden="false" customHeight="false" outlineLevel="0" collapsed="false">
      <c r="A1832" s="1" t="n">
        <v>2578</v>
      </c>
      <c r="B1832" s="30" t="n">
        <v>43168</v>
      </c>
      <c r="C1832" s="30" t="n">
        <v>44954</v>
      </c>
      <c r="D1832" s="31" t="n">
        <f aca="false">VLOOKUP(A1832,'Order Shipping'!$A$2:$C$2000,3,FALSE())</f>
        <v>44.6</v>
      </c>
      <c r="E1832" s="32" t="n">
        <f aca="false">VLOOKUP($A1832,'Order Sales'!$A$2:$G$2154,E$1,FALSE())</f>
        <v>29</v>
      </c>
      <c r="F1832" s="32" t="n">
        <f aca="false">VLOOKUP($A1832,'Order Sales'!$A$2:$G$2154,F$1,FALSE())</f>
        <v>3152.27</v>
      </c>
      <c r="G1832" s="32" t="str">
        <f aca="false">VLOOKUP($A1832,'Order Sales'!$A$2:$G$2154,G$1,FALSE())</f>
        <v>Corporate</v>
      </c>
    </row>
    <row r="1833" customFormat="false" ht="14.25" hidden="false" customHeight="false" outlineLevel="0" collapsed="false">
      <c r="A1833" s="1" t="n">
        <v>2259</v>
      </c>
      <c r="B1833" s="30" t="n">
        <v>43194</v>
      </c>
      <c r="C1833" s="30" t="n">
        <v>44955</v>
      </c>
      <c r="D1833" s="31" t="n">
        <f aca="false">VLOOKUP(A1833,'Order Shipping'!$A$2:$C$2000,3,FALSE())</f>
        <v>8.9</v>
      </c>
      <c r="E1833" s="32" t="n">
        <f aca="false">VLOOKUP($A1833,'Order Sales'!$A$2:$G$2154,E$1,FALSE())</f>
        <v>12</v>
      </c>
      <c r="F1833" s="32" t="n">
        <f aca="false">VLOOKUP($A1833,'Order Sales'!$A$2:$G$2154,F$1,FALSE())</f>
        <v>202.43</v>
      </c>
      <c r="G1833" s="32" t="str">
        <f aca="false">VLOOKUP($A1833,'Order Sales'!$A$2:$G$2154,G$1,FALSE())</f>
        <v>Home Office</v>
      </c>
    </row>
    <row r="1834" customFormat="false" ht="14.25" hidden="false" customHeight="false" outlineLevel="0" collapsed="false">
      <c r="A1834" s="1" t="n">
        <v>2767</v>
      </c>
      <c r="B1834" s="30" t="n">
        <v>43197</v>
      </c>
      <c r="C1834" s="30" t="n">
        <v>44956</v>
      </c>
      <c r="D1834" s="31" t="n">
        <f aca="false">VLOOKUP(A1834,'Order Shipping'!$A$2:$C$2000,3,FALSE())</f>
        <v>10.1</v>
      </c>
      <c r="E1834" s="32" t="n">
        <f aca="false">VLOOKUP($A1834,'Order Sales'!$A$2:$G$2154,E$1,FALSE())</f>
        <v>43</v>
      </c>
      <c r="F1834" s="32" t="n">
        <f aca="false">VLOOKUP($A1834,'Order Sales'!$A$2:$G$2154,F$1,FALSE())</f>
        <v>750.56</v>
      </c>
      <c r="G1834" s="32" t="str">
        <f aca="false">VLOOKUP($A1834,'Order Sales'!$A$2:$G$2154,G$1,FALSE())</f>
        <v>Small Business</v>
      </c>
    </row>
    <row r="1835" customFormat="false" ht="14.25" hidden="false" customHeight="false" outlineLevel="0" collapsed="false">
      <c r="A1835" s="1" t="n">
        <v>2667</v>
      </c>
      <c r="B1835" s="30" t="n">
        <v>43296</v>
      </c>
      <c r="C1835" s="30" t="n">
        <v>44957</v>
      </c>
      <c r="D1835" s="31" t="n">
        <f aca="false">VLOOKUP(A1835,'Order Shipping'!$A$2:$C$2000,3,FALSE())</f>
        <v>6.1</v>
      </c>
      <c r="E1835" s="32" t="n">
        <f aca="false">VLOOKUP($A1835,'Order Sales'!$A$2:$G$2154,E$1,FALSE())</f>
        <v>47</v>
      </c>
      <c r="F1835" s="32" t="n">
        <f aca="false">VLOOKUP($A1835,'Order Sales'!$A$2:$G$2154,F$1,FALSE())</f>
        <v>273.55</v>
      </c>
      <c r="G1835" s="32" t="str">
        <f aca="false">VLOOKUP($A1835,'Order Sales'!$A$2:$G$2154,G$1,FALSE())</f>
        <v>Home Office</v>
      </c>
    </row>
    <row r="1836" customFormat="false" ht="14.25" hidden="false" customHeight="false" outlineLevel="0" collapsed="false">
      <c r="A1836" s="1" t="n">
        <v>2565</v>
      </c>
      <c r="B1836" s="30" t="n">
        <v>43438</v>
      </c>
      <c r="C1836" s="30" t="n">
        <v>44958</v>
      </c>
      <c r="D1836" s="31" t="n">
        <f aca="false">VLOOKUP(A1836,'Order Shipping'!$A$2:$C$2000,3,FALSE())</f>
        <v>12.4</v>
      </c>
      <c r="E1836" s="32" t="n">
        <f aca="false">VLOOKUP($A1836,'Order Sales'!$A$2:$G$2154,E$1,FALSE())</f>
        <v>47</v>
      </c>
      <c r="F1836" s="32" t="n">
        <f aca="false">VLOOKUP($A1836,'Order Sales'!$A$2:$G$2154,F$1,FALSE())</f>
        <v>1512.79</v>
      </c>
      <c r="G1836" s="32" t="str">
        <f aca="false">VLOOKUP($A1836,'Order Sales'!$A$2:$G$2154,G$1,FALSE())</f>
        <v>Corporate</v>
      </c>
    </row>
    <row r="1837" customFormat="false" ht="14.25" hidden="false" customHeight="false" outlineLevel="0" collapsed="false">
      <c r="A1837" s="1" t="n">
        <v>1850</v>
      </c>
      <c r="B1837" s="30" t="n">
        <v>43223</v>
      </c>
      <c r="C1837" s="30" t="n">
        <v>44959</v>
      </c>
      <c r="D1837" s="31" t="n">
        <f aca="false">VLOOKUP(A1837,'Order Shipping'!$A$2:$C$2000,3,FALSE())</f>
        <v>8.9</v>
      </c>
      <c r="E1837" s="32" t="n">
        <f aca="false">VLOOKUP($A1837,'Order Sales'!$A$2:$G$2154,E$1,FALSE())</f>
        <v>10</v>
      </c>
      <c r="F1837" s="32" t="n">
        <f aca="false">VLOOKUP($A1837,'Order Sales'!$A$2:$G$2154,F$1,FALSE())</f>
        <v>182.27</v>
      </c>
      <c r="G1837" s="32" t="str">
        <f aca="false">VLOOKUP($A1837,'Order Sales'!$A$2:$G$2154,G$1,FALSE())</f>
        <v>Corporate</v>
      </c>
    </row>
    <row r="1838" customFormat="false" ht="14.25" hidden="false" customHeight="false" outlineLevel="0" collapsed="false">
      <c r="A1838" s="1" t="n">
        <v>1279</v>
      </c>
      <c r="B1838" s="30" t="n">
        <v>43269</v>
      </c>
      <c r="C1838" s="30" t="n">
        <v>44960</v>
      </c>
      <c r="D1838" s="31" t="n">
        <f aca="false">VLOOKUP(A1838,'Order Shipping'!$A$2:$C$2000,3,FALSE())</f>
        <v>6.4</v>
      </c>
      <c r="E1838" s="32" t="n">
        <f aca="false">VLOOKUP($A1838,'Order Sales'!$A$2:$G$2154,E$1,FALSE())</f>
        <v>27</v>
      </c>
      <c r="F1838" s="32" t="n">
        <f aca="false">VLOOKUP($A1838,'Order Sales'!$A$2:$G$2154,F$1,FALSE())</f>
        <v>193.09</v>
      </c>
      <c r="G1838" s="32" t="str">
        <f aca="false">VLOOKUP($A1838,'Order Sales'!$A$2:$G$2154,G$1,FALSE())</f>
        <v>Consumer</v>
      </c>
    </row>
    <row r="1839" customFormat="false" ht="14.25" hidden="false" customHeight="false" outlineLevel="0" collapsed="false">
      <c r="A1839" s="1" t="n">
        <v>2956</v>
      </c>
      <c r="B1839" s="30" t="n">
        <v>43258</v>
      </c>
      <c r="C1839" s="30" t="n">
        <v>44961</v>
      </c>
      <c r="D1839" s="31" t="n">
        <f aca="false">VLOOKUP(A1839,'Order Shipping'!$A$2:$C$2000,3,FALSE())</f>
        <v>9.7</v>
      </c>
      <c r="E1839" s="32" t="n">
        <f aca="false">VLOOKUP($A1839,'Order Sales'!$A$2:$G$2154,E$1,FALSE())</f>
        <v>45</v>
      </c>
      <c r="F1839" s="32" t="n">
        <f aca="false">VLOOKUP($A1839,'Order Sales'!$A$2:$G$2154,F$1,FALSE())</f>
        <v>913.93</v>
      </c>
      <c r="G1839" s="32" t="str">
        <f aca="false">VLOOKUP($A1839,'Order Sales'!$A$2:$G$2154,G$1,FALSE())</f>
        <v>Small Business</v>
      </c>
    </row>
    <row r="1840" customFormat="false" ht="14.25" hidden="false" customHeight="false" outlineLevel="0" collapsed="false">
      <c r="A1840" s="1" t="n">
        <v>1393</v>
      </c>
      <c r="B1840" s="30" t="n">
        <v>43174</v>
      </c>
      <c r="C1840" s="30" t="n">
        <v>44962</v>
      </c>
      <c r="D1840" s="31" t="n">
        <f aca="false">VLOOKUP(A1840,'Order Shipping'!$A$2:$C$2000,3,FALSE())</f>
        <v>0.9</v>
      </c>
      <c r="E1840" s="32" t="n">
        <f aca="false">VLOOKUP($A1840,'Order Sales'!$A$2:$G$2154,E$1,FALSE())</f>
        <v>31</v>
      </c>
      <c r="F1840" s="32" t="n">
        <f aca="false">VLOOKUP($A1840,'Order Sales'!$A$2:$G$2154,F$1,FALSE())</f>
        <v>117.15</v>
      </c>
      <c r="G1840" s="32" t="str">
        <f aca="false">VLOOKUP($A1840,'Order Sales'!$A$2:$G$2154,G$1,FALSE())</f>
        <v>Corporate</v>
      </c>
    </row>
    <row r="1841" customFormat="false" ht="14.25" hidden="false" customHeight="false" outlineLevel="0" collapsed="false">
      <c r="A1841" s="1" t="n">
        <v>1723</v>
      </c>
      <c r="B1841" s="30" t="n">
        <v>43365</v>
      </c>
      <c r="C1841" s="30" t="n">
        <v>44963</v>
      </c>
      <c r="D1841" s="31" t="n">
        <f aca="false">VLOOKUP(A1841,'Order Shipping'!$A$2:$C$2000,3,FALSE())</f>
        <v>1.1</v>
      </c>
      <c r="E1841" s="32" t="n">
        <f aca="false">VLOOKUP($A1841,'Order Sales'!$A$2:$G$2154,E$1,FALSE())</f>
        <v>17</v>
      </c>
      <c r="F1841" s="32" t="n">
        <f aca="false">VLOOKUP($A1841,'Order Sales'!$A$2:$G$2154,F$1,FALSE())</f>
        <v>51.62</v>
      </c>
      <c r="G1841" s="32" t="str">
        <f aca="false">VLOOKUP($A1841,'Order Sales'!$A$2:$G$2154,G$1,FALSE())</f>
        <v>Small Business</v>
      </c>
    </row>
    <row r="1842" customFormat="false" ht="14.25" hidden="false" customHeight="false" outlineLevel="0" collapsed="false">
      <c r="A1842" s="1" t="n">
        <v>2526</v>
      </c>
      <c r="B1842" s="30" t="n">
        <v>43107</v>
      </c>
      <c r="C1842" s="30" t="n">
        <v>44964</v>
      </c>
      <c r="D1842" s="31" t="n">
        <f aca="false">VLOOKUP(A1842,'Order Shipping'!$A$2:$C$2000,3,FALSE())</f>
        <v>15</v>
      </c>
      <c r="E1842" s="32" t="n">
        <f aca="false">VLOOKUP($A1842,'Order Sales'!$A$2:$G$2154,E$1,FALSE())</f>
        <v>29</v>
      </c>
      <c r="F1842" s="32" t="n">
        <f aca="false">VLOOKUP($A1842,'Order Sales'!$A$2:$G$2154,F$1,FALSE())</f>
        <v>1901.89</v>
      </c>
      <c r="G1842" s="32" t="str">
        <f aca="false">VLOOKUP($A1842,'Order Sales'!$A$2:$G$2154,G$1,FALSE())</f>
        <v>Consumer</v>
      </c>
    </row>
    <row r="1843" customFormat="false" ht="14.25" hidden="false" customHeight="false" outlineLevel="0" collapsed="false">
      <c r="A1843" s="1" t="n">
        <v>1938</v>
      </c>
      <c r="B1843" s="30" t="n">
        <v>43227</v>
      </c>
      <c r="C1843" s="30" t="n">
        <v>44965</v>
      </c>
      <c r="D1843" s="31" t="n">
        <f aca="false">VLOOKUP(A1843,'Order Shipping'!$A$2:$C$2000,3,FALSE())</f>
        <v>5.6</v>
      </c>
      <c r="E1843" s="32" t="n">
        <f aca="false">VLOOKUP($A1843,'Order Sales'!$A$2:$G$2154,E$1,FALSE())</f>
        <v>19</v>
      </c>
      <c r="F1843" s="32" t="n">
        <f aca="false">VLOOKUP($A1843,'Order Sales'!$A$2:$G$2154,F$1,FALSE())</f>
        <v>402.54</v>
      </c>
      <c r="G1843" s="32" t="str">
        <f aca="false">VLOOKUP($A1843,'Order Sales'!$A$2:$G$2154,G$1,FALSE())</f>
        <v>Home Office</v>
      </c>
    </row>
    <row r="1844" customFormat="false" ht="14.25" hidden="false" customHeight="false" outlineLevel="0" collapsed="false">
      <c r="A1844" s="1" t="n">
        <v>2156</v>
      </c>
      <c r="B1844" s="30" t="n">
        <v>43345</v>
      </c>
      <c r="C1844" s="30" t="n">
        <v>44966</v>
      </c>
      <c r="D1844" s="31" t="n">
        <f aca="false">VLOOKUP(A1844,'Order Shipping'!$A$2:$C$2000,3,FALSE())</f>
        <v>6.1</v>
      </c>
      <c r="E1844" s="32" t="n">
        <f aca="false">VLOOKUP($A1844,'Order Sales'!$A$2:$G$2154,E$1,FALSE())</f>
        <v>4</v>
      </c>
      <c r="F1844" s="32" t="n">
        <f aca="false">VLOOKUP($A1844,'Order Sales'!$A$2:$G$2154,F$1,FALSE())</f>
        <v>26.5</v>
      </c>
      <c r="G1844" s="32" t="str">
        <f aca="false">VLOOKUP($A1844,'Order Sales'!$A$2:$G$2154,G$1,FALSE())</f>
        <v>Home Office</v>
      </c>
    </row>
    <row r="1845" customFormat="false" ht="14.25" hidden="false" customHeight="false" outlineLevel="0" collapsed="false">
      <c r="A1845" s="1" t="n">
        <v>2491</v>
      </c>
      <c r="B1845" s="30" t="n">
        <v>43435</v>
      </c>
      <c r="C1845" s="30" t="n">
        <v>44967</v>
      </c>
      <c r="D1845" s="31" t="n">
        <f aca="false">VLOOKUP(A1845,'Order Shipping'!$A$2:$C$2000,3,FALSE())</f>
        <v>105.9</v>
      </c>
      <c r="E1845" s="32" t="n">
        <f aca="false">VLOOKUP($A1845,'Order Sales'!$A$2:$G$2154,E$1,FALSE())</f>
        <v>19</v>
      </c>
      <c r="F1845" s="32" t="n">
        <f aca="false">VLOOKUP($A1845,'Order Sales'!$A$2:$G$2154,F$1,FALSE())</f>
        <v>7113.98</v>
      </c>
      <c r="G1845" s="32" t="str">
        <f aca="false">VLOOKUP($A1845,'Order Sales'!$A$2:$G$2154,G$1,FALSE())</f>
        <v>Consumer</v>
      </c>
    </row>
    <row r="1846" customFormat="false" ht="14.25" hidden="false" customHeight="false" outlineLevel="0" collapsed="false">
      <c r="A1846" s="1" t="n">
        <v>2605</v>
      </c>
      <c r="B1846" s="30" t="n">
        <v>43151</v>
      </c>
      <c r="C1846" s="30" t="n">
        <v>44968</v>
      </c>
      <c r="D1846" s="31" t="n">
        <f aca="false">VLOOKUP(A1846,'Order Shipping'!$A$2:$C$2000,3,FALSE())</f>
        <v>8.1</v>
      </c>
      <c r="E1846" s="32" t="n">
        <f aca="false">VLOOKUP($A1846,'Order Sales'!$A$2:$G$2154,E$1,FALSE())</f>
        <v>30</v>
      </c>
      <c r="F1846" s="32" t="n">
        <f aca="false">VLOOKUP($A1846,'Order Sales'!$A$2:$G$2154,F$1,FALSE())</f>
        <v>175.92</v>
      </c>
      <c r="G1846" s="32" t="str">
        <f aca="false">VLOOKUP($A1846,'Order Sales'!$A$2:$G$2154,G$1,FALSE())</f>
        <v>Corporate</v>
      </c>
    </row>
    <row r="1847" customFormat="false" ht="14.25" hidden="false" customHeight="false" outlineLevel="0" collapsed="false">
      <c r="A1847" s="1" t="n">
        <v>1054</v>
      </c>
      <c r="B1847" s="30" t="n">
        <v>43332</v>
      </c>
      <c r="C1847" s="30" t="n">
        <v>44969</v>
      </c>
      <c r="D1847" s="31" t="n">
        <f aca="false">VLOOKUP(A1847,'Order Shipping'!$A$2:$C$2000,3,FALSE())</f>
        <v>5.1</v>
      </c>
      <c r="E1847" s="32" t="n">
        <f aca="false">VLOOKUP($A1847,'Order Sales'!$A$2:$G$2154,E$1,FALSE())</f>
        <v>28</v>
      </c>
      <c r="F1847" s="32" t="n">
        <f aca="false">VLOOKUP($A1847,'Order Sales'!$A$2:$G$2154,F$1,FALSE())</f>
        <v>152.13</v>
      </c>
      <c r="G1847" s="32" t="str">
        <f aca="false">VLOOKUP($A1847,'Order Sales'!$A$2:$G$2154,G$1,FALSE())</f>
        <v>Consumer</v>
      </c>
    </row>
    <row r="1848" customFormat="false" ht="14.25" hidden="false" customHeight="false" outlineLevel="0" collapsed="false">
      <c r="A1848" s="1" t="n">
        <v>1012</v>
      </c>
      <c r="B1848" s="30" t="n">
        <v>43175</v>
      </c>
      <c r="C1848" s="30" t="n">
        <v>44970</v>
      </c>
      <c r="D1848" s="31" t="n">
        <f aca="false">VLOOKUP(A1848,'Order Shipping'!$A$2:$C$2000,3,FALSE())</f>
        <v>2.1</v>
      </c>
      <c r="E1848" s="32" t="n">
        <f aca="false">VLOOKUP($A1848,'Order Sales'!$A$2:$G$2154,E$1,FALSE())</f>
        <v>32</v>
      </c>
      <c r="F1848" s="32" t="n">
        <f aca="false">VLOOKUP($A1848,'Order Sales'!$A$2:$G$2154,F$1,FALSE())</f>
        <v>4079.62</v>
      </c>
      <c r="G1848" s="32" t="str">
        <f aca="false">VLOOKUP($A1848,'Order Sales'!$A$2:$G$2154,G$1,FALSE())</f>
        <v>Corporate</v>
      </c>
    </row>
    <row r="1849" customFormat="false" ht="14.25" hidden="false" customHeight="false" outlineLevel="0" collapsed="false">
      <c r="A1849" s="1" t="n">
        <v>2686</v>
      </c>
      <c r="B1849" s="30" t="n">
        <v>43176</v>
      </c>
      <c r="C1849" s="30" t="n">
        <v>44971</v>
      </c>
      <c r="D1849" s="31" t="n">
        <f aca="false">VLOOKUP(A1849,'Order Shipping'!$A$2:$C$2000,3,FALSE())</f>
        <v>6.1</v>
      </c>
      <c r="E1849" s="32" t="n">
        <f aca="false">VLOOKUP($A1849,'Order Sales'!$A$2:$G$2154,E$1,FALSE())</f>
        <v>14</v>
      </c>
      <c r="F1849" s="32" t="n">
        <f aca="false">VLOOKUP($A1849,'Order Sales'!$A$2:$G$2154,F$1,FALSE())</f>
        <v>81.38</v>
      </c>
      <c r="G1849" s="32" t="str">
        <f aca="false">VLOOKUP($A1849,'Order Sales'!$A$2:$G$2154,G$1,FALSE())</f>
        <v>Corporate</v>
      </c>
    </row>
    <row r="1850" customFormat="false" ht="14.25" hidden="false" customHeight="false" outlineLevel="0" collapsed="false">
      <c r="A1850" s="1" t="n">
        <v>2534</v>
      </c>
      <c r="B1850" s="30" t="n">
        <v>43332</v>
      </c>
      <c r="C1850" s="30" t="n">
        <v>44972</v>
      </c>
      <c r="D1850" s="31" t="n">
        <f aca="false">VLOOKUP(A1850,'Order Shipping'!$A$2:$C$2000,3,FALSE())</f>
        <v>6.5</v>
      </c>
      <c r="E1850" s="32" t="n">
        <f aca="false">VLOOKUP($A1850,'Order Sales'!$A$2:$G$2154,E$1,FALSE())</f>
        <v>2</v>
      </c>
      <c r="F1850" s="32" t="n">
        <f aca="false">VLOOKUP($A1850,'Order Sales'!$A$2:$G$2154,F$1,FALSE())</f>
        <v>20.69</v>
      </c>
      <c r="G1850" s="32" t="str">
        <f aca="false">VLOOKUP($A1850,'Order Sales'!$A$2:$G$2154,G$1,FALSE())</f>
        <v>Consumer</v>
      </c>
    </row>
    <row r="1851" customFormat="false" ht="14.25" hidden="false" customHeight="false" outlineLevel="0" collapsed="false">
      <c r="A1851" s="1" t="n">
        <v>1063</v>
      </c>
      <c r="B1851" s="30" t="n">
        <v>43108</v>
      </c>
      <c r="C1851" s="30" t="n">
        <v>44973</v>
      </c>
      <c r="D1851" s="31" t="n">
        <f aca="false">VLOOKUP(A1851,'Order Shipping'!$A$2:$C$2000,3,FALSE())</f>
        <v>6.2</v>
      </c>
      <c r="E1851" s="32" t="n">
        <f aca="false">VLOOKUP($A1851,'Order Sales'!$A$2:$G$2154,E$1,FALSE())</f>
        <v>30</v>
      </c>
      <c r="F1851" s="32" t="n">
        <f aca="false">VLOOKUP($A1851,'Order Sales'!$A$2:$G$2154,F$1,FALSE())</f>
        <v>363.25</v>
      </c>
      <c r="G1851" s="32" t="str">
        <f aca="false">VLOOKUP($A1851,'Order Sales'!$A$2:$G$2154,G$1,FALSE())</f>
        <v>Corporate</v>
      </c>
    </row>
    <row r="1852" customFormat="false" ht="14.25" hidden="false" customHeight="false" outlineLevel="0" collapsed="false">
      <c r="A1852" s="1" t="n">
        <v>2794</v>
      </c>
      <c r="B1852" s="30" t="n">
        <v>43168</v>
      </c>
      <c r="C1852" s="30" t="n">
        <v>44974</v>
      </c>
      <c r="D1852" s="31" t="n">
        <f aca="false">VLOOKUP(A1852,'Order Shipping'!$A$2:$C$2000,3,FALSE())</f>
        <v>2.1</v>
      </c>
      <c r="E1852" s="32" t="n">
        <f aca="false">VLOOKUP($A1852,'Order Sales'!$A$2:$G$2154,E$1,FALSE())</f>
        <v>2</v>
      </c>
      <c r="F1852" s="32" t="n">
        <f aca="false">VLOOKUP($A1852,'Order Sales'!$A$2:$G$2154,F$1,FALSE())</f>
        <v>61.53</v>
      </c>
      <c r="G1852" s="32" t="str">
        <f aca="false">VLOOKUP($A1852,'Order Sales'!$A$2:$G$2154,G$1,FALSE())</f>
        <v>Home Office</v>
      </c>
    </row>
    <row r="1853" customFormat="false" ht="14.25" hidden="false" customHeight="false" outlineLevel="0" collapsed="false">
      <c r="A1853" s="1" t="n">
        <v>1903</v>
      </c>
      <c r="B1853" s="30" t="n">
        <v>43356</v>
      </c>
      <c r="C1853" s="30" t="n">
        <v>44975</v>
      </c>
      <c r="D1853" s="31" t="n">
        <f aca="false">VLOOKUP(A1853,'Order Shipping'!$A$2:$C$2000,3,FALSE())</f>
        <v>20.5</v>
      </c>
      <c r="E1853" s="32" t="n">
        <f aca="false">VLOOKUP($A1853,'Order Sales'!$A$2:$G$2154,E$1,FALSE())</f>
        <v>8</v>
      </c>
      <c r="F1853" s="32" t="n">
        <f aca="false">VLOOKUP($A1853,'Order Sales'!$A$2:$G$2154,F$1,FALSE())</f>
        <v>322.68</v>
      </c>
      <c r="G1853" s="32" t="str">
        <f aca="false">VLOOKUP($A1853,'Order Sales'!$A$2:$G$2154,G$1,FALSE())</f>
        <v>Corporate</v>
      </c>
    </row>
    <row r="1854" customFormat="false" ht="14.25" hidden="false" customHeight="false" outlineLevel="0" collapsed="false">
      <c r="A1854" s="1" t="n">
        <v>2033</v>
      </c>
      <c r="B1854" s="30" t="n">
        <v>43307</v>
      </c>
      <c r="C1854" s="30" t="n">
        <v>44976</v>
      </c>
      <c r="D1854" s="31" t="n">
        <f aca="false">VLOOKUP(A1854,'Order Shipping'!$A$2:$C$2000,3,FALSE())</f>
        <v>7.6</v>
      </c>
      <c r="E1854" s="32" t="n">
        <f aca="false">VLOOKUP($A1854,'Order Sales'!$A$2:$G$2154,E$1,FALSE())</f>
        <v>16</v>
      </c>
      <c r="F1854" s="32" t="n">
        <f aca="false">VLOOKUP($A1854,'Order Sales'!$A$2:$G$2154,F$1,FALSE())</f>
        <v>44.43</v>
      </c>
      <c r="G1854" s="32" t="str">
        <f aca="false">VLOOKUP($A1854,'Order Sales'!$A$2:$G$2154,G$1,FALSE())</f>
        <v>Small Business</v>
      </c>
    </row>
    <row r="1855" customFormat="false" ht="14.25" hidden="false" customHeight="false" outlineLevel="0" collapsed="false">
      <c r="A1855" s="1" t="n">
        <v>2236</v>
      </c>
      <c r="B1855" s="30" t="n">
        <v>43223</v>
      </c>
      <c r="C1855" s="30" t="n">
        <v>44977</v>
      </c>
      <c r="D1855" s="31" t="n">
        <f aca="false">VLOOKUP(A1855,'Order Shipping'!$A$2:$C$2000,3,FALSE())</f>
        <v>6.4</v>
      </c>
      <c r="E1855" s="32" t="n">
        <f aca="false">VLOOKUP($A1855,'Order Sales'!$A$2:$G$2154,E$1,FALSE())</f>
        <v>21</v>
      </c>
      <c r="F1855" s="32" t="n">
        <f aca="false">VLOOKUP($A1855,'Order Sales'!$A$2:$G$2154,F$1,FALSE())</f>
        <v>225.62</v>
      </c>
      <c r="G1855" s="32" t="str">
        <f aca="false">VLOOKUP($A1855,'Order Sales'!$A$2:$G$2154,G$1,FALSE())</f>
        <v>Home Office</v>
      </c>
    </row>
    <row r="1856" customFormat="false" ht="14.25" hidden="false" customHeight="false" outlineLevel="0" collapsed="false">
      <c r="A1856" s="1" t="n">
        <v>1114</v>
      </c>
      <c r="B1856" s="30" t="n">
        <v>43174</v>
      </c>
      <c r="C1856" s="30" t="n">
        <v>44978</v>
      </c>
      <c r="D1856" s="31" t="n">
        <f aca="false">VLOOKUP(A1856,'Order Shipping'!$A$2:$C$2000,3,FALSE())</f>
        <v>1.6</v>
      </c>
      <c r="E1856" s="32" t="n">
        <f aca="false">VLOOKUP($A1856,'Order Sales'!$A$2:$G$2154,E$1,FALSE())</f>
        <v>4</v>
      </c>
      <c r="F1856" s="32" t="n">
        <f aca="false">VLOOKUP($A1856,'Order Sales'!$A$2:$G$2154,F$1,FALSE())</f>
        <v>18.32</v>
      </c>
      <c r="G1856" s="32" t="str">
        <f aca="false">VLOOKUP($A1856,'Order Sales'!$A$2:$G$2154,G$1,FALSE())</f>
        <v>Corporate</v>
      </c>
    </row>
    <row r="1857" customFormat="false" ht="14.25" hidden="false" customHeight="false" outlineLevel="0" collapsed="false">
      <c r="A1857" s="1" t="n">
        <v>2324</v>
      </c>
      <c r="B1857" s="30" t="n">
        <v>43321</v>
      </c>
      <c r="C1857" s="30" t="n">
        <v>44979</v>
      </c>
      <c r="D1857" s="31" t="n">
        <f aca="false">VLOOKUP(A1857,'Order Shipping'!$A$2:$C$2000,3,FALSE())</f>
        <v>7.1</v>
      </c>
      <c r="E1857" s="32" t="n">
        <f aca="false">VLOOKUP($A1857,'Order Sales'!$A$2:$G$2154,E$1,FALSE())</f>
        <v>6</v>
      </c>
      <c r="F1857" s="32" t="n">
        <f aca="false">VLOOKUP($A1857,'Order Sales'!$A$2:$G$2154,F$1,FALSE())</f>
        <v>134.84</v>
      </c>
      <c r="G1857" s="32" t="str">
        <f aca="false">VLOOKUP($A1857,'Order Sales'!$A$2:$G$2154,G$1,FALSE())</f>
        <v>Corporate</v>
      </c>
    </row>
    <row r="1858" customFormat="false" ht="14.25" hidden="false" customHeight="false" outlineLevel="0" collapsed="false">
      <c r="A1858" s="1" t="n">
        <v>1944</v>
      </c>
      <c r="B1858" s="30" t="n">
        <v>43440</v>
      </c>
      <c r="C1858" s="30" t="n">
        <v>44980</v>
      </c>
      <c r="D1858" s="31" t="n">
        <f aca="false">VLOOKUP(A1858,'Order Shipping'!$A$2:$C$2000,3,FALSE())</f>
        <v>0.9</v>
      </c>
      <c r="E1858" s="32" t="n">
        <f aca="false">VLOOKUP($A1858,'Order Sales'!$A$2:$G$2154,E$1,FALSE())</f>
        <v>36</v>
      </c>
      <c r="F1858" s="32" t="n">
        <f aca="false">VLOOKUP($A1858,'Order Sales'!$A$2:$G$2154,F$1,FALSE())</f>
        <v>188.69</v>
      </c>
      <c r="G1858" s="32" t="str">
        <f aca="false">VLOOKUP($A1858,'Order Sales'!$A$2:$G$2154,G$1,FALSE())</f>
        <v>Home Office</v>
      </c>
    </row>
    <row r="1859" customFormat="false" ht="14.25" hidden="false" customHeight="false" outlineLevel="0" collapsed="false">
      <c r="A1859" s="1" t="n">
        <v>2433</v>
      </c>
      <c r="B1859" s="30" t="n">
        <v>43354</v>
      </c>
      <c r="C1859" s="30" t="n">
        <v>44981</v>
      </c>
      <c r="D1859" s="31" t="n">
        <f aca="false">VLOOKUP(A1859,'Order Shipping'!$A$2:$C$2000,3,FALSE())</f>
        <v>21.4</v>
      </c>
      <c r="E1859" s="32" t="n">
        <f aca="false">VLOOKUP($A1859,'Order Sales'!$A$2:$G$2154,E$1,FALSE())</f>
        <v>27</v>
      </c>
      <c r="F1859" s="32" t="n">
        <f aca="false">VLOOKUP($A1859,'Order Sales'!$A$2:$G$2154,F$1,FALSE())</f>
        <v>5053.43</v>
      </c>
      <c r="G1859" s="32" t="str">
        <f aca="false">VLOOKUP($A1859,'Order Sales'!$A$2:$G$2154,G$1,FALSE())</f>
        <v>Consumer</v>
      </c>
    </row>
    <row r="1860" customFormat="false" ht="14.25" hidden="false" customHeight="false" outlineLevel="0" collapsed="false">
      <c r="A1860" s="1" t="n">
        <v>2860</v>
      </c>
      <c r="B1860" s="30" t="n">
        <v>43452</v>
      </c>
      <c r="C1860" s="30" t="n">
        <v>44982</v>
      </c>
      <c r="D1860" s="31" t="n">
        <f aca="false">VLOOKUP(A1860,'Order Shipping'!$A$2:$C$2000,3,FALSE())</f>
        <v>64.2</v>
      </c>
      <c r="E1860" s="32" t="n">
        <f aca="false">VLOOKUP($A1860,'Order Sales'!$A$2:$G$2154,E$1,FALSE())</f>
        <v>25</v>
      </c>
      <c r="F1860" s="32" t="n">
        <f aca="false">VLOOKUP($A1860,'Order Sales'!$A$2:$G$2154,F$1,FALSE())</f>
        <v>4197.9</v>
      </c>
      <c r="G1860" s="32" t="str">
        <f aca="false">VLOOKUP($A1860,'Order Sales'!$A$2:$G$2154,G$1,FALSE())</f>
        <v>Corporate</v>
      </c>
    </row>
    <row r="1861" customFormat="false" ht="14.25" hidden="false" customHeight="false" outlineLevel="0" collapsed="false">
      <c r="A1861" s="1" t="n">
        <v>3001</v>
      </c>
      <c r="B1861" s="30" t="n">
        <v>43250</v>
      </c>
      <c r="C1861" s="30" t="n">
        <v>44983</v>
      </c>
      <c r="D1861" s="31" t="n">
        <f aca="false">VLOOKUP(A1861,'Order Shipping'!$A$2:$C$2000,3,FALSE())</f>
        <v>9.6</v>
      </c>
      <c r="E1861" s="32" t="n">
        <f aca="false">VLOOKUP($A1861,'Order Sales'!$A$2:$G$2154,E$1,FALSE())</f>
        <v>26</v>
      </c>
      <c r="F1861" s="32" t="n">
        <f aca="false">VLOOKUP($A1861,'Order Sales'!$A$2:$G$2154,F$1,FALSE())</f>
        <v>468.41</v>
      </c>
      <c r="G1861" s="32" t="str">
        <f aca="false">VLOOKUP($A1861,'Order Sales'!$A$2:$G$2154,G$1,FALSE())</f>
        <v>Home Office</v>
      </c>
    </row>
    <row r="1862" customFormat="false" ht="14.25" hidden="false" customHeight="false" outlineLevel="0" collapsed="false">
      <c r="A1862" s="1" t="n">
        <v>2169</v>
      </c>
      <c r="B1862" s="30" t="n">
        <v>43390</v>
      </c>
      <c r="C1862" s="30" t="n">
        <v>44984</v>
      </c>
      <c r="D1862" s="31" t="n">
        <f aca="false">VLOOKUP(A1862,'Order Shipping'!$A$2:$C$2000,3,FALSE())</f>
        <v>21.4</v>
      </c>
      <c r="E1862" s="32" t="n">
        <f aca="false">VLOOKUP($A1862,'Order Sales'!$A$2:$G$2154,E$1,FALSE())</f>
        <v>14</v>
      </c>
      <c r="F1862" s="32" t="n">
        <f aca="false">VLOOKUP($A1862,'Order Sales'!$A$2:$G$2154,F$1,FALSE())</f>
        <v>13701.62</v>
      </c>
      <c r="G1862" s="32" t="str">
        <f aca="false">VLOOKUP($A1862,'Order Sales'!$A$2:$G$2154,G$1,FALSE())</f>
        <v>Corporate</v>
      </c>
    </row>
    <row r="1863" customFormat="false" ht="14.25" hidden="false" customHeight="false" outlineLevel="0" collapsed="false">
      <c r="A1863" s="1" t="n">
        <v>1141</v>
      </c>
      <c r="B1863" s="30" t="n">
        <v>43247</v>
      </c>
      <c r="C1863" s="30" t="n">
        <v>44985</v>
      </c>
      <c r="D1863" s="31" t="n">
        <f aca="false">VLOOKUP(A1863,'Order Shipping'!$A$2:$C$2000,3,FALSE())</f>
        <v>0.5</v>
      </c>
      <c r="E1863" s="32" t="n">
        <f aca="false">VLOOKUP($A1863,'Order Sales'!$A$2:$G$2154,E$1,FALSE())</f>
        <v>5</v>
      </c>
      <c r="F1863" s="32" t="n">
        <f aca="false">VLOOKUP($A1863,'Order Sales'!$A$2:$G$2154,F$1,FALSE())</f>
        <v>15.79</v>
      </c>
      <c r="G1863" s="32" t="str">
        <f aca="false">VLOOKUP($A1863,'Order Sales'!$A$2:$G$2154,G$1,FALSE())</f>
        <v>Corporate</v>
      </c>
    </row>
    <row r="1864" customFormat="false" ht="14.25" hidden="false" customHeight="false" outlineLevel="0" collapsed="false">
      <c r="A1864" s="1" t="n">
        <v>2573</v>
      </c>
      <c r="B1864" s="30" t="n">
        <v>43259</v>
      </c>
      <c r="C1864" s="30" t="n">
        <v>44986</v>
      </c>
      <c r="D1864" s="31" t="n">
        <f aca="false">VLOOKUP(A1864,'Order Shipping'!$A$2:$C$2000,3,FALSE())</f>
        <v>1.4</v>
      </c>
      <c r="E1864" s="32" t="n">
        <f aca="false">VLOOKUP($A1864,'Order Sales'!$A$2:$G$2154,E$1,FALSE())</f>
        <v>41</v>
      </c>
      <c r="F1864" s="32" t="n">
        <f aca="false">VLOOKUP($A1864,'Order Sales'!$A$2:$G$2154,F$1,FALSE())</f>
        <v>147.14</v>
      </c>
      <c r="G1864" s="32" t="str">
        <f aca="false">VLOOKUP($A1864,'Order Sales'!$A$2:$G$2154,G$1,FALSE())</f>
        <v>Corporate</v>
      </c>
    </row>
    <row r="1865" customFormat="false" ht="14.25" hidden="false" customHeight="false" outlineLevel="0" collapsed="false">
      <c r="A1865" s="1" t="n">
        <v>1673</v>
      </c>
      <c r="B1865" s="30" t="n">
        <v>43133</v>
      </c>
      <c r="C1865" s="30" t="n">
        <v>44987</v>
      </c>
      <c r="D1865" s="31" t="n">
        <f aca="false">VLOOKUP(A1865,'Order Shipping'!$A$2:$C$2000,3,FALSE())</f>
        <v>2.1</v>
      </c>
      <c r="E1865" s="32" t="n">
        <f aca="false">VLOOKUP($A1865,'Order Sales'!$A$2:$G$2154,E$1,FALSE())</f>
        <v>28</v>
      </c>
      <c r="F1865" s="32" t="n">
        <f aca="false">VLOOKUP($A1865,'Order Sales'!$A$2:$G$2154,F$1,FALSE())</f>
        <v>1180.93</v>
      </c>
      <c r="G1865" s="32" t="str">
        <f aca="false">VLOOKUP($A1865,'Order Sales'!$A$2:$G$2154,G$1,FALSE())</f>
        <v>Corporate</v>
      </c>
    </row>
    <row r="1866" customFormat="false" ht="14.25" hidden="false" customHeight="false" outlineLevel="0" collapsed="false">
      <c r="A1866" s="1" t="n">
        <v>1656</v>
      </c>
      <c r="B1866" s="30" t="n">
        <v>43298</v>
      </c>
      <c r="C1866" s="30" t="n">
        <v>44988</v>
      </c>
      <c r="D1866" s="31" t="n">
        <f aca="false">VLOOKUP(A1866,'Order Shipping'!$A$2:$C$2000,3,FALSE())</f>
        <v>5.4</v>
      </c>
      <c r="E1866" s="32" t="n">
        <f aca="false">VLOOKUP($A1866,'Order Sales'!$A$2:$G$2154,E$1,FALSE())</f>
        <v>39</v>
      </c>
      <c r="F1866" s="32" t="n">
        <f aca="false">VLOOKUP($A1866,'Order Sales'!$A$2:$G$2154,F$1,FALSE())</f>
        <v>532.35</v>
      </c>
      <c r="G1866" s="32" t="str">
        <f aca="false">VLOOKUP($A1866,'Order Sales'!$A$2:$G$2154,G$1,FALSE())</f>
        <v>Small Business</v>
      </c>
    </row>
    <row r="1867" customFormat="false" ht="14.25" hidden="false" customHeight="false" outlineLevel="0" collapsed="false">
      <c r="A1867" s="1" t="n">
        <v>2483</v>
      </c>
      <c r="B1867" s="30" t="n">
        <v>43133</v>
      </c>
      <c r="C1867" s="30" t="n">
        <v>44989</v>
      </c>
      <c r="D1867" s="31" t="n">
        <f aca="false">VLOOKUP(A1867,'Order Shipping'!$A$2:$C$2000,3,FALSE())</f>
        <v>21.4</v>
      </c>
      <c r="E1867" s="32" t="n">
        <f aca="false">VLOOKUP($A1867,'Order Sales'!$A$2:$G$2154,E$1,FALSE())</f>
        <v>39</v>
      </c>
      <c r="F1867" s="32" t="n">
        <f aca="false">VLOOKUP($A1867,'Order Sales'!$A$2:$G$2154,F$1,FALSE())</f>
        <v>3639.93</v>
      </c>
      <c r="G1867" s="32" t="str">
        <f aca="false">VLOOKUP($A1867,'Order Sales'!$A$2:$G$2154,G$1,FALSE())</f>
        <v>Consumer</v>
      </c>
    </row>
    <row r="1868" customFormat="false" ht="14.25" hidden="false" customHeight="false" outlineLevel="0" collapsed="false">
      <c r="A1868" s="1" t="n">
        <v>2547</v>
      </c>
      <c r="B1868" s="30" t="n">
        <v>43375</v>
      </c>
      <c r="C1868" s="30" t="n">
        <v>44990</v>
      </c>
      <c r="D1868" s="31" t="n">
        <f aca="false">VLOOKUP(A1868,'Order Shipping'!$A$2:$C$2000,3,FALSE())</f>
        <v>0.5</v>
      </c>
      <c r="E1868" s="32" t="n">
        <f aca="false">VLOOKUP($A1868,'Order Sales'!$A$2:$G$2154,E$1,FALSE())</f>
        <v>40</v>
      </c>
      <c r="F1868" s="32" t="n">
        <f aca="false">VLOOKUP($A1868,'Order Sales'!$A$2:$G$2154,F$1,FALSE())</f>
        <v>111.06</v>
      </c>
      <c r="G1868" s="32" t="str">
        <f aca="false">VLOOKUP($A1868,'Order Sales'!$A$2:$G$2154,G$1,FALSE())</f>
        <v>Home Office</v>
      </c>
    </row>
    <row r="1869" customFormat="false" ht="14.25" hidden="false" customHeight="false" outlineLevel="0" collapsed="false">
      <c r="A1869" s="1" t="n">
        <v>1792</v>
      </c>
      <c r="B1869" s="30" t="n">
        <v>43131</v>
      </c>
      <c r="C1869" s="30" t="n">
        <v>44991</v>
      </c>
      <c r="D1869" s="31" t="n">
        <f aca="false">VLOOKUP(A1869,'Order Shipping'!$A$2:$C$2000,3,FALSE())</f>
        <v>5.2</v>
      </c>
      <c r="E1869" s="32" t="n">
        <f aca="false">VLOOKUP($A1869,'Order Sales'!$A$2:$G$2154,E$1,FALSE())</f>
        <v>44</v>
      </c>
      <c r="F1869" s="32" t="n">
        <f aca="false">VLOOKUP($A1869,'Order Sales'!$A$2:$G$2154,F$1,FALSE())</f>
        <v>3899.72</v>
      </c>
      <c r="G1869" s="32" t="str">
        <f aca="false">VLOOKUP($A1869,'Order Sales'!$A$2:$G$2154,G$1,FALSE())</f>
        <v>Home Office</v>
      </c>
    </row>
    <row r="1870" customFormat="false" ht="14.25" hidden="false" customHeight="false" outlineLevel="0" collapsed="false">
      <c r="A1870" s="1" t="n">
        <v>2249</v>
      </c>
      <c r="B1870" s="30" t="n">
        <v>43212</v>
      </c>
      <c r="C1870" s="30" t="n">
        <v>44992</v>
      </c>
      <c r="D1870" s="31" t="n">
        <f aca="false">VLOOKUP(A1870,'Order Shipping'!$A$2:$C$2000,3,FALSE())</f>
        <v>6.6</v>
      </c>
      <c r="E1870" s="32" t="n">
        <f aca="false">VLOOKUP($A1870,'Order Sales'!$A$2:$G$2154,E$1,FALSE())</f>
        <v>45</v>
      </c>
      <c r="F1870" s="32" t="n">
        <f aca="false">VLOOKUP($A1870,'Order Sales'!$A$2:$G$2154,F$1,FALSE())</f>
        <v>348.61</v>
      </c>
      <c r="G1870" s="32" t="str">
        <f aca="false">VLOOKUP($A1870,'Order Sales'!$A$2:$G$2154,G$1,FALSE())</f>
        <v>Consumer</v>
      </c>
    </row>
    <row r="1871" customFormat="false" ht="14.25" hidden="false" customHeight="false" outlineLevel="0" collapsed="false">
      <c r="A1871" s="1" t="n">
        <v>2662</v>
      </c>
      <c r="B1871" s="30" t="n">
        <v>43451</v>
      </c>
      <c r="C1871" s="30" t="n">
        <v>44993</v>
      </c>
      <c r="D1871" s="31" t="n">
        <f aca="false">VLOOKUP(A1871,'Order Shipping'!$A$2:$C$2000,3,FALSE())</f>
        <v>17.1</v>
      </c>
      <c r="E1871" s="32" t="n">
        <f aca="false">VLOOKUP($A1871,'Order Sales'!$A$2:$G$2154,E$1,FALSE())</f>
        <v>49</v>
      </c>
      <c r="F1871" s="32" t="n">
        <f aca="false">VLOOKUP($A1871,'Order Sales'!$A$2:$G$2154,F$1,FALSE())</f>
        <v>7932.22</v>
      </c>
      <c r="G1871" s="32" t="str">
        <f aca="false">VLOOKUP($A1871,'Order Sales'!$A$2:$G$2154,G$1,FALSE())</f>
        <v>Corporate</v>
      </c>
    </row>
    <row r="1872" customFormat="false" ht="14.25" hidden="false" customHeight="false" outlineLevel="0" collapsed="false">
      <c r="A1872" s="1" t="n">
        <v>1303</v>
      </c>
      <c r="B1872" s="30" t="n">
        <v>43266</v>
      </c>
      <c r="C1872" s="30" t="n">
        <v>44994</v>
      </c>
      <c r="D1872" s="31" t="n">
        <f aca="false">VLOOKUP(A1872,'Order Shipping'!$A$2:$C$2000,3,FALSE())</f>
        <v>0.5</v>
      </c>
      <c r="E1872" s="32" t="n">
        <f aca="false">VLOOKUP($A1872,'Order Sales'!$A$2:$G$2154,E$1,FALSE())</f>
        <v>17</v>
      </c>
      <c r="F1872" s="32" t="n">
        <f aca="false">VLOOKUP($A1872,'Order Sales'!$A$2:$G$2154,F$1,FALSE())</f>
        <v>57.68</v>
      </c>
      <c r="G1872" s="32" t="str">
        <f aca="false">VLOOKUP($A1872,'Order Sales'!$A$2:$G$2154,G$1,FALSE())</f>
        <v>Home Office</v>
      </c>
    </row>
    <row r="1873" customFormat="false" ht="14.25" hidden="false" customHeight="false" outlineLevel="0" collapsed="false">
      <c r="A1873" s="1" t="n">
        <v>1983</v>
      </c>
      <c r="B1873" s="30" t="n">
        <v>43421</v>
      </c>
      <c r="C1873" s="30" t="n">
        <v>44995</v>
      </c>
      <c r="D1873" s="31" t="n">
        <f aca="false">VLOOKUP(A1873,'Order Shipping'!$A$2:$C$2000,3,FALSE())</f>
        <v>2.5</v>
      </c>
      <c r="E1873" s="32" t="n">
        <f aca="false">VLOOKUP($A1873,'Order Sales'!$A$2:$G$2154,E$1,FALSE())</f>
        <v>20</v>
      </c>
      <c r="F1873" s="32" t="n">
        <f aca="false">VLOOKUP($A1873,'Order Sales'!$A$2:$G$2154,F$1,FALSE())</f>
        <v>168.13</v>
      </c>
      <c r="G1873" s="32" t="str">
        <f aca="false">VLOOKUP($A1873,'Order Sales'!$A$2:$G$2154,G$1,FALSE())</f>
        <v>Corporate</v>
      </c>
    </row>
    <row r="1874" customFormat="false" ht="14.25" hidden="false" customHeight="false" outlineLevel="0" collapsed="false">
      <c r="A1874" s="1" t="n">
        <v>2228</v>
      </c>
      <c r="B1874" s="30" t="n">
        <v>43241</v>
      </c>
      <c r="C1874" s="30" t="n">
        <v>44996</v>
      </c>
      <c r="D1874" s="31" t="n">
        <f aca="false">VLOOKUP(A1874,'Order Shipping'!$A$2:$C$2000,3,FALSE())</f>
        <v>32.1</v>
      </c>
      <c r="E1874" s="32" t="n">
        <f aca="false">VLOOKUP($A1874,'Order Sales'!$A$2:$G$2154,E$1,FALSE())</f>
        <v>39</v>
      </c>
      <c r="F1874" s="32" t="n">
        <f aca="false">VLOOKUP($A1874,'Order Sales'!$A$2:$G$2154,F$1,FALSE())</f>
        <v>4973.03</v>
      </c>
      <c r="G1874" s="32" t="str">
        <f aca="false">VLOOKUP($A1874,'Order Sales'!$A$2:$G$2154,G$1,FALSE())</f>
        <v>Corporate</v>
      </c>
    </row>
    <row r="1875" customFormat="false" ht="14.25" hidden="false" customHeight="false" outlineLevel="0" collapsed="false">
      <c r="A1875" s="1" t="n">
        <v>2919</v>
      </c>
      <c r="B1875" s="30" t="n">
        <v>43269</v>
      </c>
      <c r="C1875" s="30" t="n">
        <v>44997</v>
      </c>
      <c r="D1875" s="31" t="n">
        <f aca="false">VLOOKUP(A1875,'Order Shipping'!$A$2:$C$2000,3,FALSE())</f>
        <v>5.7</v>
      </c>
      <c r="E1875" s="32" t="n">
        <f aca="false">VLOOKUP($A1875,'Order Sales'!$A$2:$G$2154,E$1,FALSE())</f>
        <v>6</v>
      </c>
      <c r="F1875" s="32" t="n">
        <f aca="false">VLOOKUP($A1875,'Order Sales'!$A$2:$G$2154,F$1,FALSE())</f>
        <v>349.78</v>
      </c>
      <c r="G1875" s="32" t="str">
        <f aca="false">VLOOKUP($A1875,'Order Sales'!$A$2:$G$2154,G$1,FALSE())</f>
        <v>Small Business</v>
      </c>
    </row>
    <row r="1876" customFormat="false" ht="14.25" hidden="false" customHeight="false" outlineLevel="0" collapsed="false">
      <c r="A1876" s="1" t="n">
        <v>1152</v>
      </c>
      <c r="B1876" s="30" t="n">
        <v>43156</v>
      </c>
      <c r="C1876" s="30" t="n">
        <v>44998</v>
      </c>
      <c r="D1876" s="31" t="n">
        <f aca="false">VLOOKUP(A1876,'Order Shipping'!$A$2:$C$2000,3,FALSE())</f>
        <v>3.8</v>
      </c>
      <c r="E1876" s="32" t="n">
        <f aca="false">VLOOKUP($A1876,'Order Sales'!$A$2:$G$2154,E$1,FALSE())</f>
        <v>9</v>
      </c>
      <c r="F1876" s="32" t="n">
        <f aca="false">VLOOKUP($A1876,'Order Sales'!$A$2:$G$2154,F$1,FALSE())</f>
        <v>70.2</v>
      </c>
      <c r="G1876" s="32" t="str">
        <f aca="false">VLOOKUP($A1876,'Order Sales'!$A$2:$G$2154,G$1,FALSE())</f>
        <v>Corporate</v>
      </c>
    </row>
    <row r="1877" customFormat="false" ht="14.25" hidden="false" customHeight="false" outlineLevel="0" collapsed="false">
      <c r="A1877" s="1" t="n">
        <v>2083</v>
      </c>
      <c r="B1877" s="30" t="n">
        <v>43422</v>
      </c>
      <c r="C1877" s="30" t="n">
        <v>44999</v>
      </c>
      <c r="D1877" s="31" t="n">
        <f aca="false">VLOOKUP(A1877,'Order Shipping'!$A$2:$C$2000,3,FALSE())</f>
        <v>10.4</v>
      </c>
      <c r="E1877" s="32" t="n">
        <f aca="false">VLOOKUP($A1877,'Order Sales'!$A$2:$G$2154,E$1,FALSE())</f>
        <v>17</v>
      </c>
      <c r="F1877" s="32" t="n">
        <f aca="false">VLOOKUP($A1877,'Order Sales'!$A$2:$G$2154,F$1,FALSE())</f>
        <v>122.99</v>
      </c>
      <c r="G1877" s="32" t="str">
        <f aca="false">VLOOKUP($A1877,'Order Sales'!$A$2:$G$2154,G$1,FALSE())</f>
        <v>Consumer</v>
      </c>
    </row>
    <row r="1878" customFormat="false" ht="14.25" hidden="false" customHeight="false" outlineLevel="0" collapsed="false">
      <c r="A1878" s="1" t="n">
        <v>2812</v>
      </c>
      <c r="B1878" s="30" t="n">
        <v>43262</v>
      </c>
      <c r="C1878" s="30" t="n">
        <v>45000</v>
      </c>
      <c r="D1878" s="31" t="n">
        <f aca="false">VLOOKUP(A1878,'Order Shipping'!$A$2:$C$2000,3,FALSE())</f>
        <v>28.7</v>
      </c>
      <c r="E1878" s="32" t="n">
        <f aca="false">VLOOKUP($A1878,'Order Sales'!$A$2:$G$2154,E$1,FALSE())</f>
        <v>28</v>
      </c>
      <c r="F1878" s="32" t="n">
        <f aca="false">VLOOKUP($A1878,'Order Sales'!$A$2:$G$2154,F$1,FALSE())</f>
        <v>2109.57</v>
      </c>
      <c r="G1878" s="32" t="str">
        <f aca="false">VLOOKUP($A1878,'Order Sales'!$A$2:$G$2154,G$1,FALSE())</f>
        <v>Small Business</v>
      </c>
    </row>
    <row r="1879" customFormat="false" ht="14.25" hidden="false" customHeight="false" outlineLevel="0" collapsed="false">
      <c r="A1879" s="1" t="n">
        <v>1830</v>
      </c>
      <c r="B1879" s="30" t="n">
        <v>43124</v>
      </c>
      <c r="C1879" s="30" t="n">
        <v>45001</v>
      </c>
      <c r="D1879" s="31" t="n">
        <f aca="false">VLOOKUP(A1879,'Order Shipping'!$A$2:$C$2000,3,FALSE())</f>
        <v>60.1</v>
      </c>
      <c r="E1879" s="32" t="n">
        <f aca="false">VLOOKUP($A1879,'Order Sales'!$A$2:$G$2154,E$1,FALSE())</f>
        <v>41</v>
      </c>
      <c r="F1879" s="32" t="n">
        <f aca="false">VLOOKUP($A1879,'Order Sales'!$A$2:$G$2154,F$1,FALSE())</f>
        <v>4788.28</v>
      </c>
      <c r="G1879" s="32" t="str">
        <f aca="false">VLOOKUP($A1879,'Order Sales'!$A$2:$G$2154,G$1,FALSE())</f>
        <v>Consumer</v>
      </c>
    </row>
    <row r="1880" customFormat="false" ht="14.25" hidden="false" customHeight="false" outlineLevel="0" collapsed="false">
      <c r="A1880" s="1" t="n">
        <v>1404</v>
      </c>
      <c r="B1880" s="30" t="n">
        <v>43457</v>
      </c>
      <c r="C1880" s="30" t="n">
        <v>45002</v>
      </c>
      <c r="D1880" s="31" t="n">
        <f aca="false">VLOOKUP(A1880,'Order Shipping'!$A$2:$C$2000,3,FALSE())</f>
        <v>7.6</v>
      </c>
      <c r="E1880" s="32" t="n">
        <f aca="false">VLOOKUP($A1880,'Order Sales'!$A$2:$G$2154,E$1,FALSE())</f>
        <v>25</v>
      </c>
      <c r="F1880" s="32" t="n">
        <f aca="false">VLOOKUP($A1880,'Order Sales'!$A$2:$G$2154,F$1,FALSE())</f>
        <v>3230.77</v>
      </c>
      <c r="G1880" s="32" t="str">
        <f aca="false">VLOOKUP($A1880,'Order Sales'!$A$2:$G$2154,G$1,FALSE())</f>
        <v>Corporate</v>
      </c>
    </row>
    <row r="1881" customFormat="false" ht="14.25" hidden="false" customHeight="false" outlineLevel="0" collapsed="false">
      <c r="A1881" s="1" t="n">
        <v>2235</v>
      </c>
      <c r="B1881" s="30" t="n">
        <v>43422</v>
      </c>
      <c r="C1881" s="30" t="n">
        <v>45003</v>
      </c>
      <c r="D1881" s="31" t="n">
        <f aca="false">VLOOKUP(A1881,'Order Shipping'!$A$2:$C$2000,3,FALSE())</f>
        <v>21.4</v>
      </c>
      <c r="E1881" s="32" t="n">
        <f aca="false">VLOOKUP($A1881,'Order Sales'!$A$2:$G$2154,E$1,FALSE())</f>
        <v>50</v>
      </c>
      <c r="F1881" s="32" t="n">
        <f aca="false">VLOOKUP($A1881,'Order Sales'!$A$2:$G$2154,F$1,FALSE())</f>
        <v>2500.62</v>
      </c>
      <c r="G1881" s="32" t="str">
        <f aca="false">VLOOKUP($A1881,'Order Sales'!$A$2:$G$2154,G$1,FALSE())</f>
        <v>Corporate</v>
      </c>
    </row>
    <row r="1882" customFormat="false" ht="14.25" hidden="false" customHeight="false" outlineLevel="0" collapsed="false">
      <c r="A1882" s="1" t="n">
        <v>1676</v>
      </c>
      <c r="B1882" s="30" t="n">
        <v>43308</v>
      </c>
      <c r="C1882" s="30" t="n">
        <v>45004</v>
      </c>
      <c r="D1882" s="31" t="n">
        <f aca="false">VLOOKUP(A1882,'Order Shipping'!$A$2:$C$2000,3,FALSE())</f>
        <v>75.1</v>
      </c>
      <c r="E1882" s="32" t="n">
        <f aca="false">VLOOKUP($A1882,'Order Sales'!$A$2:$G$2154,E$1,FALSE())</f>
        <v>4</v>
      </c>
      <c r="F1882" s="32" t="n">
        <f aca="false">VLOOKUP($A1882,'Order Sales'!$A$2:$G$2154,F$1,FALSE())</f>
        <v>598.93</v>
      </c>
      <c r="G1882" s="32" t="str">
        <f aca="false">VLOOKUP($A1882,'Order Sales'!$A$2:$G$2154,G$1,FALSE())</f>
        <v>Corporate</v>
      </c>
    </row>
    <row r="1883" customFormat="false" ht="14.25" hidden="false" customHeight="false" outlineLevel="0" collapsed="false">
      <c r="A1883" s="1" t="n">
        <v>1245</v>
      </c>
      <c r="B1883" s="30" t="n">
        <v>43209</v>
      </c>
      <c r="C1883" s="30" t="n">
        <v>45005</v>
      </c>
      <c r="D1883" s="31" t="n">
        <f aca="false">VLOOKUP(A1883,'Order Shipping'!$A$2:$C$2000,3,FALSE())</f>
        <v>20.8</v>
      </c>
      <c r="E1883" s="32" t="n">
        <f aca="false">VLOOKUP($A1883,'Order Sales'!$A$2:$G$2154,E$1,FALSE())</f>
        <v>17</v>
      </c>
      <c r="F1883" s="32" t="n">
        <f aca="false">VLOOKUP($A1883,'Order Sales'!$A$2:$G$2154,F$1,FALSE())</f>
        <v>509.21</v>
      </c>
      <c r="G1883" s="32" t="str">
        <f aca="false">VLOOKUP($A1883,'Order Sales'!$A$2:$G$2154,G$1,FALSE())</f>
        <v>Corporate</v>
      </c>
    </row>
    <row r="1884" customFormat="false" ht="14.25" hidden="false" customHeight="false" outlineLevel="0" collapsed="false">
      <c r="A1884" s="1" t="n">
        <v>2587</v>
      </c>
      <c r="B1884" s="30" t="n">
        <v>43176</v>
      </c>
      <c r="C1884" s="30" t="n">
        <v>45006</v>
      </c>
      <c r="D1884" s="31" t="n">
        <f aca="false">VLOOKUP(A1884,'Order Shipping'!$A$2:$C$2000,3,FALSE())</f>
        <v>32.1</v>
      </c>
      <c r="E1884" s="32" t="n">
        <f aca="false">VLOOKUP($A1884,'Order Sales'!$A$2:$G$2154,E$1,FALSE())</f>
        <v>15</v>
      </c>
      <c r="F1884" s="32" t="n">
        <f aca="false">VLOOKUP($A1884,'Order Sales'!$A$2:$G$2154,F$1,FALSE())</f>
        <v>2279.81</v>
      </c>
      <c r="G1884" s="32" t="str">
        <f aca="false">VLOOKUP($A1884,'Order Sales'!$A$2:$G$2154,G$1,FALSE())</f>
        <v>Home Office</v>
      </c>
    </row>
    <row r="1885" customFormat="false" ht="14.25" hidden="false" customHeight="false" outlineLevel="0" collapsed="false">
      <c r="A1885" s="1" t="n">
        <v>1260</v>
      </c>
      <c r="B1885" s="30" t="n">
        <v>43105</v>
      </c>
      <c r="C1885" s="30" t="n">
        <v>45007</v>
      </c>
      <c r="D1885" s="31" t="n">
        <f aca="false">VLOOKUP(A1885,'Order Shipping'!$A$2:$C$2000,3,FALSE())</f>
        <v>3.9</v>
      </c>
      <c r="E1885" s="32" t="n">
        <f aca="false">VLOOKUP($A1885,'Order Sales'!$A$2:$G$2154,E$1,FALSE())</f>
        <v>1</v>
      </c>
      <c r="F1885" s="32" t="n">
        <f aca="false">VLOOKUP($A1885,'Order Sales'!$A$2:$G$2154,F$1,FALSE())</f>
        <v>9.07</v>
      </c>
      <c r="G1885" s="32" t="str">
        <f aca="false">VLOOKUP($A1885,'Order Sales'!$A$2:$G$2154,G$1,FALSE())</f>
        <v>Consumer</v>
      </c>
    </row>
    <row r="1886" customFormat="false" ht="14.25" hidden="false" customHeight="false" outlineLevel="0" collapsed="false">
      <c r="A1886" s="1" t="n">
        <v>1234</v>
      </c>
      <c r="B1886" s="30" t="n">
        <v>43301</v>
      </c>
      <c r="C1886" s="30" t="n">
        <v>45008</v>
      </c>
      <c r="D1886" s="31" t="n">
        <f aca="false">VLOOKUP(A1886,'Order Shipping'!$A$2:$C$2000,3,FALSE())</f>
        <v>0.5</v>
      </c>
      <c r="E1886" s="32" t="n">
        <f aca="false">VLOOKUP($A1886,'Order Sales'!$A$2:$G$2154,E$1,FALSE())</f>
        <v>36</v>
      </c>
      <c r="F1886" s="32" t="n">
        <f aca="false">VLOOKUP($A1886,'Order Sales'!$A$2:$G$2154,F$1,FALSE())</f>
        <v>142.16</v>
      </c>
      <c r="G1886" s="32" t="str">
        <f aca="false">VLOOKUP($A1886,'Order Sales'!$A$2:$G$2154,G$1,FALSE())</f>
        <v>Corporate</v>
      </c>
    </row>
    <row r="1887" customFormat="false" ht="14.25" hidden="false" customHeight="false" outlineLevel="0" collapsed="false">
      <c r="A1887" s="1" t="n">
        <v>2882</v>
      </c>
      <c r="B1887" s="30" t="n">
        <v>43197</v>
      </c>
      <c r="C1887" s="30" t="n">
        <v>45009</v>
      </c>
      <c r="D1887" s="31" t="n">
        <f aca="false">VLOOKUP(A1887,'Order Shipping'!$A$2:$C$2000,3,FALSE())</f>
        <v>9.6</v>
      </c>
      <c r="E1887" s="32" t="n">
        <f aca="false">VLOOKUP($A1887,'Order Sales'!$A$2:$G$2154,E$1,FALSE())</f>
        <v>8</v>
      </c>
      <c r="F1887" s="32" t="n">
        <f aca="false">VLOOKUP($A1887,'Order Sales'!$A$2:$G$2154,F$1,FALSE())</f>
        <v>502.73</v>
      </c>
      <c r="G1887" s="32" t="str">
        <f aca="false">VLOOKUP($A1887,'Order Sales'!$A$2:$G$2154,G$1,FALSE())</f>
        <v>Home Office</v>
      </c>
    </row>
    <row r="1888" customFormat="false" ht="14.25" hidden="false" customHeight="false" outlineLevel="0" collapsed="false">
      <c r="A1888" s="1" t="n">
        <v>2132</v>
      </c>
      <c r="B1888" s="30" t="n">
        <v>43140</v>
      </c>
      <c r="C1888" s="30" t="n">
        <v>45010</v>
      </c>
      <c r="D1888" s="31" t="n">
        <f aca="false">VLOOKUP(A1888,'Order Shipping'!$A$2:$C$2000,3,FALSE())</f>
        <v>9.6</v>
      </c>
      <c r="E1888" s="32" t="n">
        <f aca="false">VLOOKUP($A1888,'Order Sales'!$A$2:$G$2154,E$1,FALSE())</f>
        <v>6</v>
      </c>
      <c r="F1888" s="32" t="n">
        <f aca="false">VLOOKUP($A1888,'Order Sales'!$A$2:$G$2154,F$1,FALSE())</f>
        <v>1101.98</v>
      </c>
      <c r="G1888" s="32" t="str">
        <f aca="false">VLOOKUP($A1888,'Order Sales'!$A$2:$G$2154,G$1,FALSE())</f>
        <v>Small Business</v>
      </c>
    </row>
    <row r="1889" customFormat="false" ht="14.25" hidden="false" customHeight="false" outlineLevel="0" collapsed="false">
      <c r="A1889" s="1" t="n">
        <v>1914</v>
      </c>
      <c r="B1889" s="30" t="n">
        <v>43168</v>
      </c>
      <c r="C1889" s="30" t="n">
        <v>45011</v>
      </c>
      <c r="D1889" s="31" t="n">
        <f aca="false">VLOOKUP(A1889,'Order Shipping'!$A$2:$C$2000,3,FALSE())</f>
        <v>43</v>
      </c>
      <c r="E1889" s="32" t="n">
        <f aca="false">VLOOKUP($A1889,'Order Sales'!$A$2:$G$2154,E$1,FALSE())</f>
        <v>45</v>
      </c>
      <c r="F1889" s="32" t="n">
        <f aca="false">VLOOKUP($A1889,'Order Sales'!$A$2:$G$2154,F$1,FALSE())</f>
        <v>13573.53</v>
      </c>
      <c r="G1889" s="32" t="str">
        <f aca="false">VLOOKUP($A1889,'Order Sales'!$A$2:$G$2154,G$1,FALSE())</f>
        <v>Small Business</v>
      </c>
    </row>
    <row r="1890" customFormat="false" ht="14.25" hidden="false" customHeight="false" outlineLevel="0" collapsed="false">
      <c r="A1890" s="1" t="n">
        <v>2378</v>
      </c>
      <c r="B1890" s="30" t="n">
        <v>43419</v>
      </c>
      <c r="C1890" s="30" t="n">
        <v>45012</v>
      </c>
      <c r="D1890" s="31" t="n">
        <f aca="false">VLOOKUP(A1890,'Order Shipping'!$A$2:$C$2000,3,FALSE())</f>
        <v>15.5</v>
      </c>
      <c r="E1890" s="32" t="n">
        <f aca="false">VLOOKUP($A1890,'Order Sales'!$A$2:$G$2154,E$1,FALSE())</f>
        <v>46</v>
      </c>
      <c r="F1890" s="32" t="n">
        <f aca="false">VLOOKUP($A1890,'Order Sales'!$A$2:$G$2154,F$1,FALSE())</f>
        <v>1889.23</v>
      </c>
      <c r="G1890" s="32" t="str">
        <f aca="false">VLOOKUP($A1890,'Order Sales'!$A$2:$G$2154,G$1,FALSE())</f>
        <v>Corporate</v>
      </c>
    </row>
    <row r="1891" customFormat="false" ht="14.25" hidden="false" customHeight="false" outlineLevel="0" collapsed="false">
      <c r="A1891" s="1" t="n">
        <v>2052</v>
      </c>
      <c r="B1891" s="30" t="n">
        <v>43276</v>
      </c>
      <c r="C1891" s="30" t="n">
        <v>45013</v>
      </c>
      <c r="D1891" s="31" t="n">
        <f aca="false">VLOOKUP(A1891,'Order Shipping'!$A$2:$C$2000,3,FALSE())</f>
        <v>44.9</v>
      </c>
      <c r="E1891" s="32" t="n">
        <f aca="false">VLOOKUP($A1891,'Order Sales'!$A$2:$G$2154,E$1,FALSE())</f>
        <v>10</v>
      </c>
      <c r="F1891" s="32" t="n">
        <f aca="false">VLOOKUP($A1891,'Order Sales'!$A$2:$G$2154,F$1,FALSE())</f>
        <v>1097.69</v>
      </c>
      <c r="G1891" s="32" t="str">
        <f aca="false">VLOOKUP($A1891,'Order Sales'!$A$2:$G$2154,G$1,FALSE())</f>
        <v>Small Business</v>
      </c>
    </row>
    <row r="1892" customFormat="false" ht="14.25" hidden="false" customHeight="false" outlineLevel="0" collapsed="false">
      <c r="A1892" s="1" t="n">
        <v>1075</v>
      </c>
      <c r="B1892" s="30" t="n">
        <v>43171</v>
      </c>
      <c r="C1892" s="30" t="n">
        <v>45014</v>
      </c>
      <c r="D1892" s="31" t="n">
        <f aca="false">VLOOKUP(A1892,'Order Shipping'!$A$2:$C$2000,3,FALSE())</f>
        <v>0.7</v>
      </c>
      <c r="E1892" s="32" t="n">
        <f aca="false">VLOOKUP($A1892,'Order Sales'!$A$2:$G$2154,E$1,FALSE())</f>
        <v>10</v>
      </c>
      <c r="F1892" s="32" t="n">
        <f aca="false">VLOOKUP($A1892,'Order Sales'!$A$2:$G$2154,F$1,FALSE())</f>
        <v>49.58</v>
      </c>
      <c r="G1892" s="32" t="str">
        <f aca="false">VLOOKUP($A1892,'Order Sales'!$A$2:$G$2154,G$1,FALSE())</f>
        <v>Corporate</v>
      </c>
    </row>
    <row r="1893" customFormat="false" ht="14.25" hidden="false" customHeight="false" outlineLevel="0" collapsed="false">
      <c r="A1893" s="1" t="n">
        <v>1136</v>
      </c>
      <c r="B1893" s="30" t="n">
        <v>43151</v>
      </c>
      <c r="C1893" s="30" t="n">
        <v>45015</v>
      </c>
      <c r="D1893" s="31" t="n">
        <f aca="false">VLOOKUP(A1893,'Order Shipping'!$A$2:$C$2000,3,FALSE())</f>
        <v>15</v>
      </c>
      <c r="E1893" s="32" t="n">
        <f aca="false">VLOOKUP($A1893,'Order Sales'!$A$2:$G$2154,E$1,FALSE())</f>
        <v>43</v>
      </c>
      <c r="F1893" s="32" t="n">
        <f aca="false">VLOOKUP($A1893,'Order Sales'!$A$2:$G$2154,F$1,FALSE())</f>
        <v>1311.19</v>
      </c>
      <c r="G1893" s="32" t="str">
        <f aca="false">VLOOKUP($A1893,'Order Sales'!$A$2:$G$2154,G$1,FALSE())</f>
        <v>Consumer</v>
      </c>
    </row>
    <row r="1894" customFormat="false" ht="14.25" hidden="false" customHeight="false" outlineLevel="0" collapsed="false">
      <c r="A1894" s="1" t="n">
        <v>2776</v>
      </c>
      <c r="B1894" s="30" t="n">
        <v>43334</v>
      </c>
      <c r="C1894" s="30" t="n">
        <v>45016</v>
      </c>
      <c r="D1894" s="31" t="n">
        <f aca="false">VLOOKUP(A1894,'Order Shipping'!$A$2:$C$2000,3,FALSE())</f>
        <v>6.4</v>
      </c>
      <c r="E1894" s="32" t="n">
        <f aca="false">VLOOKUP($A1894,'Order Sales'!$A$2:$G$2154,E$1,FALSE())</f>
        <v>29</v>
      </c>
      <c r="F1894" s="32" t="n">
        <f aca="false">VLOOKUP($A1894,'Order Sales'!$A$2:$G$2154,F$1,FALSE())</f>
        <v>229.18</v>
      </c>
      <c r="G1894" s="32" t="str">
        <f aca="false">VLOOKUP($A1894,'Order Sales'!$A$2:$G$2154,G$1,FALSE())</f>
        <v>Corporate</v>
      </c>
    </row>
    <row r="1895" customFormat="false" ht="14.25" hidden="false" customHeight="false" outlineLevel="0" collapsed="false">
      <c r="A1895" s="1" t="n">
        <v>1081</v>
      </c>
      <c r="B1895" s="30" t="n">
        <v>43219</v>
      </c>
      <c r="C1895" s="30" t="n">
        <v>45017</v>
      </c>
      <c r="D1895" s="31" t="n">
        <f aca="false">VLOOKUP(A1895,'Order Shipping'!$A$2:$C$2000,3,FALSE())</f>
        <v>26.2</v>
      </c>
      <c r="E1895" s="32" t="n">
        <f aca="false">VLOOKUP($A1895,'Order Sales'!$A$2:$G$2154,E$1,FALSE())</f>
        <v>41</v>
      </c>
      <c r="F1895" s="32" t="n">
        <f aca="false">VLOOKUP($A1895,'Order Sales'!$A$2:$G$2154,F$1,FALSE())</f>
        <v>24910.72</v>
      </c>
      <c r="G1895" s="32" t="str">
        <f aca="false">VLOOKUP($A1895,'Order Sales'!$A$2:$G$2154,G$1,FALSE())</f>
        <v>Home Office</v>
      </c>
    </row>
    <row r="1896" customFormat="false" ht="14.25" hidden="false" customHeight="false" outlineLevel="0" collapsed="false">
      <c r="A1896" s="1" t="n">
        <v>2392</v>
      </c>
      <c r="B1896" s="30" t="n">
        <v>43135</v>
      </c>
      <c r="C1896" s="30" t="n">
        <v>45018</v>
      </c>
      <c r="D1896" s="31" t="n">
        <f aca="false">VLOOKUP(A1896,'Order Shipping'!$A$2:$C$2000,3,FALSE())</f>
        <v>5.5</v>
      </c>
      <c r="E1896" s="32" t="n">
        <f aca="false">VLOOKUP($A1896,'Order Sales'!$A$2:$G$2154,E$1,FALSE())</f>
        <v>17</v>
      </c>
      <c r="F1896" s="32" t="n">
        <f aca="false">VLOOKUP($A1896,'Order Sales'!$A$2:$G$2154,F$1,FALSE())</f>
        <v>120.45</v>
      </c>
      <c r="G1896" s="32" t="str">
        <f aca="false">VLOOKUP($A1896,'Order Sales'!$A$2:$G$2154,G$1,FALSE())</f>
        <v>Small Business</v>
      </c>
    </row>
    <row r="1897" customFormat="false" ht="14.25" hidden="false" customHeight="false" outlineLevel="0" collapsed="false">
      <c r="A1897" s="1" t="n">
        <v>1521</v>
      </c>
      <c r="B1897" s="30" t="n">
        <v>43286</v>
      </c>
      <c r="C1897" s="30" t="n">
        <v>45019</v>
      </c>
      <c r="D1897" s="31" t="n">
        <f aca="false">VLOOKUP(A1897,'Order Shipping'!$A$2:$C$2000,3,FALSE())</f>
        <v>5.1</v>
      </c>
      <c r="E1897" s="32" t="n">
        <f aca="false">VLOOKUP($A1897,'Order Sales'!$A$2:$G$2154,E$1,FALSE())</f>
        <v>1</v>
      </c>
      <c r="F1897" s="32" t="n">
        <f aca="false">VLOOKUP($A1897,'Order Sales'!$A$2:$G$2154,F$1,FALSE())</f>
        <v>10.37</v>
      </c>
      <c r="G1897" s="32" t="str">
        <f aca="false">VLOOKUP($A1897,'Order Sales'!$A$2:$G$2154,G$1,FALSE())</f>
        <v>Corporate</v>
      </c>
    </row>
    <row r="1898" customFormat="false" ht="14.25" hidden="false" customHeight="false" outlineLevel="0" collapsed="false">
      <c r="A1898" s="1" t="n">
        <v>1061</v>
      </c>
      <c r="B1898" s="30" t="n">
        <v>43320</v>
      </c>
      <c r="C1898" s="30" t="n">
        <v>45020</v>
      </c>
      <c r="D1898" s="31" t="n">
        <f aca="false">VLOOKUP(A1898,'Order Shipping'!$A$2:$C$2000,3,FALSE())</f>
        <v>9.6</v>
      </c>
      <c r="E1898" s="32" t="n">
        <f aca="false">VLOOKUP($A1898,'Order Sales'!$A$2:$G$2154,E$1,FALSE())</f>
        <v>41</v>
      </c>
      <c r="F1898" s="32" t="n">
        <f aca="false">VLOOKUP($A1898,'Order Sales'!$A$2:$G$2154,F$1,FALSE())</f>
        <v>777.06</v>
      </c>
      <c r="G1898" s="32" t="str">
        <f aca="false">VLOOKUP($A1898,'Order Sales'!$A$2:$G$2154,G$1,FALSE())</f>
        <v>Small Business</v>
      </c>
    </row>
    <row r="1899" customFormat="false" ht="14.25" hidden="false" customHeight="false" outlineLevel="0" collapsed="false">
      <c r="A1899" s="1" t="n">
        <v>2604</v>
      </c>
      <c r="B1899" s="30" t="n">
        <v>43374</v>
      </c>
      <c r="C1899" s="30" t="n">
        <v>45021</v>
      </c>
      <c r="D1899" s="31" t="n">
        <f aca="false">VLOOKUP(A1899,'Order Shipping'!$A$2:$C$2000,3,FALSE())</f>
        <v>7.8</v>
      </c>
      <c r="E1899" s="32" t="n">
        <f aca="false">VLOOKUP($A1899,'Order Sales'!$A$2:$G$2154,E$1,FALSE())</f>
        <v>24</v>
      </c>
      <c r="F1899" s="32" t="n">
        <f aca="false">VLOOKUP($A1899,'Order Sales'!$A$2:$G$2154,F$1,FALSE())</f>
        <v>254.93</v>
      </c>
      <c r="G1899" s="32" t="str">
        <f aca="false">VLOOKUP($A1899,'Order Sales'!$A$2:$G$2154,G$1,FALSE())</f>
        <v>Corporate</v>
      </c>
    </row>
    <row r="1900" customFormat="false" ht="14.25" hidden="false" customHeight="false" outlineLevel="0" collapsed="false">
      <c r="A1900" s="1" t="n">
        <v>1174</v>
      </c>
      <c r="B1900" s="30" t="n">
        <v>43404</v>
      </c>
      <c r="C1900" s="30" t="n">
        <v>45022</v>
      </c>
      <c r="D1900" s="31" t="n">
        <f aca="false">VLOOKUP(A1900,'Order Shipping'!$A$2:$C$2000,3,FALSE())</f>
        <v>22.7</v>
      </c>
      <c r="E1900" s="32" t="n">
        <f aca="false">VLOOKUP($A1900,'Order Sales'!$A$2:$G$2154,E$1,FALSE())</f>
        <v>14</v>
      </c>
      <c r="F1900" s="32" t="n">
        <f aca="false">VLOOKUP($A1900,'Order Sales'!$A$2:$G$2154,F$1,FALSE())</f>
        <v>2908.33</v>
      </c>
      <c r="G1900" s="32" t="str">
        <f aca="false">VLOOKUP($A1900,'Order Sales'!$A$2:$G$2154,G$1,FALSE())</f>
        <v>Consumer</v>
      </c>
    </row>
    <row r="1901" customFormat="false" ht="14.25" hidden="false" customHeight="false" outlineLevel="0" collapsed="false">
      <c r="A1901" s="1" t="n">
        <v>1768</v>
      </c>
      <c r="B1901" s="30" t="n">
        <v>43319</v>
      </c>
      <c r="C1901" s="30" t="n">
        <v>45023</v>
      </c>
      <c r="D1901" s="31" t="n">
        <f aca="false">VLOOKUP(A1901,'Order Shipping'!$A$2:$C$2000,3,FALSE())</f>
        <v>9</v>
      </c>
      <c r="E1901" s="32" t="n">
        <f aca="false">VLOOKUP($A1901,'Order Sales'!$A$2:$G$2154,E$1,FALSE())</f>
        <v>30</v>
      </c>
      <c r="F1901" s="32" t="n">
        <f aca="false">VLOOKUP($A1901,'Order Sales'!$A$2:$G$2154,F$1,FALSE())</f>
        <v>473.75</v>
      </c>
      <c r="G1901" s="32" t="str">
        <f aca="false">VLOOKUP($A1901,'Order Sales'!$A$2:$G$2154,G$1,FALSE())</f>
        <v>Corporate</v>
      </c>
    </row>
    <row r="1902" customFormat="false" ht="14.25" hidden="false" customHeight="false" outlineLevel="0" collapsed="false">
      <c r="A1902" s="1" t="n">
        <v>1449</v>
      </c>
      <c r="B1902" s="30" t="n">
        <v>43372</v>
      </c>
      <c r="C1902" s="30" t="n">
        <v>45024</v>
      </c>
      <c r="D1902" s="31" t="n">
        <f aca="false">VLOOKUP(A1902,'Order Shipping'!$A$2:$C$2000,3,FALSE())</f>
        <v>2.1</v>
      </c>
      <c r="E1902" s="32" t="n">
        <f aca="false">VLOOKUP($A1902,'Order Sales'!$A$2:$G$2154,E$1,FALSE())</f>
        <v>49</v>
      </c>
      <c r="F1902" s="32" t="n">
        <f aca="false">VLOOKUP($A1902,'Order Sales'!$A$2:$G$2154,F$1,FALSE())</f>
        <v>730.56</v>
      </c>
      <c r="G1902" s="32" t="str">
        <f aca="false">VLOOKUP($A1902,'Order Sales'!$A$2:$G$2154,G$1,FALSE())</f>
        <v>Consumer</v>
      </c>
    </row>
    <row r="1903" customFormat="false" ht="14.25" hidden="false" customHeight="false" outlineLevel="0" collapsed="false">
      <c r="A1903" s="1" t="n">
        <v>2470</v>
      </c>
      <c r="B1903" s="30" t="n">
        <v>43268</v>
      </c>
      <c r="C1903" s="30" t="n">
        <v>45025</v>
      </c>
      <c r="D1903" s="31" t="n">
        <f aca="false">VLOOKUP(A1903,'Order Shipping'!$A$2:$C$2000,3,FALSE())</f>
        <v>0.7</v>
      </c>
      <c r="E1903" s="32" t="n">
        <f aca="false">VLOOKUP($A1903,'Order Sales'!$A$2:$G$2154,E$1,FALSE())</f>
        <v>37</v>
      </c>
      <c r="F1903" s="32" t="n">
        <f aca="false">VLOOKUP($A1903,'Order Sales'!$A$2:$G$2154,F$1,FALSE())</f>
        <v>66.09</v>
      </c>
      <c r="G1903" s="32" t="str">
        <f aca="false">VLOOKUP($A1903,'Order Sales'!$A$2:$G$2154,G$1,FALSE())</f>
        <v>Small Business</v>
      </c>
    </row>
    <row r="1904" customFormat="false" ht="14.25" hidden="false" customHeight="false" outlineLevel="0" collapsed="false">
      <c r="A1904" s="1" t="n">
        <v>1919</v>
      </c>
      <c r="B1904" s="30" t="n">
        <v>43357</v>
      </c>
      <c r="C1904" s="30" t="n">
        <v>45026</v>
      </c>
      <c r="D1904" s="31" t="n">
        <f aca="false">VLOOKUP(A1904,'Order Shipping'!$A$2:$C$2000,3,FALSE())</f>
        <v>1.6</v>
      </c>
      <c r="E1904" s="32" t="n">
        <f aca="false">VLOOKUP($A1904,'Order Sales'!$A$2:$G$2154,E$1,FALSE())</f>
        <v>36</v>
      </c>
      <c r="F1904" s="32" t="n">
        <f aca="false">VLOOKUP($A1904,'Order Sales'!$A$2:$G$2154,F$1,FALSE())</f>
        <v>68.94</v>
      </c>
      <c r="G1904" s="32" t="str">
        <f aca="false">VLOOKUP($A1904,'Order Sales'!$A$2:$G$2154,G$1,FALSE())</f>
        <v>Corporate</v>
      </c>
    </row>
    <row r="1905" customFormat="false" ht="14.25" hidden="false" customHeight="false" outlineLevel="0" collapsed="false">
      <c r="A1905" s="1" t="n">
        <v>2805</v>
      </c>
      <c r="B1905" s="30" t="n">
        <v>43404</v>
      </c>
      <c r="C1905" s="30" t="n">
        <v>45027</v>
      </c>
      <c r="D1905" s="31" t="n">
        <f aca="false">VLOOKUP(A1905,'Order Shipping'!$A$2:$C$2000,3,FALSE())</f>
        <v>5.3</v>
      </c>
      <c r="E1905" s="32" t="n">
        <f aca="false">VLOOKUP($A1905,'Order Sales'!$A$2:$G$2154,E$1,FALSE())</f>
        <v>43</v>
      </c>
      <c r="F1905" s="32" t="n">
        <f aca="false">VLOOKUP($A1905,'Order Sales'!$A$2:$G$2154,F$1,FALSE())</f>
        <v>1798.65</v>
      </c>
      <c r="G1905" s="32" t="str">
        <f aca="false">VLOOKUP($A1905,'Order Sales'!$A$2:$G$2154,G$1,FALSE())</f>
        <v>Small Business</v>
      </c>
    </row>
    <row r="1906" customFormat="false" ht="14.25" hidden="false" customHeight="false" outlineLevel="0" collapsed="false">
      <c r="A1906" s="1" t="n">
        <v>2606</v>
      </c>
      <c r="B1906" s="30" t="n">
        <v>43151</v>
      </c>
      <c r="C1906" s="30" t="n">
        <v>45028</v>
      </c>
      <c r="D1906" s="31" t="n">
        <f aca="false">VLOOKUP(A1906,'Order Shipping'!$A$2:$C$2000,3,FALSE())</f>
        <v>6.2</v>
      </c>
      <c r="E1906" s="32" t="n">
        <f aca="false">VLOOKUP($A1906,'Order Sales'!$A$2:$G$2154,E$1,FALSE())</f>
        <v>19</v>
      </c>
      <c r="F1906" s="32" t="n">
        <f aca="false">VLOOKUP($A1906,'Order Sales'!$A$2:$G$2154,F$1,FALSE())</f>
        <v>2013.93</v>
      </c>
      <c r="G1906" s="32" t="str">
        <f aca="false">VLOOKUP($A1906,'Order Sales'!$A$2:$G$2154,G$1,FALSE())</f>
        <v>Corporate</v>
      </c>
    </row>
    <row r="1907" customFormat="false" ht="14.25" hidden="false" customHeight="false" outlineLevel="0" collapsed="false">
      <c r="A1907" s="1" t="n">
        <v>1450</v>
      </c>
      <c r="B1907" s="30" t="n">
        <v>43352</v>
      </c>
      <c r="C1907" s="30" t="n">
        <v>45029</v>
      </c>
      <c r="D1907" s="31" t="n">
        <f aca="false">VLOOKUP(A1907,'Order Shipping'!$A$2:$C$2000,3,FALSE())</f>
        <v>8</v>
      </c>
      <c r="E1907" s="32" t="n">
        <f aca="false">VLOOKUP($A1907,'Order Sales'!$A$2:$G$2154,E$1,FALSE())</f>
        <v>6</v>
      </c>
      <c r="F1907" s="32" t="n">
        <f aca="false">VLOOKUP($A1907,'Order Sales'!$A$2:$G$2154,F$1,FALSE())</f>
        <v>223.63</v>
      </c>
      <c r="G1907" s="32" t="str">
        <f aca="false">VLOOKUP($A1907,'Order Sales'!$A$2:$G$2154,G$1,FALSE())</f>
        <v>Small Business</v>
      </c>
    </row>
    <row r="1908" customFormat="false" ht="14.25" hidden="false" customHeight="false" outlineLevel="0" collapsed="false">
      <c r="A1908" s="1" t="n">
        <v>1647</v>
      </c>
      <c r="B1908" s="30" t="n">
        <v>43170</v>
      </c>
      <c r="C1908" s="30" t="n">
        <v>45030</v>
      </c>
      <c r="D1908" s="31" t="n">
        <f aca="false">VLOOKUP(A1908,'Order Shipping'!$A$2:$C$2000,3,FALSE())</f>
        <v>7.9</v>
      </c>
      <c r="E1908" s="32" t="n">
        <f aca="false">VLOOKUP($A1908,'Order Sales'!$A$2:$G$2154,E$1,FALSE())</f>
        <v>47</v>
      </c>
      <c r="F1908" s="32" t="n">
        <f aca="false">VLOOKUP($A1908,'Order Sales'!$A$2:$G$2154,F$1,FALSE())</f>
        <v>301.17</v>
      </c>
      <c r="G1908" s="32" t="str">
        <f aca="false">VLOOKUP($A1908,'Order Sales'!$A$2:$G$2154,G$1,FALSE())</f>
        <v>Corporate</v>
      </c>
    </row>
    <row r="1909" customFormat="false" ht="14.25" hidden="false" customHeight="false" outlineLevel="0" collapsed="false">
      <c r="A1909" s="1" t="n">
        <v>1059</v>
      </c>
      <c r="B1909" s="30" t="n">
        <v>43237</v>
      </c>
      <c r="C1909" s="30" t="n">
        <v>45031</v>
      </c>
      <c r="D1909" s="31" t="n">
        <f aca="false">VLOOKUP(A1909,'Order Shipping'!$A$2:$C$2000,3,FALSE())</f>
        <v>8</v>
      </c>
      <c r="E1909" s="32" t="n">
        <f aca="false">VLOOKUP($A1909,'Order Sales'!$A$2:$G$2154,E$1,FALSE())</f>
        <v>40</v>
      </c>
      <c r="F1909" s="32" t="n">
        <f aca="false">VLOOKUP($A1909,'Order Sales'!$A$2:$G$2154,F$1,FALSE())</f>
        <v>206.02</v>
      </c>
      <c r="G1909" s="32" t="str">
        <f aca="false">VLOOKUP($A1909,'Order Sales'!$A$2:$G$2154,G$1,FALSE())</f>
        <v>Consumer</v>
      </c>
    </row>
    <row r="1910" customFormat="false" ht="14.25" hidden="false" customHeight="false" outlineLevel="0" collapsed="false">
      <c r="A1910" s="1" t="n">
        <v>1237</v>
      </c>
      <c r="B1910" s="30" t="n">
        <v>43279</v>
      </c>
      <c r="C1910" s="30" t="n">
        <v>45032</v>
      </c>
      <c r="D1910" s="31" t="n">
        <f aca="false">VLOOKUP(A1910,'Order Shipping'!$A$2:$C$2000,3,FALSE())</f>
        <v>21.4</v>
      </c>
      <c r="E1910" s="32" t="n">
        <f aca="false">VLOOKUP($A1910,'Order Sales'!$A$2:$G$2154,E$1,FALSE())</f>
        <v>50</v>
      </c>
      <c r="F1910" s="32" t="n">
        <f aca="false">VLOOKUP($A1910,'Order Sales'!$A$2:$G$2154,F$1,FALSE())</f>
        <v>6640.59</v>
      </c>
      <c r="G1910" s="32" t="str">
        <f aca="false">VLOOKUP($A1910,'Order Sales'!$A$2:$G$2154,G$1,FALSE())</f>
        <v>Small Business</v>
      </c>
    </row>
    <row r="1911" customFormat="false" ht="14.25" hidden="false" customHeight="false" outlineLevel="0" collapsed="false">
      <c r="A1911" s="1" t="n">
        <v>1680</v>
      </c>
      <c r="B1911" s="30" t="n">
        <v>43363</v>
      </c>
      <c r="C1911" s="30" t="n">
        <v>45033</v>
      </c>
      <c r="D1911" s="31" t="n">
        <f aca="false">VLOOKUP(A1911,'Order Shipping'!$A$2:$C$2000,3,FALSE())</f>
        <v>26.2</v>
      </c>
      <c r="E1911" s="32" t="n">
        <f aca="false">VLOOKUP($A1911,'Order Sales'!$A$2:$G$2154,E$1,FALSE())</f>
        <v>29</v>
      </c>
      <c r="F1911" s="32" t="n">
        <f aca="false">VLOOKUP($A1911,'Order Sales'!$A$2:$G$2154,F$1,FALSE())</f>
        <v>22520.01</v>
      </c>
      <c r="G1911" s="32" t="str">
        <f aca="false">VLOOKUP($A1911,'Order Sales'!$A$2:$G$2154,G$1,FALSE())</f>
        <v>Small Business</v>
      </c>
    </row>
    <row r="1912" customFormat="false" ht="14.25" hidden="false" customHeight="false" outlineLevel="0" collapsed="false">
      <c r="A1912" s="1" t="n">
        <v>2379</v>
      </c>
      <c r="B1912" s="30" t="n">
        <v>43419</v>
      </c>
      <c r="C1912" s="30" t="n">
        <v>45034</v>
      </c>
      <c r="D1912" s="31" t="n">
        <f aca="false">VLOOKUP(A1912,'Order Shipping'!$A$2:$C$2000,3,FALSE())</f>
        <v>26.2</v>
      </c>
      <c r="E1912" s="32" t="n">
        <f aca="false">VLOOKUP($A1912,'Order Sales'!$A$2:$G$2154,E$1,FALSE())</f>
        <v>17</v>
      </c>
      <c r="F1912" s="32" t="n">
        <f aca="false">VLOOKUP($A1912,'Order Sales'!$A$2:$G$2154,F$1,FALSE())</f>
        <v>10843.97</v>
      </c>
      <c r="G1912" s="32" t="str">
        <f aca="false">VLOOKUP($A1912,'Order Sales'!$A$2:$G$2154,G$1,FALSE())</f>
        <v>Corporate</v>
      </c>
    </row>
    <row r="1913" customFormat="false" ht="14.25" hidden="false" customHeight="false" outlineLevel="0" collapsed="false">
      <c r="A1913" s="1" t="n">
        <v>2562</v>
      </c>
      <c r="B1913" s="30" t="n">
        <v>43297</v>
      </c>
      <c r="C1913" s="30" t="n">
        <v>45035</v>
      </c>
      <c r="D1913" s="31" t="n">
        <f aca="false">VLOOKUP(A1913,'Order Shipping'!$A$2:$C$2000,3,FALSE())</f>
        <v>37.5</v>
      </c>
      <c r="E1913" s="32" t="n">
        <f aca="false">VLOOKUP($A1913,'Order Sales'!$A$2:$G$2154,E$1,FALSE())</f>
        <v>6</v>
      </c>
      <c r="F1913" s="32" t="n">
        <f aca="false">VLOOKUP($A1913,'Order Sales'!$A$2:$G$2154,F$1,FALSE())</f>
        <v>492.96</v>
      </c>
      <c r="G1913" s="32" t="str">
        <f aca="false">VLOOKUP($A1913,'Order Sales'!$A$2:$G$2154,G$1,FALSE())</f>
        <v>Consumer</v>
      </c>
    </row>
    <row r="1914" customFormat="false" ht="14.25" hidden="false" customHeight="false" outlineLevel="0" collapsed="false">
      <c r="A1914" s="1" t="n">
        <v>1167</v>
      </c>
      <c r="B1914" s="30" t="n">
        <v>43336</v>
      </c>
      <c r="C1914" s="30" t="n">
        <v>45036</v>
      </c>
      <c r="D1914" s="31" t="n">
        <f aca="false">VLOOKUP(A1914,'Order Shipping'!$A$2:$C$2000,3,FALSE())</f>
        <v>13.5</v>
      </c>
      <c r="E1914" s="32" t="n">
        <f aca="false">VLOOKUP($A1914,'Order Sales'!$A$2:$G$2154,E$1,FALSE())</f>
        <v>37</v>
      </c>
      <c r="F1914" s="32" t="n">
        <f aca="false">VLOOKUP($A1914,'Order Sales'!$A$2:$G$2154,F$1,FALSE())</f>
        <v>5239.72</v>
      </c>
      <c r="G1914" s="32" t="str">
        <f aca="false">VLOOKUP($A1914,'Order Sales'!$A$2:$G$2154,G$1,FALSE())</f>
        <v>Home Office</v>
      </c>
    </row>
    <row r="1915" customFormat="false" ht="14.25" hidden="false" customHeight="false" outlineLevel="0" collapsed="false">
      <c r="A1915" s="1" t="n">
        <v>2101</v>
      </c>
      <c r="B1915" s="30" t="n">
        <v>43449</v>
      </c>
      <c r="C1915" s="30" t="n">
        <v>45037</v>
      </c>
      <c r="D1915" s="31" t="n">
        <f aca="false">VLOOKUP(A1915,'Order Shipping'!$A$2:$C$2000,3,FALSE())</f>
        <v>5</v>
      </c>
      <c r="E1915" s="32" t="n">
        <f aca="false">VLOOKUP($A1915,'Order Sales'!$A$2:$G$2154,E$1,FALSE())</f>
        <v>49</v>
      </c>
      <c r="F1915" s="32" t="n">
        <f aca="false">VLOOKUP($A1915,'Order Sales'!$A$2:$G$2154,F$1,FALSE())</f>
        <v>397.99</v>
      </c>
      <c r="G1915" s="32" t="str">
        <f aca="false">VLOOKUP($A1915,'Order Sales'!$A$2:$G$2154,G$1,FALSE())</f>
        <v>Corporate</v>
      </c>
    </row>
    <row r="1916" customFormat="false" ht="14.25" hidden="false" customHeight="false" outlineLevel="0" collapsed="false">
      <c r="A1916" s="1" t="n">
        <v>2075</v>
      </c>
      <c r="B1916" s="30" t="n">
        <v>43231</v>
      </c>
      <c r="C1916" s="30" t="n">
        <v>45038</v>
      </c>
      <c r="D1916" s="31" t="n">
        <f aca="false">VLOOKUP(A1916,'Order Shipping'!$A$2:$C$2000,3,FALSE())</f>
        <v>5.7</v>
      </c>
      <c r="E1916" s="32" t="n">
        <f aca="false">VLOOKUP($A1916,'Order Sales'!$A$2:$G$2154,E$1,FALSE())</f>
        <v>15</v>
      </c>
      <c r="F1916" s="32" t="n">
        <f aca="false">VLOOKUP($A1916,'Order Sales'!$A$2:$G$2154,F$1,FALSE())</f>
        <v>432.86</v>
      </c>
      <c r="G1916" s="32" t="str">
        <f aca="false">VLOOKUP($A1916,'Order Sales'!$A$2:$G$2154,G$1,FALSE())</f>
        <v>Small Business</v>
      </c>
    </row>
    <row r="1917" customFormat="false" ht="14.25" hidden="false" customHeight="false" outlineLevel="0" collapsed="false">
      <c r="A1917" s="1" t="n">
        <v>2056</v>
      </c>
      <c r="B1917" s="30" t="n">
        <v>43291</v>
      </c>
      <c r="C1917" s="30" t="n">
        <v>45039</v>
      </c>
      <c r="D1917" s="31" t="n">
        <f aca="false">VLOOKUP(A1917,'Order Shipping'!$A$2:$C$2000,3,FALSE())</f>
        <v>1.6</v>
      </c>
      <c r="E1917" s="32" t="n">
        <f aca="false">VLOOKUP($A1917,'Order Sales'!$A$2:$G$2154,E$1,FALSE())</f>
        <v>14</v>
      </c>
      <c r="F1917" s="32" t="n">
        <f aca="false">VLOOKUP($A1917,'Order Sales'!$A$2:$G$2154,F$1,FALSE())</f>
        <v>431.39</v>
      </c>
      <c r="G1917" s="32" t="str">
        <f aca="false">VLOOKUP($A1917,'Order Sales'!$A$2:$G$2154,G$1,FALSE())</f>
        <v>Corporate</v>
      </c>
    </row>
    <row r="1918" customFormat="false" ht="14.25" hidden="false" customHeight="false" outlineLevel="0" collapsed="false">
      <c r="A1918" s="1" t="n">
        <v>1956</v>
      </c>
      <c r="B1918" s="30" t="n">
        <v>43191</v>
      </c>
      <c r="C1918" s="30" t="n">
        <v>45040</v>
      </c>
      <c r="D1918" s="31" t="n">
        <f aca="false">VLOOKUP(A1918,'Order Shipping'!$A$2:$C$2000,3,FALSE())</f>
        <v>1.6</v>
      </c>
      <c r="E1918" s="32" t="n">
        <f aca="false">VLOOKUP($A1918,'Order Sales'!$A$2:$G$2154,E$1,FALSE())</f>
        <v>4</v>
      </c>
      <c r="F1918" s="32" t="n">
        <f aca="false">VLOOKUP($A1918,'Order Sales'!$A$2:$G$2154,F$1,FALSE())</f>
        <v>27.31</v>
      </c>
      <c r="G1918" s="32" t="str">
        <f aca="false">VLOOKUP($A1918,'Order Sales'!$A$2:$G$2154,G$1,FALSE())</f>
        <v>Corporate</v>
      </c>
    </row>
    <row r="1919" customFormat="false" ht="14.25" hidden="false" customHeight="false" outlineLevel="0" collapsed="false">
      <c r="A1919" s="1" t="n">
        <v>1522</v>
      </c>
      <c r="B1919" s="30" t="n">
        <v>43286</v>
      </c>
      <c r="C1919" s="30" t="n">
        <v>45041</v>
      </c>
      <c r="D1919" s="31" t="n">
        <f aca="false">VLOOKUP(A1919,'Order Shipping'!$A$2:$C$2000,3,FALSE())</f>
        <v>2.5</v>
      </c>
      <c r="E1919" s="32" t="n">
        <f aca="false">VLOOKUP($A1919,'Order Sales'!$A$2:$G$2154,E$1,FALSE())</f>
        <v>48</v>
      </c>
      <c r="F1919" s="32" t="n">
        <f aca="false">VLOOKUP($A1919,'Order Sales'!$A$2:$G$2154,F$1,FALSE())</f>
        <v>355.23</v>
      </c>
      <c r="G1919" s="32" t="str">
        <f aca="false">VLOOKUP($A1919,'Order Sales'!$A$2:$G$2154,G$1,FALSE())</f>
        <v>Corporate</v>
      </c>
    </row>
    <row r="1920" customFormat="false" ht="14.25" hidden="false" customHeight="false" outlineLevel="0" collapsed="false">
      <c r="A1920" s="1" t="n">
        <v>2126</v>
      </c>
      <c r="B1920" s="30" t="n">
        <v>43329</v>
      </c>
      <c r="C1920" s="30" t="n">
        <v>45042</v>
      </c>
      <c r="D1920" s="31" t="n">
        <f aca="false">VLOOKUP(A1920,'Order Shipping'!$A$2:$C$2000,3,FALSE())</f>
        <v>8.3</v>
      </c>
      <c r="E1920" s="32" t="n">
        <f aca="false">VLOOKUP($A1920,'Order Sales'!$A$2:$G$2154,E$1,FALSE())</f>
        <v>10</v>
      </c>
      <c r="F1920" s="32" t="n">
        <f aca="false">VLOOKUP($A1920,'Order Sales'!$A$2:$G$2154,F$1,FALSE())</f>
        <v>63.79</v>
      </c>
      <c r="G1920" s="32" t="str">
        <f aca="false">VLOOKUP($A1920,'Order Sales'!$A$2:$G$2154,G$1,FALSE())</f>
        <v>Corporate</v>
      </c>
    </row>
    <row r="1921" customFormat="false" ht="14.25" hidden="false" customHeight="false" outlineLevel="0" collapsed="false">
      <c r="A1921" s="1" t="n">
        <v>2615</v>
      </c>
      <c r="B1921" s="30" t="n">
        <v>43432</v>
      </c>
      <c r="C1921" s="30" t="n">
        <v>45043</v>
      </c>
      <c r="D1921" s="31" t="n">
        <f aca="false">VLOOKUP(A1921,'Order Shipping'!$A$2:$C$2000,3,FALSE())</f>
        <v>6.2</v>
      </c>
      <c r="E1921" s="32" t="n">
        <f aca="false">VLOOKUP($A1921,'Order Sales'!$A$2:$G$2154,E$1,FALSE())</f>
        <v>9</v>
      </c>
      <c r="F1921" s="32" t="n">
        <f aca="false">VLOOKUP($A1921,'Order Sales'!$A$2:$G$2154,F$1,FALSE())</f>
        <v>81.26</v>
      </c>
      <c r="G1921" s="32" t="str">
        <f aca="false">VLOOKUP($A1921,'Order Sales'!$A$2:$G$2154,G$1,FALSE())</f>
        <v>Corporate</v>
      </c>
    </row>
    <row r="1922" customFormat="false" ht="14.25" hidden="false" customHeight="false" outlineLevel="0" collapsed="false">
      <c r="A1922" s="1" t="n">
        <v>2485</v>
      </c>
      <c r="B1922" s="30" t="n">
        <v>43145</v>
      </c>
      <c r="C1922" s="30" t="n">
        <v>45044</v>
      </c>
      <c r="D1922" s="31" t="n">
        <f aca="false">VLOOKUP(A1922,'Order Shipping'!$A$2:$C$2000,3,FALSE())</f>
        <v>2.1</v>
      </c>
      <c r="E1922" s="32" t="n">
        <f aca="false">VLOOKUP($A1922,'Order Sales'!$A$2:$G$2154,E$1,FALSE())</f>
        <v>35</v>
      </c>
      <c r="F1922" s="32" t="n">
        <f aca="false">VLOOKUP($A1922,'Order Sales'!$A$2:$G$2154,F$1,FALSE())</f>
        <v>119.36</v>
      </c>
      <c r="G1922" s="32" t="str">
        <f aca="false">VLOOKUP($A1922,'Order Sales'!$A$2:$G$2154,G$1,FALSE())</f>
        <v>Corporate</v>
      </c>
    </row>
    <row r="1923" customFormat="false" ht="14.25" hidden="false" customHeight="false" outlineLevel="0" collapsed="false">
      <c r="A1923" s="1" t="n">
        <v>1308</v>
      </c>
      <c r="B1923" s="30" t="n">
        <v>43149</v>
      </c>
      <c r="C1923" s="30" t="n">
        <v>45045</v>
      </c>
      <c r="D1923" s="31" t="n">
        <f aca="false">VLOOKUP(A1923,'Order Shipping'!$A$2:$C$2000,3,FALSE())</f>
        <v>46.4</v>
      </c>
      <c r="E1923" s="32" t="n">
        <f aca="false">VLOOKUP($A1923,'Order Sales'!$A$2:$G$2154,E$1,FALSE())</f>
        <v>13</v>
      </c>
      <c r="F1923" s="32" t="n">
        <f aca="false">VLOOKUP($A1923,'Order Sales'!$A$2:$G$2154,F$1,FALSE())</f>
        <v>3568.74</v>
      </c>
      <c r="G1923" s="32" t="str">
        <f aca="false">VLOOKUP($A1923,'Order Sales'!$A$2:$G$2154,G$1,FALSE())</f>
        <v>Corporate</v>
      </c>
    </row>
    <row r="1924" customFormat="false" ht="14.25" hidden="false" customHeight="false" outlineLevel="0" collapsed="false">
      <c r="A1924" s="1" t="n">
        <v>1193</v>
      </c>
      <c r="B1924" s="30" t="n">
        <v>43386</v>
      </c>
      <c r="C1924" s="30" t="n">
        <v>45046</v>
      </c>
      <c r="D1924" s="31" t="n">
        <f aca="false">VLOOKUP(A1924,'Order Shipping'!$A$2:$C$2000,3,FALSE())</f>
        <v>1.4</v>
      </c>
      <c r="E1924" s="32" t="n">
        <f aca="false">VLOOKUP($A1924,'Order Sales'!$A$2:$G$2154,E$1,FALSE())</f>
        <v>21</v>
      </c>
      <c r="F1924" s="32" t="n">
        <f aca="false">VLOOKUP($A1924,'Order Sales'!$A$2:$G$2154,F$1,FALSE())</f>
        <v>60.74</v>
      </c>
      <c r="G1924" s="32" t="str">
        <f aca="false">VLOOKUP($A1924,'Order Sales'!$A$2:$G$2154,G$1,FALSE())</f>
        <v>Corporate</v>
      </c>
    </row>
    <row r="1925" customFormat="false" ht="14.25" hidden="false" customHeight="false" outlineLevel="0" collapsed="false">
      <c r="A1925" s="1" t="n">
        <v>1351</v>
      </c>
      <c r="B1925" s="30" t="n">
        <v>43412</v>
      </c>
      <c r="C1925" s="30" t="n">
        <v>45047</v>
      </c>
      <c r="D1925" s="31" t="n">
        <f aca="false">VLOOKUP(A1925,'Order Shipping'!$A$2:$C$2000,3,FALSE())</f>
        <v>9.6</v>
      </c>
      <c r="E1925" s="32" t="n">
        <f aca="false">VLOOKUP($A1925,'Order Sales'!$A$2:$G$2154,E$1,FALSE())</f>
        <v>23</v>
      </c>
      <c r="F1925" s="32" t="n">
        <f aca="false">VLOOKUP($A1925,'Order Sales'!$A$2:$G$2154,F$1,FALSE())</f>
        <v>731.54</v>
      </c>
      <c r="G1925" s="32" t="str">
        <f aca="false">VLOOKUP($A1925,'Order Sales'!$A$2:$G$2154,G$1,FALSE())</f>
        <v>Home Office</v>
      </c>
    </row>
    <row r="1926" customFormat="false" ht="14.25" hidden="false" customHeight="false" outlineLevel="0" collapsed="false">
      <c r="A1926" s="1" t="n">
        <v>1713</v>
      </c>
      <c r="B1926" s="30" t="n">
        <v>43123</v>
      </c>
      <c r="C1926" s="30" t="n">
        <v>45048</v>
      </c>
      <c r="D1926" s="31" t="n">
        <f aca="false">VLOOKUP(A1926,'Order Shipping'!$A$2:$C$2000,3,FALSE())</f>
        <v>1</v>
      </c>
      <c r="E1926" s="32" t="n">
        <f aca="false">VLOOKUP($A1926,'Order Sales'!$A$2:$G$2154,E$1,FALSE())</f>
        <v>27</v>
      </c>
      <c r="F1926" s="32" t="n">
        <f aca="false">VLOOKUP($A1926,'Order Sales'!$A$2:$G$2154,F$1,FALSE())</f>
        <v>87.63</v>
      </c>
      <c r="G1926" s="32" t="str">
        <f aca="false">VLOOKUP($A1926,'Order Sales'!$A$2:$G$2154,G$1,FALSE())</f>
        <v>Small Business</v>
      </c>
    </row>
    <row r="1927" customFormat="false" ht="14.25" hidden="false" customHeight="false" outlineLevel="0" collapsed="false">
      <c r="A1927" s="1" t="n">
        <v>2674</v>
      </c>
      <c r="B1927" s="30" t="n">
        <v>43134</v>
      </c>
      <c r="C1927" s="30" t="n">
        <v>45049</v>
      </c>
      <c r="D1927" s="31" t="n">
        <f aca="false">VLOOKUP(A1927,'Order Shipping'!$A$2:$C$2000,3,FALSE())</f>
        <v>9.4</v>
      </c>
      <c r="E1927" s="32" t="n">
        <f aca="false">VLOOKUP($A1927,'Order Sales'!$A$2:$G$2154,E$1,FALSE())</f>
        <v>46</v>
      </c>
      <c r="F1927" s="32" t="n">
        <f aca="false">VLOOKUP($A1927,'Order Sales'!$A$2:$G$2154,F$1,FALSE())</f>
        <v>5140.32</v>
      </c>
      <c r="G1927" s="32" t="str">
        <f aca="false">VLOOKUP($A1927,'Order Sales'!$A$2:$G$2154,G$1,FALSE())</f>
        <v>Corporate</v>
      </c>
    </row>
    <row r="1928" customFormat="false" ht="14.25" hidden="false" customHeight="false" outlineLevel="0" collapsed="false">
      <c r="A1928" s="1" t="n">
        <v>1909</v>
      </c>
      <c r="B1928" s="30" t="n">
        <v>43239</v>
      </c>
      <c r="C1928" s="30" t="n">
        <v>45050</v>
      </c>
      <c r="D1928" s="31" t="n">
        <f aca="false">VLOOKUP(A1928,'Order Shipping'!$A$2:$C$2000,3,FALSE())</f>
        <v>4.3</v>
      </c>
      <c r="E1928" s="32" t="n">
        <f aca="false">VLOOKUP($A1928,'Order Sales'!$A$2:$G$2154,E$1,FALSE())</f>
        <v>29</v>
      </c>
      <c r="F1928" s="32" t="n">
        <f aca="false">VLOOKUP($A1928,'Order Sales'!$A$2:$G$2154,F$1,FALSE())</f>
        <v>1636.09</v>
      </c>
      <c r="G1928" s="32" t="str">
        <f aca="false">VLOOKUP($A1928,'Order Sales'!$A$2:$G$2154,G$1,FALSE())</f>
        <v>Corporate</v>
      </c>
    </row>
    <row r="1929" customFormat="false" ht="14.25" hidden="false" customHeight="false" outlineLevel="0" collapsed="false">
      <c r="A1929" s="1" t="n">
        <v>1706</v>
      </c>
      <c r="B1929" s="30" t="n">
        <v>43110</v>
      </c>
      <c r="C1929" s="30" t="n">
        <v>45051</v>
      </c>
      <c r="D1929" s="31" t="n">
        <f aca="false">VLOOKUP(A1929,'Order Shipping'!$A$2:$C$2000,3,FALSE())</f>
        <v>21.4</v>
      </c>
      <c r="E1929" s="32" t="n">
        <f aca="false">VLOOKUP($A1929,'Order Sales'!$A$2:$G$2154,E$1,FALSE())</f>
        <v>24</v>
      </c>
      <c r="F1929" s="32" t="n">
        <f aca="false">VLOOKUP($A1929,'Order Sales'!$A$2:$G$2154,F$1,FALSE())</f>
        <v>2102.77</v>
      </c>
      <c r="G1929" s="32" t="str">
        <f aca="false">VLOOKUP($A1929,'Order Sales'!$A$2:$G$2154,G$1,FALSE())</f>
        <v>Home Office</v>
      </c>
    </row>
    <row r="1930" customFormat="false" ht="14.25" hidden="false" customHeight="false" outlineLevel="0" collapsed="false">
      <c r="A1930" s="1" t="n">
        <v>1843</v>
      </c>
      <c r="B1930" s="30" t="n">
        <v>43302</v>
      </c>
      <c r="C1930" s="30" t="n">
        <v>45052</v>
      </c>
      <c r="D1930" s="31" t="n">
        <f aca="false">VLOOKUP(A1930,'Order Shipping'!$A$2:$C$2000,3,FALSE())</f>
        <v>1.2</v>
      </c>
      <c r="E1930" s="32" t="n">
        <f aca="false">VLOOKUP($A1930,'Order Sales'!$A$2:$G$2154,E$1,FALSE())</f>
        <v>19</v>
      </c>
      <c r="F1930" s="32" t="n">
        <f aca="false">VLOOKUP($A1930,'Order Sales'!$A$2:$G$2154,F$1,FALSE())</f>
        <v>206.78</v>
      </c>
      <c r="G1930" s="32" t="str">
        <f aca="false">VLOOKUP($A1930,'Order Sales'!$A$2:$G$2154,G$1,FALSE())</f>
        <v>Small Business</v>
      </c>
    </row>
    <row r="1931" customFormat="false" ht="14.25" hidden="false" customHeight="false" outlineLevel="0" collapsed="false">
      <c r="A1931" s="1" t="n">
        <v>1855</v>
      </c>
      <c r="B1931" s="30" t="n">
        <v>43284</v>
      </c>
      <c r="C1931" s="30" t="n">
        <v>45053</v>
      </c>
      <c r="D1931" s="31" t="n">
        <f aca="false">VLOOKUP(A1931,'Order Shipping'!$A$2:$C$2000,3,FALSE())</f>
        <v>8.4</v>
      </c>
      <c r="E1931" s="32" t="n">
        <f aca="false">VLOOKUP($A1931,'Order Sales'!$A$2:$G$2154,E$1,FALSE())</f>
        <v>27</v>
      </c>
      <c r="F1931" s="32" t="n">
        <f aca="false">VLOOKUP($A1931,'Order Sales'!$A$2:$G$2154,F$1,FALSE())</f>
        <v>786.55</v>
      </c>
      <c r="G1931" s="32" t="str">
        <f aca="false">VLOOKUP($A1931,'Order Sales'!$A$2:$G$2154,G$1,FALSE())</f>
        <v>Corporate</v>
      </c>
    </row>
    <row r="1932" customFormat="false" ht="14.25" hidden="false" customHeight="false" outlineLevel="0" collapsed="false">
      <c r="A1932" s="1" t="n">
        <v>2809</v>
      </c>
      <c r="B1932" s="30" t="n">
        <v>43103</v>
      </c>
      <c r="C1932" s="30" t="n">
        <v>45054</v>
      </c>
      <c r="D1932" s="31" t="n">
        <f aca="false">VLOOKUP(A1932,'Order Shipping'!$A$2:$C$2000,3,FALSE())</f>
        <v>1</v>
      </c>
      <c r="E1932" s="32" t="n">
        <f aca="false">VLOOKUP($A1932,'Order Sales'!$A$2:$G$2154,E$1,FALSE())</f>
        <v>15</v>
      </c>
      <c r="F1932" s="32" t="n">
        <f aca="false">VLOOKUP($A1932,'Order Sales'!$A$2:$G$2154,F$1,FALSE())</f>
        <v>98.47</v>
      </c>
      <c r="G1932" s="32" t="str">
        <f aca="false">VLOOKUP($A1932,'Order Sales'!$A$2:$G$2154,G$1,FALSE())</f>
        <v>Consumer</v>
      </c>
    </row>
    <row r="1933" customFormat="false" ht="14.25" hidden="false" customHeight="false" outlineLevel="0" collapsed="false">
      <c r="A1933" s="1" t="n">
        <v>1628</v>
      </c>
      <c r="B1933" s="30" t="n">
        <v>43402</v>
      </c>
      <c r="C1933" s="30" t="n">
        <v>45055</v>
      </c>
      <c r="D1933" s="31" t="n">
        <f aca="false">VLOOKUP(A1933,'Order Shipping'!$A$2:$C$2000,3,FALSE())</f>
        <v>0.9</v>
      </c>
      <c r="E1933" s="32" t="n">
        <f aca="false">VLOOKUP($A1933,'Order Sales'!$A$2:$G$2154,E$1,FALSE())</f>
        <v>26</v>
      </c>
      <c r="F1933" s="32" t="n">
        <f aca="false">VLOOKUP($A1933,'Order Sales'!$A$2:$G$2154,F$1,FALSE())</f>
        <v>71.26</v>
      </c>
      <c r="G1933" s="32" t="str">
        <f aca="false">VLOOKUP($A1933,'Order Sales'!$A$2:$G$2154,G$1,FALSE())</f>
        <v>Corporate</v>
      </c>
    </row>
    <row r="1934" customFormat="false" ht="14.25" hidden="false" customHeight="false" outlineLevel="0" collapsed="false">
      <c r="A1934" s="1" t="n">
        <v>1389</v>
      </c>
      <c r="B1934" s="30" t="n">
        <v>43135</v>
      </c>
      <c r="C1934" s="30" t="n">
        <v>45056</v>
      </c>
      <c r="D1934" s="31" t="n">
        <f aca="false">VLOOKUP(A1934,'Order Shipping'!$A$2:$C$2000,3,FALSE())</f>
        <v>9.6</v>
      </c>
      <c r="E1934" s="32" t="n">
        <f aca="false">VLOOKUP($A1934,'Order Sales'!$A$2:$G$2154,E$1,FALSE())</f>
        <v>30</v>
      </c>
      <c r="F1934" s="32" t="n">
        <f aca="false">VLOOKUP($A1934,'Order Sales'!$A$2:$G$2154,F$1,FALSE())</f>
        <v>659.13</v>
      </c>
      <c r="G1934" s="32" t="str">
        <f aca="false">VLOOKUP($A1934,'Order Sales'!$A$2:$G$2154,G$1,FALSE())</f>
        <v>Home Office</v>
      </c>
    </row>
    <row r="1935" customFormat="false" ht="14.25" hidden="false" customHeight="false" outlineLevel="0" collapsed="false">
      <c r="A1935" s="1" t="n">
        <v>1204</v>
      </c>
      <c r="B1935" s="30" t="n">
        <v>43342</v>
      </c>
      <c r="C1935" s="30" t="n">
        <v>45057</v>
      </c>
      <c r="D1935" s="31" t="n">
        <f aca="false">VLOOKUP(A1935,'Order Shipping'!$A$2:$C$2000,3,FALSE())</f>
        <v>91.6</v>
      </c>
      <c r="E1935" s="32" t="n">
        <f aca="false">VLOOKUP($A1935,'Order Sales'!$A$2:$G$2154,E$1,FALSE())</f>
        <v>1</v>
      </c>
      <c r="F1935" s="32" t="n">
        <f aca="false">VLOOKUP($A1935,'Order Sales'!$A$2:$G$2154,F$1,FALSE())</f>
        <v>480.88</v>
      </c>
      <c r="G1935" s="32" t="str">
        <f aca="false">VLOOKUP($A1935,'Order Sales'!$A$2:$G$2154,G$1,FALSE())</f>
        <v>Corporate</v>
      </c>
    </row>
    <row r="1936" customFormat="false" ht="14.25" hidden="false" customHeight="false" outlineLevel="0" collapsed="false">
      <c r="A1936" s="1" t="n">
        <v>2806</v>
      </c>
      <c r="B1936" s="30" t="n">
        <v>43437</v>
      </c>
      <c r="C1936" s="30" t="n">
        <v>45058</v>
      </c>
      <c r="D1936" s="31" t="n">
        <f aca="false">VLOOKUP(A1936,'Order Shipping'!$A$2:$C$2000,3,FALSE())</f>
        <v>1.6</v>
      </c>
      <c r="E1936" s="32" t="n">
        <f aca="false">VLOOKUP($A1936,'Order Sales'!$A$2:$G$2154,E$1,FALSE())</f>
        <v>34</v>
      </c>
      <c r="F1936" s="32" t="n">
        <f aca="false">VLOOKUP($A1936,'Order Sales'!$A$2:$G$2154,F$1,FALSE())</f>
        <v>716.92</v>
      </c>
      <c r="G1936" s="32" t="str">
        <f aca="false">VLOOKUP($A1936,'Order Sales'!$A$2:$G$2154,G$1,FALSE())</f>
        <v>Home Office</v>
      </c>
    </row>
    <row r="1937" customFormat="false" ht="14.25" hidden="false" customHeight="false" outlineLevel="0" collapsed="false">
      <c r="A1937" s="1" t="n">
        <v>1096</v>
      </c>
      <c r="B1937" s="30" t="n">
        <v>43388</v>
      </c>
      <c r="C1937" s="30" t="n">
        <v>45059</v>
      </c>
      <c r="D1937" s="31" t="n">
        <f aca="false">VLOOKUP(A1937,'Order Shipping'!$A$2:$C$2000,3,FALSE())</f>
        <v>24.8</v>
      </c>
      <c r="E1937" s="32" t="n">
        <f aca="false">VLOOKUP($A1937,'Order Sales'!$A$2:$G$2154,E$1,FALSE())</f>
        <v>30</v>
      </c>
      <c r="F1937" s="32" t="n">
        <f aca="false">VLOOKUP($A1937,'Order Sales'!$A$2:$G$2154,F$1,FALSE())</f>
        <v>8898.93</v>
      </c>
      <c r="G1937" s="32" t="str">
        <f aca="false">VLOOKUP($A1937,'Order Sales'!$A$2:$G$2154,G$1,FALSE())</f>
        <v>Home Office</v>
      </c>
    </row>
    <row r="1938" customFormat="false" ht="14.25" hidden="false" customHeight="false" outlineLevel="0" collapsed="false">
      <c r="A1938" s="1" t="n">
        <v>2852</v>
      </c>
      <c r="B1938" s="30" t="n">
        <v>43144</v>
      </c>
      <c r="C1938" s="30" t="n">
        <v>45060</v>
      </c>
      <c r="D1938" s="31" t="n">
        <f aca="false">VLOOKUP(A1938,'Order Shipping'!$A$2:$C$2000,3,FALSE())</f>
        <v>5.1</v>
      </c>
      <c r="E1938" s="32" t="n">
        <f aca="false">VLOOKUP($A1938,'Order Sales'!$A$2:$G$2154,E$1,FALSE())</f>
        <v>45</v>
      </c>
      <c r="F1938" s="32" t="n">
        <f aca="false">VLOOKUP($A1938,'Order Sales'!$A$2:$G$2154,F$1,FALSE())</f>
        <v>896</v>
      </c>
      <c r="G1938" s="32" t="str">
        <f aca="false">VLOOKUP($A1938,'Order Sales'!$A$2:$G$2154,G$1,FALSE())</f>
        <v>Home Office</v>
      </c>
    </row>
    <row r="1939" customFormat="false" ht="14.25" hidden="false" customHeight="false" outlineLevel="0" collapsed="false">
      <c r="A1939" s="1" t="n">
        <v>1369</v>
      </c>
      <c r="B1939" s="30" t="n">
        <v>43173</v>
      </c>
      <c r="C1939" s="30" t="n">
        <v>45061</v>
      </c>
      <c r="D1939" s="31" t="n">
        <f aca="false">VLOOKUP(A1939,'Order Shipping'!$A$2:$C$2000,3,FALSE())</f>
        <v>1.8</v>
      </c>
      <c r="E1939" s="32" t="n">
        <f aca="false">VLOOKUP($A1939,'Order Sales'!$A$2:$G$2154,E$1,FALSE())</f>
        <v>18</v>
      </c>
      <c r="F1939" s="32" t="n">
        <f aca="false">VLOOKUP($A1939,'Order Sales'!$A$2:$G$2154,F$1,FALSE())</f>
        <v>139.51</v>
      </c>
      <c r="G1939" s="32" t="str">
        <f aca="false">VLOOKUP($A1939,'Order Sales'!$A$2:$G$2154,G$1,FALSE())</f>
        <v>Consumer</v>
      </c>
    </row>
    <row r="1940" customFormat="false" ht="14.25" hidden="false" customHeight="false" outlineLevel="0" collapsed="false">
      <c r="A1940" s="1" t="n">
        <v>1607</v>
      </c>
      <c r="B1940" s="30" t="n">
        <v>43163</v>
      </c>
      <c r="C1940" s="30" t="n">
        <v>45062</v>
      </c>
      <c r="D1940" s="31" t="n">
        <f aca="false">VLOOKUP(A1940,'Order Shipping'!$A$2:$C$2000,3,FALSE())</f>
        <v>4.5</v>
      </c>
      <c r="E1940" s="32" t="n">
        <f aca="false">VLOOKUP($A1940,'Order Sales'!$A$2:$G$2154,E$1,FALSE())</f>
        <v>41</v>
      </c>
      <c r="F1940" s="32" t="n">
        <f aca="false">VLOOKUP($A1940,'Order Sales'!$A$2:$G$2154,F$1,FALSE())</f>
        <v>4228.29</v>
      </c>
      <c r="G1940" s="32" t="str">
        <f aca="false">VLOOKUP($A1940,'Order Sales'!$A$2:$G$2154,G$1,FALSE())</f>
        <v>Home Office</v>
      </c>
    </row>
    <row r="1941" customFormat="false" ht="14.25" hidden="false" customHeight="false" outlineLevel="0" collapsed="false">
      <c r="A1941" s="1" t="n">
        <v>2187</v>
      </c>
      <c r="B1941" s="30" t="n">
        <v>43314</v>
      </c>
      <c r="C1941" s="30" t="n">
        <v>45063</v>
      </c>
      <c r="D1941" s="31" t="n">
        <f aca="false">VLOOKUP(A1941,'Order Shipping'!$A$2:$C$2000,3,FALSE())</f>
        <v>15</v>
      </c>
      <c r="E1941" s="32" t="n">
        <f aca="false">VLOOKUP($A1941,'Order Sales'!$A$2:$G$2154,E$1,FALSE())</f>
        <v>10</v>
      </c>
      <c r="F1941" s="32" t="n">
        <f aca="false">VLOOKUP($A1941,'Order Sales'!$A$2:$G$2154,F$1,FALSE())</f>
        <v>974.75</v>
      </c>
      <c r="G1941" s="32" t="str">
        <f aca="false">VLOOKUP($A1941,'Order Sales'!$A$2:$G$2154,G$1,FALSE())</f>
        <v>Corporate</v>
      </c>
    </row>
    <row r="1942" customFormat="false" ht="14.25" hidden="false" customHeight="false" outlineLevel="0" collapsed="false">
      <c r="A1942" s="1" t="n">
        <v>1813</v>
      </c>
      <c r="B1942" s="30" t="n">
        <v>43246</v>
      </c>
      <c r="C1942" s="30" t="n">
        <v>45064</v>
      </c>
      <c r="D1942" s="31" t="n">
        <f aca="false">VLOOKUP(A1942,'Order Shipping'!$A$2:$C$2000,3,FALSE())</f>
        <v>10.1</v>
      </c>
      <c r="E1942" s="32" t="n">
        <f aca="false">VLOOKUP($A1942,'Order Sales'!$A$2:$G$2154,E$1,FALSE())</f>
        <v>20</v>
      </c>
      <c r="F1942" s="32" t="n">
        <f aca="false">VLOOKUP($A1942,'Order Sales'!$A$2:$G$2154,F$1,FALSE())</f>
        <v>226.22</v>
      </c>
      <c r="G1942" s="32" t="str">
        <f aca="false">VLOOKUP($A1942,'Order Sales'!$A$2:$G$2154,G$1,FALSE())</f>
        <v>Home Office</v>
      </c>
    </row>
    <row r="1943" customFormat="false" ht="14.25" hidden="false" customHeight="false" outlineLevel="0" collapsed="false">
      <c r="A1943" s="1" t="n">
        <v>1023</v>
      </c>
      <c r="B1943" s="30" t="n">
        <v>43402</v>
      </c>
      <c r="C1943" s="30" t="n">
        <v>45065</v>
      </c>
      <c r="D1943" s="31" t="n">
        <f aca="false">VLOOKUP(A1943,'Order Shipping'!$A$2:$C$2000,3,FALSE())</f>
        <v>5.2</v>
      </c>
      <c r="E1943" s="32" t="n">
        <f aca="false">VLOOKUP($A1943,'Order Sales'!$A$2:$G$2154,E$1,FALSE())</f>
        <v>8</v>
      </c>
      <c r="F1943" s="32" t="n">
        <f aca="false">VLOOKUP($A1943,'Order Sales'!$A$2:$G$2154,F$1,FALSE())</f>
        <v>46.32</v>
      </c>
      <c r="G1943" s="32" t="str">
        <f aca="false">VLOOKUP($A1943,'Order Sales'!$A$2:$G$2154,G$1,FALSE())</f>
        <v>Small Business</v>
      </c>
    </row>
    <row r="1944" customFormat="false" ht="14.25" hidden="false" customHeight="false" outlineLevel="0" collapsed="false">
      <c r="A1944" s="1" t="n">
        <v>1616</v>
      </c>
      <c r="B1944" s="30" t="n">
        <v>43306</v>
      </c>
      <c r="C1944" s="30" t="n">
        <v>45066</v>
      </c>
      <c r="D1944" s="31" t="n">
        <f aca="false">VLOOKUP(A1944,'Order Shipping'!$A$2:$C$2000,3,FALSE())</f>
        <v>4.9</v>
      </c>
      <c r="E1944" s="32" t="n">
        <f aca="false">VLOOKUP($A1944,'Order Sales'!$A$2:$G$2154,E$1,FALSE())</f>
        <v>43</v>
      </c>
      <c r="F1944" s="32" t="n">
        <f aca="false">VLOOKUP($A1944,'Order Sales'!$A$2:$G$2154,F$1,FALSE())</f>
        <v>1979.29</v>
      </c>
      <c r="G1944" s="32" t="str">
        <f aca="false">VLOOKUP($A1944,'Order Sales'!$A$2:$G$2154,G$1,FALSE())</f>
        <v>Corporate</v>
      </c>
    </row>
    <row r="1945" customFormat="false" ht="14.25" hidden="false" customHeight="false" outlineLevel="0" collapsed="false">
      <c r="A1945" s="1" t="n">
        <v>2616</v>
      </c>
      <c r="B1945" s="30" t="n">
        <v>43307</v>
      </c>
      <c r="C1945" s="30" t="n">
        <v>45067</v>
      </c>
      <c r="D1945" s="31" t="n">
        <f aca="false">VLOOKUP(A1945,'Order Shipping'!$A$2:$C$2000,3,FALSE())</f>
        <v>28.1</v>
      </c>
      <c r="E1945" s="32" t="n">
        <f aca="false">VLOOKUP($A1945,'Order Sales'!$A$2:$G$2154,E$1,FALSE())</f>
        <v>46</v>
      </c>
      <c r="F1945" s="32" t="n">
        <f aca="false">VLOOKUP($A1945,'Order Sales'!$A$2:$G$2154,F$1,FALSE())</f>
        <v>6008.48</v>
      </c>
      <c r="G1945" s="32" t="str">
        <f aca="false">VLOOKUP($A1945,'Order Sales'!$A$2:$G$2154,G$1,FALSE())</f>
        <v>Consumer</v>
      </c>
    </row>
    <row r="1946" customFormat="false" ht="14.25" hidden="false" customHeight="false" outlineLevel="0" collapsed="false">
      <c r="A1946" s="1" t="n">
        <v>1986</v>
      </c>
      <c r="B1946" s="30" t="n">
        <v>43264</v>
      </c>
      <c r="C1946" s="30" t="n">
        <v>45068</v>
      </c>
      <c r="D1946" s="31" t="n">
        <f aca="false">VLOOKUP(A1946,'Order Shipping'!$A$2:$C$2000,3,FALSE())</f>
        <v>1.6</v>
      </c>
      <c r="E1946" s="32" t="n">
        <f aca="false">VLOOKUP($A1946,'Order Sales'!$A$2:$G$2154,E$1,FALSE())</f>
        <v>46</v>
      </c>
      <c r="F1946" s="32" t="n">
        <f aca="false">VLOOKUP($A1946,'Order Sales'!$A$2:$G$2154,F$1,FALSE())</f>
        <v>236.61</v>
      </c>
      <c r="G1946" s="32" t="str">
        <f aca="false">VLOOKUP($A1946,'Order Sales'!$A$2:$G$2154,G$1,FALSE())</f>
        <v>Consumer</v>
      </c>
    </row>
    <row r="1947" customFormat="false" ht="14.25" hidden="false" customHeight="false" outlineLevel="0" collapsed="false">
      <c r="A1947" s="1" t="n">
        <v>1119</v>
      </c>
      <c r="B1947" s="30" t="n">
        <v>43308</v>
      </c>
      <c r="C1947" s="30" t="n">
        <v>45069</v>
      </c>
      <c r="D1947" s="31" t="n">
        <f aca="false">VLOOKUP(A1947,'Order Shipping'!$A$2:$C$2000,3,FALSE())</f>
        <v>2.1</v>
      </c>
      <c r="E1947" s="32" t="n">
        <f aca="false">VLOOKUP($A1947,'Order Sales'!$A$2:$G$2154,E$1,FALSE())</f>
        <v>40</v>
      </c>
      <c r="F1947" s="32" t="n">
        <f aca="false">VLOOKUP($A1947,'Order Sales'!$A$2:$G$2154,F$1,FALSE())</f>
        <v>1818.49</v>
      </c>
      <c r="G1947" s="32" t="str">
        <f aca="false">VLOOKUP($A1947,'Order Sales'!$A$2:$G$2154,G$1,FALSE())</f>
        <v>Small Business</v>
      </c>
    </row>
    <row r="1948" customFormat="false" ht="14.25" hidden="false" customHeight="false" outlineLevel="0" collapsed="false">
      <c r="A1948" s="1" t="n">
        <v>1433</v>
      </c>
      <c r="B1948" s="30" t="n">
        <v>43159</v>
      </c>
      <c r="C1948" s="30" t="n">
        <v>45070</v>
      </c>
      <c r="D1948" s="31" t="n">
        <f aca="false">VLOOKUP(A1948,'Order Shipping'!$A$2:$C$2000,3,FALSE())</f>
        <v>1.3</v>
      </c>
      <c r="E1948" s="32" t="n">
        <f aca="false">VLOOKUP($A1948,'Order Sales'!$A$2:$G$2154,E$1,FALSE())</f>
        <v>2</v>
      </c>
      <c r="F1948" s="32" t="n">
        <f aca="false">VLOOKUP($A1948,'Order Sales'!$A$2:$G$2154,F$1,FALSE())</f>
        <v>10.03</v>
      </c>
      <c r="G1948" s="32" t="str">
        <f aca="false">VLOOKUP($A1948,'Order Sales'!$A$2:$G$2154,G$1,FALSE())</f>
        <v>Consumer</v>
      </c>
    </row>
    <row r="1949" customFormat="false" ht="14.25" hidden="false" customHeight="false" outlineLevel="0" collapsed="false">
      <c r="A1949" s="1" t="n">
        <v>2296</v>
      </c>
      <c r="B1949" s="30" t="n">
        <v>43282</v>
      </c>
      <c r="C1949" s="30" t="n">
        <v>45071</v>
      </c>
      <c r="D1949" s="31" t="n">
        <f aca="false">VLOOKUP(A1949,'Order Shipping'!$A$2:$C$2000,3,FALSE())</f>
        <v>4.3</v>
      </c>
      <c r="E1949" s="32" t="n">
        <f aca="false">VLOOKUP($A1949,'Order Sales'!$A$2:$G$2154,E$1,FALSE())</f>
        <v>30</v>
      </c>
      <c r="F1949" s="32" t="n">
        <f aca="false">VLOOKUP($A1949,'Order Sales'!$A$2:$G$2154,F$1,FALSE())</f>
        <v>308.64</v>
      </c>
      <c r="G1949" s="32" t="str">
        <f aca="false">VLOOKUP($A1949,'Order Sales'!$A$2:$G$2154,G$1,FALSE())</f>
        <v>Small Business</v>
      </c>
    </row>
    <row r="1950" customFormat="false" ht="14.25" hidden="false" customHeight="false" outlineLevel="0" collapsed="false">
      <c r="A1950" s="1" t="n">
        <v>2159</v>
      </c>
      <c r="B1950" s="30" t="n">
        <v>43307</v>
      </c>
      <c r="C1950" s="30" t="n">
        <v>45072</v>
      </c>
      <c r="D1950" s="31" t="n">
        <f aca="false">VLOOKUP(A1950,'Order Shipping'!$A$2:$C$2000,3,FALSE())</f>
        <v>37.5</v>
      </c>
      <c r="E1950" s="32" t="n">
        <f aca="false">VLOOKUP($A1950,'Order Sales'!$A$2:$G$2154,E$1,FALSE())</f>
        <v>14</v>
      </c>
      <c r="F1950" s="32" t="n">
        <f aca="false">VLOOKUP($A1950,'Order Sales'!$A$2:$G$2154,F$1,FALSE())</f>
        <v>2017.39</v>
      </c>
      <c r="G1950" s="32" t="str">
        <f aca="false">VLOOKUP($A1950,'Order Sales'!$A$2:$G$2154,G$1,FALSE())</f>
        <v>Small Business</v>
      </c>
    </row>
    <row r="1951" customFormat="false" ht="14.25" hidden="false" customHeight="false" outlineLevel="0" collapsed="false">
      <c r="A1951" s="1" t="n">
        <v>2337</v>
      </c>
      <c r="B1951" s="30" t="n">
        <v>43108</v>
      </c>
      <c r="C1951" s="30" t="n">
        <v>45073</v>
      </c>
      <c r="D1951" s="31" t="n">
        <f aca="false">VLOOKUP(A1951,'Order Shipping'!$A$2:$C$2000,3,FALSE())</f>
        <v>5.4</v>
      </c>
      <c r="E1951" s="32" t="n">
        <f aca="false">VLOOKUP($A1951,'Order Sales'!$A$2:$G$2154,E$1,FALSE())</f>
        <v>50</v>
      </c>
      <c r="F1951" s="32" t="n">
        <f aca="false">VLOOKUP($A1951,'Order Sales'!$A$2:$G$2154,F$1,FALSE())</f>
        <v>897.8</v>
      </c>
      <c r="G1951" s="32" t="str">
        <f aca="false">VLOOKUP($A1951,'Order Sales'!$A$2:$G$2154,G$1,FALSE())</f>
        <v>Small Business</v>
      </c>
    </row>
    <row r="1952" customFormat="false" ht="14.25" hidden="false" customHeight="false" outlineLevel="0" collapsed="false">
      <c r="A1952" s="1" t="n">
        <v>2334</v>
      </c>
      <c r="B1952" s="30" t="n">
        <v>43381</v>
      </c>
      <c r="C1952" s="30" t="n">
        <v>45074</v>
      </c>
      <c r="D1952" s="31" t="n">
        <f aca="false">VLOOKUP(A1952,'Order Shipping'!$A$2:$C$2000,3,FALSE())</f>
        <v>4.8</v>
      </c>
      <c r="E1952" s="32" t="n">
        <f aca="false">VLOOKUP($A1952,'Order Sales'!$A$2:$G$2154,E$1,FALSE())</f>
        <v>10</v>
      </c>
      <c r="F1952" s="32" t="n">
        <f aca="false">VLOOKUP($A1952,'Order Sales'!$A$2:$G$2154,F$1,FALSE())</f>
        <v>117.03</v>
      </c>
      <c r="G1952" s="32" t="str">
        <f aca="false">VLOOKUP($A1952,'Order Sales'!$A$2:$G$2154,G$1,FALSE())</f>
        <v>Small Business</v>
      </c>
    </row>
    <row r="1953" customFormat="false" ht="14.25" hidden="false" customHeight="false" outlineLevel="0" collapsed="false">
      <c r="A1953" s="1" t="n">
        <v>2317</v>
      </c>
      <c r="B1953" s="30" t="n">
        <v>43238</v>
      </c>
      <c r="C1953" s="30" t="n">
        <v>45075</v>
      </c>
      <c r="D1953" s="31" t="n">
        <f aca="false">VLOOKUP(A1953,'Order Shipping'!$A$2:$C$2000,3,FALSE())</f>
        <v>7.3</v>
      </c>
      <c r="E1953" s="32" t="n">
        <f aca="false">VLOOKUP($A1953,'Order Sales'!$A$2:$G$2154,E$1,FALSE())</f>
        <v>1</v>
      </c>
      <c r="F1953" s="32" t="n">
        <f aca="false">VLOOKUP($A1953,'Order Sales'!$A$2:$G$2154,F$1,FALSE())</f>
        <v>11.21</v>
      </c>
      <c r="G1953" s="32" t="str">
        <f aca="false">VLOOKUP($A1953,'Order Sales'!$A$2:$G$2154,G$1,FALSE())</f>
        <v>Corporate</v>
      </c>
    </row>
    <row r="1954" customFormat="false" ht="14.25" hidden="false" customHeight="false" outlineLevel="0" collapsed="false">
      <c r="A1954" s="1" t="n">
        <v>2195</v>
      </c>
      <c r="B1954" s="30" t="n">
        <v>43264</v>
      </c>
      <c r="C1954" s="30" t="n">
        <v>45076</v>
      </c>
      <c r="D1954" s="31" t="n">
        <f aca="false">VLOOKUP(A1954,'Order Shipping'!$A$2:$C$2000,3,FALSE())</f>
        <v>3.6</v>
      </c>
      <c r="E1954" s="32" t="n">
        <f aca="false">VLOOKUP($A1954,'Order Sales'!$A$2:$G$2154,E$1,FALSE())</f>
        <v>31</v>
      </c>
      <c r="F1954" s="32" t="n">
        <f aca="false">VLOOKUP($A1954,'Order Sales'!$A$2:$G$2154,F$1,FALSE())</f>
        <v>373.34</v>
      </c>
      <c r="G1954" s="32" t="str">
        <f aca="false">VLOOKUP($A1954,'Order Sales'!$A$2:$G$2154,G$1,FALSE())</f>
        <v>Corporate</v>
      </c>
    </row>
    <row r="1955" customFormat="false" ht="14.25" hidden="false" customHeight="false" outlineLevel="0" collapsed="false">
      <c r="A1955" s="1" t="n">
        <v>1265</v>
      </c>
      <c r="B1955" s="30" t="n">
        <v>43371</v>
      </c>
      <c r="C1955" s="30" t="n">
        <v>45077</v>
      </c>
      <c r="D1955" s="31" t="n">
        <f aca="false">VLOOKUP(A1955,'Order Shipping'!$A$2:$C$2000,3,FALSE())</f>
        <v>6.4</v>
      </c>
      <c r="E1955" s="32" t="n">
        <f aca="false">VLOOKUP($A1955,'Order Sales'!$A$2:$G$2154,E$1,FALSE())</f>
        <v>19</v>
      </c>
      <c r="F1955" s="32" t="n">
        <f aca="false">VLOOKUP($A1955,'Order Sales'!$A$2:$G$2154,F$1,FALSE())</f>
        <v>393.8</v>
      </c>
      <c r="G1955" s="32" t="str">
        <f aca="false">VLOOKUP($A1955,'Order Sales'!$A$2:$G$2154,G$1,FALSE())</f>
        <v>Small Business</v>
      </c>
    </row>
    <row r="1956" customFormat="false" ht="14.25" hidden="false" customHeight="false" outlineLevel="0" collapsed="false">
      <c r="A1956" s="1" t="n">
        <v>1503</v>
      </c>
      <c r="B1956" s="30" t="n">
        <v>43278</v>
      </c>
      <c r="C1956" s="30" t="n">
        <v>45078</v>
      </c>
      <c r="D1956" s="31" t="n">
        <f aca="false">VLOOKUP(A1956,'Order Shipping'!$A$2:$C$2000,3,FALSE())</f>
        <v>1.4</v>
      </c>
      <c r="E1956" s="32" t="n">
        <f aca="false">VLOOKUP($A1956,'Order Sales'!$A$2:$G$2154,E$1,FALSE())</f>
        <v>36</v>
      </c>
      <c r="F1956" s="32" t="n">
        <f aca="false">VLOOKUP($A1956,'Order Sales'!$A$2:$G$2154,F$1,FALSE())</f>
        <v>131.75</v>
      </c>
      <c r="G1956" s="32" t="str">
        <f aca="false">VLOOKUP($A1956,'Order Sales'!$A$2:$G$2154,G$1,FALSE())</f>
        <v>Corporate</v>
      </c>
    </row>
    <row r="1957" customFormat="false" ht="14.25" hidden="false" customHeight="false" outlineLevel="0" collapsed="false">
      <c r="A1957" s="1" t="n">
        <v>1027</v>
      </c>
      <c r="B1957" s="30" t="n">
        <v>43162</v>
      </c>
      <c r="C1957" s="30" t="n">
        <v>45079</v>
      </c>
      <c r="D1957" s="31" t="n">
        <f aca="false">VLOOKUP(A1957,'Order Shipping'!$A$2:$C$2000,3,FALSE())</f>
        <v>9.6</v>
      </c>
      <c r="E1957" s="32" t="n">
        <f aca="false">VLOOKUP($A1957,'Order Sales'!$A$2:$G$2154,E$1,FALSE())</f>
        <v>29</v>
      </c>
      <c r="F1957" s="32" t="n">
        <f aca="false">VLOOKUP($A1957,'Order Sales'!$A$2:$G$2154,F$1,FALSE())</f>
        <v>1070.83</v>
      </c>
      <c r="G1957" s="32" t="str">
        <f aca="false">VLOOKUP($A1957,'Order Sales'!$A$2:$G$2154,G$1,FALSE())</f>
        <v>Consumer</v>
      </c>
    </row>
    <row r="1958" customFormat="false" ht="14.25" hidden="false" customHeight="false" outlineLevel="0" collapsed="false">
      <c r="A1958" s="1" t="n">
        <v>2010</v>
      </c>
      <c r="B1958" s="30" t="n">
        <v>43440</v>
      </c>
      <c r="C1958" s="30" t="n">
        <v>45080</v>
      </c>
      <c r="D1958" s="31" t="n">
        <f aca="false">VLOOKUP(A1958,'Order Shipping'!$A$2:$C$2000,3,FALSE())</f>
        <v>4.8</v>
      </c>
      <c r="E1958" s="32" t="n">
        <f aca="false">VLOOKUP($A1958,'Order Sales'!$A$2:$G$2154,E$1,FALSE())</f>
        <v>25</v>
      </c>
      <c r="F1958" s="32" t="n">
        <f aca="false">VLOOKUP($A1958,'Order Sales'!$A$2:$G$2154,F$1,FALSE())</f>
        <v>1511.89</v>
      </c>
      <c r="G1958" s="32" t="str">
        <f aca="false">VLOOKUP($A1958,'Order Sales'!$A$2:$G$2154,G$1,FALSE())</f>
        <v>Corporate</v>
      </c>
    </row>
    <row r="1959" customFormat="false" ht="14.25" hidden="false" customHeight="false" outlineLevel="0" collapsed="false">
      <c r="A1959" s="1" t="n">
        <v>2028</v>
      </c>
      <c r="B1959" s="30" t="n">
        <v>43355</v>
      </c>
      <c r="C1959" s="30" t="n">
        <v>45081</v>
      </c>
      <c r="D1959" s="31" t="n">
        <f aca="false">VLOOKUP(A1959,'Order Shipping'!$A$2:$C$2000,3,FALSE())</f>
        <v>1.1</v>
      </c>
      <c r="E1959" s="32" t="n">
        <f aca="false">VLOOKUP($A1959,'Order Sales'!$A$2:$G$2154,E$1,FALSE())</f>
        <v>45</v>
      </c>
      <c r="F1959" s="32" t="n">
        <f aca="false">VLOOKUP($A1959,'Order Sales'!$A$2:$G$2154,F$1,FALSE())</f>
        <v>3334.95</v>
      </c>
      <c r="G1959" s="32" t="str">
        <f aca="false">VLOOKUP($A1959,'Order Sales'!$A$2:$G$2154,G$1,FALSE())</f>
        <v>Corporate</v>
      </c>
    </row>
    <row r="1960" customFormat="false" ht="14.25" hidden="false" customHeight="false" outlineLevel="0" collapsed="false">
      <c r="A1960" s="1" t="n">
        <v>2116</v>
      </c>
      <c r="B1960" s="30" t="n">
        <v>43433</v>
      </c>
      <c r="C1960" s="30" t="n">
        <v>45082</v>
      </c>
      <c r="D1960" s="31" t="n">
        <f aca="false">VLOOKUP(A1960,'Order Shipping'!$A$2:$C$2000,3,FALSE())</f>
        <v>1.3</v>
      </c>
      <c r="E1960" s="32" t="n">
        <f aca="false">VLOOKUP($A1960,'Order Sales'!$A$2:$G$2154,E$1,FALSE())</f>
        <v>6</v>
      </c>
      <c r="F1960" s="32" t="n">
        <f aca="false">VLOOKUP($A1960,'Order Sales'!$A$2:$G$2154,F$1,FALSE())</f>
        <v>25.89</v>
      </c>
      <c r="G1960" s="32" t="str">
        <f aca="false">VLOOKUP($A1960,'Order Sales'!$A$2:$G$2154,G$1,FALSE())</f>
        <v>Home Office</v>
      </c>
    </row>
    <row r="1961" customFormat="false" ht="14.25" hidden="false" customHeight="false" outlineLevel="0" collapsed="false">
      <c r="A1961" s="1" t="n">
        <v>1309</v>
      </c>
      <c r="B1961" s="30" t="n">
        <v>43149</v>
      </c>
      <c r="C1961" s="30" t="n">
        <v>45083</v>
      </c>
      <c r="D1961" s="31" t="n">
        <f aca="false">VLOOKUP(A1961,'Order Shipping'!$A$2:$C$2000,3,FALSE())</f>
        <v>3.2</v>
      </c>
      <c r="E1961" s="32" t="n">
        <f aca="false">VLOOKUP($A1961,'Order Sales'!$A$2:$G$2154,E$1,FALSE())</f>
        <v>15</v>
      </c>
      <c r="F1961" s="32" t="n">
        <f aca="false">VLOOKUP($A1961,'Order Sales'!$A$2:$G$2154,F$1,FALSE())</f>
        <v>117.86</v>
      </c>
      <c r="G1961" s="32" t="str">
        <f aca="false">VLOOKUP($A1961,'Order Sales'!$A$2:$G$2154,G$1,FALSE())</f>
        <v>Corporate</v>
      </c>
    </row>
    <row r="1962" customFormat="false" ht="14.25" hidden="false" customHeight="false" outlineLevel="0" collapsed="false">
      <c r="A1962" s="1" t="n">
        <v>1100</v>
      </c>
      <c r="B1962" s="30" t="n">
        <v>43299</v>
      </c>
      <c r="C1962" s="30" t="n">
        <v>45084</v>
      </c>
      <c r="D1962" s="31" t="n">
        <f aca="false">VLOOKUP(A1962,'Order Shipping'!$A$2:$C$2000,3,FALSE())</f>
        <v>79.6</v>
      </c>
      <c r="E1962" s="32" t="n">
        <f aca="false">VLOOKUP($A1962,'Order Sales'!$A$2:$G$2154,E$1,FALSE())</f>
        <v>39</v>
      </c>
      <c r="F1962" s="32" t="n">
        <f aca="false">VLOOKUP($A1962,'Order Sales'!$A$2:$G$2154,F$1,FALSE())</f>
        <v>3803.27</v>
      </c>
      <c r="G1962" s="32" t="str">
        <f aca="false">VLOOKUP($A1962,'Order Sales'!$A$2:$G$2154,G$1,FALSE())</f>
        <v>Corporate</v>
      </c>
    </row>
    <row r="1963" customFormat="false" ht="14.25" hidden="false" customHeight="false" outlineLevel="0" collapsed="false">
      <c r="A1963" s="1" t="n">
        <v>2688</v>
      </c>
      <c r="B1963" s="30" t="n">
        <v>43272</v>
      </c>
      <c r="C1963" s="30" t="n">
        <v>45085</v>
      </c>
      <c r="D1963" s="31" t="n">
        <f aca="false">VLOOKUP(A1963,'Order Shipping'!$A$2:$C$2000,3,FALSE())</f>
        <v>9.6</v>
      </c>
      <c r="E1963" s="32" t="n">
        <f aca="false">VLOOKUP($A1963,'Order Sales'!$A$2:$G$2154,E$1,FALSE())</f>
        <v>15</v>
      </c>
      <c r="F1963" s="32" t="n">
        <f aca="false">VLOOKUP($A1963,'Order Sales'!$A$2:$G$2154,F$1,FALSE())</f>
        <v>447.13</v>
      </c>
      <c r="G1963" s="32" t="str">
        <f aca="false">VLOOKUP($A1963,'Order Sales'!$A$2:$G$2154,G$1,FALSE())</f>
        <v>Small Business</v>
      </c>
    </row>
    <row r="1964" customFormat="false" ht="14.25" hidden="false" customHeight="false" outlineLevel="0" collapsed="false">
      <c r="A1964" s="1" t="n">
        <v>1926</v>
      </c>
      <c r="B1964" s="30" t="n">
        <v>43344</v>
      </c>
      <c r="C1964" s="30" t="n">
        <v>45086</v>
      </c>
      <c r="D1964" s="31" t="n">
        <f aca="false">VLOOKUP(A1964,'Order Shipping'!$A$2:$C$2000,3,FALSE())</f>
        <v>26.2</v>
      </c>
      <c r="E1964" s="32" t="n">
        <f aca="false">VLOOKUP($A1964,'Order Sales'!$A$2:$G$2154,E$1,FALSE())</f>
        <v>10</v>
      </c>
      <c r="F1964" s="32" t="n">
        <f aca="false">VLOOKUP($A1964,'Order Sales'!$A$2:$G$2154,F$1,FALSE())</f>
        <v>6794.81</v>
      </c>
      <c r="G1964" s="32" t="str">
        <f aca="false">VLOOKUP($A1964,'Order Sales'!$A$2:$G$2154,G$1,FALSE())</f>
        <v>Corporate</v>
      </c>
    </row>
    <row r="1965" customFormat="false" ht="14.25" hidden="false" customHeight="false" outlineLevel="0" collapsed="false">
      <c r="A1965" s="1" t="n">
        <v>1797</v>
      </c>
      <c r="B1965" s="30" t="n">
        <v>43184</v>
      </c>
      <c r="C1965" s="30" t="n">
        <v>45087</v>
      </c>
      <c r="D1965" s="31" t="n">
        <f aca="false">VLOOKUP(A1965,'Order Shipping'!$A$2:$C$2000,3,FALSE())</f>
        <v>21.4</v>
      </c>
      <c r="E1965" s="32" t="n">
        <f aca="false">VLOOKUP($A1965,'Order Sales'!$A$2:$G$2154,E$1,FALSE())</f>
        <v>21</v>
      </c>
      <c r="F1965" s="32" t="n">
        <f aca="false">VLOOKUP($A1965,'Order Sales'!$A$2:$G$2154,F$1,FALSE())</f>
        <v>4259.92</v>
      </c>
      <c r="G1965" s="32" t="str">
        <f aca="false">VLOOKUP($A1965,'Order Sales'!$A$2:$G$2154,G$1,FALSE())</f>
        <v>Consumer</v>
      </c>
    </row>
    <row r="1966" customFormat="false" ht="14.25" hidden="false" customHeight="false" outlineLevel="0" collapsed="false">
      <c r="A1966" s="1" t="n">
        <v>1979</v>
      </c>
      <c r="B1966" s="30" t="n">
        <v>43375</v>
      </c>
      <c r="C1966" s="30" t="n">
        <v>45088</v>
      </c>
      <c r="D1966" s="31" t="n">
        <f aca="false">VLOOKUP(A1966,'Order Shipping'!$A$2:$C$2000,3,FALSE())</f>
        <v>21.4</v>
      </c>
      <c r="E1966" s="32" t="n">
        <f aca="false">VLOOKUP($A1966,'Order Sales'!$A$2:$G$2154,E$1,FALSE())</f>
        <v>17</v>
      </c>
      <c r="F1966" s="32" t="n">
        <f aca="false">VLOOKUP($A1966,'Order Sales'!$A$2:$G$2154,F$1,FALSE())</f>
        <v>5481.19</v>
      </c>
      <c r="G1966" s="32" t="str">
        <f aca="false">VLOOKUP($A1966,'Order Sales'!$A$2:$G$2154,G$1,FALSE())</f>
        <v>Consumer</v>
      </c>
    </row>
    <row r="1967" customFormat="false" ht="14.25" hidden="false" customHeight="false" outlineLevel="0" collapsed="false">
      <c r="A1967" s="1" t="n">
        <v>2951</v>
      </c>
      <c r="B1967" s="30" t="n">
        <v>43281</v>
      </c>
      <c r="C1967" s="30" t="n">
        <v>45089</v>
      </c>
      <c r="D1967" s="31" t="n">
        <f aca="false">VLOOKUP(A1967,'Order Shipping'!$A$2:$C$2000,3,FALSE())</f>
        <v>6.2</v>
      </c>
      <c r="E1967" s="32" t="n">
        <f aca="false">VLOOKUP($A1967,'Order Sales'!$A$2:$G$2154,E$1,FALSE())</f>
        <v>30</v>
      </c>
      <c r="F1967" s="32" t="n">
        <f aca="false">VLOOKUP($A1967,'Order Sales'!$A$2:$G$2154,F$1,FALSE())</f>
        <v>1640.8</v>
      </c>
      <c r="G1967" s="32" t="str">
        <f aca="false">VLOOKUP($A1967,'Order Sales'!$A$2:$G$2154,G$1,FALSE())</f>
        <v>Home Office</v>
      </c>
    </row>
    <row r="1968" customFormat="false" ht="14.25" hidden="false" customHeight="false" outlineLevel="0" collapsed="false">
      <c r="A1968" s="1" t="n">
        <v>1743</v>
      </c>
      <c r="B1968" s="30" t="n">
        <v>43443</v>
      </c>
      <c r="C1968" s="30" t="n">
        <v>45090</v>
      </c>
      <c r="D1968" s="31" t="n">
        <f aca="false">VLOOKUP(A1968,'Order Shipping'!$A$2:$C$2000,3,FALSE())</f>
        <v>52.4</v>
      </c>
      <c r="E1968" s="32" t="n">
        <f aca="false">VLOOKUP($A1968,'Order Sales'!$A$2:$G$2154,E$1,FALSE())</f>
        <v>20</v>
      </c>
      <c r="F1968" s="32" t="n">
        <f aca="false">VLOOKUP($A1968,'Order Sales'!$A$2:$G$2154,F$1,FALSE())</f>
        <v>150.2</v>
      </c>
      <c r="G1968" s="32" t="str">
        <f aca="false">VLOOKUP($A1968,'Order Sales'!$A$2:$G$2154,G$1,FALSE())</f>
        <v>Home Office</v>
      </c>
    </row>
    <row r="1969" customFormat="false" ht="14.25" hidden="false" customHeight="false" outlineLevel="0" collapsed="false">
      <c r="A1969" s="1" t="n">
        <v>2387</v>
      </c>
      <c r="B1969" s="30" t="n">
        <v>43246</v>
      </c>
      <c r="C1969" s="30" t="n">
        <v>45091</v>
      </c>
      <c r="D1969" s="31" t="n">
        <f aca="false">VLOOKUP(A1969,'Order Shipping'!$A$2:$C$2000,3,FALSE())</f>
        <v>9.3</v>
      </c>
      <c r="E1969" s="32" t="n">
        <f aca="false">VLOOKUP($A1969,'Order Sales'!$A$2:$G$2154,E$1,FALSE())</f>
        <v>48</v>
      </c>
      <c r="F1969" s="32" t="n">
        <f aca="false">VLOOKUP($A1969,'Order Sales'!$A$2:$G$2154,F$1,FALSE())</f>
        <v>895.15</v>
      </c>
      <c r="G1969" s="32" t="str">
        <f aca="false">VLOOKUP($A1969,'Order Sales'!$A$2:$G$2154,G$1,FALSE())</f>
        <v>Home Office</v>
      </c>
    </row>
    <row r="1970" customFormat="false" ht="14.25" hidden="false" customHeight="false" outlineLevel="0" collapsed="false">
      <c r="A1970" s="1" t="n">
        <v>2348</v>
      </c>
      <c r="B1970" s="30" t="n">
        <v>43194</v>
      </c>
      <c r="C1970" s="30" t="n">
        <v>45092</v>
      </c>
      <c r="D1970" s="31" t="n">
        <f aca="false">VLOOKUP(A1970,'Order Shipping'!$A$2:$C$2000,3,FALSE())</f>
        <v>6.1</v>
      </c>
      <c r="E1970" s="32" t="n">
        <f aca="false">VLOOKUP($A1970,'Order Sales'!$A$2:$G$2154,E$1,FALSE())</f>
        <v>23</v>
      </c>
      <c r="F1970" s="32" t="n">
        <f aca="false">VLOOKUP($A1970,'Order Sales'!$A$2:$G$2154,F$1,FALSE())</f>
        <v>276.85</v>
      </c>
      <c r="G1970" s="32" t="str">
        <f aca="false">VLOOKUP($A1970,'Order Sales'!$A$2:$G$2154,G$1,FALSE())</f>
        <v>Home Office</v>
      </c>
    </row>
    <row r="1971" customFormat="false" ht="14.25" hidden="false" customHeight="false" outlineLevel="0" collapsed="false">
      <c r="A1971" s="1" t="n">
        <v>1661</v>
      </c>
      <c r="B1971" s="30" t="n">
        <v>43458</v>
      </c>
      <c r="C1971" s="30" t="n">
        <v>45093</v>
      </c>
      <c r="D1971" s="31" t="n">
        <f aca="false">VLOOKUP(A1971,'Order Shipping'!$A$2:$C$2000,3,FALSE())</f>
        <v>38.6</v>
      </c>
      <c r="E1971" s="32" t="n">
        <f aca="false">VLOOKUP($A1971,'Order Sales'!$A$2:$G$2154,E$1,FALSE())</f>
        <v>10</v>
      </c>
      <c r="F1971" s="32" t="n">
        <f aca="false">VLOOKUP($A1971,'Order Sales'!$A$2:$G$2154,F$1,FALSE())</f>
        <v>1509.7</v>
      </c>
      <c r="G1971" s="32" t="str">
        <f aca="false">VLOOKUP($A1971,'Order Sales'!$A$2:$G$2154,G$1,FALSE())</f>
        <v>Home Office</v>
      </c>
    </row>
    <row r="1972" customFormat="false" ht="14.25" hidden="false" customHeight="false" outlineLevel="0" collapsed="false">
      <c r="A1972" s="1" t="n">
        <v>1629</v>
      </c>
      <c r="B1972" s="30" t="n">
        <v>43155</v>
      </c>
      <c r="C1972" s="30" t="n">
        <v>45094</v>
      </c>
      <c r="D1972" s="31" t="n">
        <f aca="false">VLOOKUP(A1972,'Order Shipping'!$A$2:$C$2000,3,FALSE())</f>
        <v>1.4</v>
      </c>
      <c r="E1972" s="32" t="n">
        <f aca="false">VLOOKUP($A1972,'Order Sales'!$A$2:$G$2154,E$1,FALSE())</f>
        <v>2</v>
      </c>
      <c r="F1972" s="32" t="n">
        <f aca="false">VLOOKUP($A1972,'Order Sales'!$A$2:$G$2154,F$1,FALSE())</f>
        <v>8.54</v>
      </c>
      <c r="G1972" s="32" t="str">
        <f aca="false">VLOOKUP($A1972,'Order Sales'!$A$2:$G$2154,G$1,FALSE())</f>
        <v>Corporate</v>
      </c>
    </row>
    <row r="1973" customFormat="false" ht="14.25" hidden="false" customHeight="false" outlineLevel="0" collapsed="false">
      <c r="A1973" s="1" t="n">
        <v>2555</v>
      </c>
      <c r="B1973" s="30" t="n">
        <v>43397</v>
      </c>
      <c r="C1973" s="30" t="n">
        <v>45095</v>
      </c>
      <c r="D1973" s="31" t="n">
        <f aca="false">VLOOKUP(A1973,'Order Shipping'!$A$2:$C$2000,3,FALSE())</f>
        <v>4.3</v>
      </c>
      <c r="E1973" s="32" t="n">
        <f aca="false">VLOOKUP($A1973,'Order Sales'!$A$2:$G$2154,E$1,FALSE())</f>
        <v>37</v>
      </c>
      <c r="F1973" s="32" t="n">
        <f aca="false">VLOOKUP($A1973,'Order Sales'!$A$2:$G$2154,F$1,FALSE())</f>
        <v>2346.11</v>
      </c>
      <c r="G1973" s="32" t="str">
        <f aca="false">VLOOKUP($A1973,'Order Sales'!$A$2:$G$2154,G$1,FALSE())</f>
        <v>Home Office</v>
      </c>
    </row>
    <row r="1974" customFormat="false" ht="14.25" hidden="false" customHeight="false" outlineLevel="0" collapsed="false">
      <c r="A1974" s="1" t="n">
        <v>1222</v>
      </c>
      <c r="B1974" s="30" t="n">
        <v>43315</v>
      </c>
      <c r="C1974" s="30" t="n">
        <v>45096</v>
      </c>
      <c r="D1974" s="31" t="n">
        <f aca="false">VLOOKUP(A1974,'Order Shipping'!$A$2:$C$2000,3,FALSE())</f>
        <v>1</v>
      </c>
      <c r="E1974" s="32" t="n">
        <f aca="false">VLOOKUP($A1974,'Order Sales'!$A$2:$G$2154,E$1,FALSE())</f>
        <v>41</v>
      </c>
      <c r="F1974" s="32" t="n">
        <f aca="false">VLOOKUP($A1974,'Order Sales'!$A$2:$G$2154,F$1,FALSE())</f>
        <v>136.79</v>
      </c>
      <c r="G1974" s="32" t="str">
        <f aca="false">VLOOKUP($A1974,'Order Sales'!$A$2:$G$2154,G$1,FALSE())</f>
        <v>Small Business</v>
      </c>
    </row>
    <row r="1975" customFormat="false" ht="14.25" hidden="false" customHeight="false" outlineLevel="0" collapsed="false">
      <c r="A1975" s="1" t="n">
        <v>1094</v>
      </c>
      <c r="B1975" s="30" t="n">
        <v>43349</v>
      </c>
      <c r="C1975" s="30" t="n">
        <v>45097</v>
      </c>
      <c r="D1975" s="31" t="n">
        <f aca="false">VLOOKUP(A1975,'Order Shipping'!$A$2:$C$2000,3,FALSE())</f>
        <v>0.5</v>
      </c>
      <c r="E1975" s="32" t="n">
        <f aca="false">VLOOKUP($A1975,'Order Sales'!$A$2:$G$2154,E$1,FALSE())</f>
        <v>16</v>
      </c>
      <c r="F1975" s="32" t="n">
        <f aca="false">VLOOKUP($A1975,'Order Sales'!$A$2:$G$2154,F$1,FALSE())</f>
        <v>51.76</v>
      </c>
      <c r="G1975" s="32" t="str">
        <f aca="false">VLOOKUP($A1975,'Order Sales'!$A$2:$G$2154,G$1,FALSE())</f>
        <v>Small Business</v>
      </c>
    </row>
    <row r="1976" customFormat="false" ht="14.25" hidden="false" customHeight="false" outlineLevel="0" collapsed="false">
      <c r="A1976" s="1" t="n">
        <v>2816</v>
      </c>
      <c r="B1976" s="30" t="n">
        <v>43136</v>
      </c>
      <c r="C1976" s="30" t="n">
        <v>45098</v>
      </c>
      <c r="D1976" s="31" t="n">
        <f aca="false">VLOOKUP(A1976,'Order Shipping'!$A$2:$C$2000,3,FALSE())</f>
        <v>14.9</v>
      </c>
      <c r="E1976" s="32" t="n">
        <f aca="false">VLOOKUP($A1976,'Order Sales'!$A$2:$G$2154,E$1,FALSE())</f>
        <v>2</v>
      </c>
      <c r="F1976" s="32" t="n">
        <f aca="false">VLOOKUP($A1976,'Order Sales'!$A$2:$G$2154,F$1,FALSE())</f>
        <v>93</v>
      </c>
      <c r="G1976" s="32" t="str">
        <f aca="false">VLOOKUP($A1976,'Order Sales'!$A$2:$G$2154,G$1,FALSE())</f>
        <v>Consumer</v>
      </c>
    </row>
    <row r="1977" customFormat="false" ht="14.25" hidden="false" customHeight="false" outlineLevel="0" collapsed="false">
      <c r="A1977" s="1" t="n">
        <v>1635</v>
      </c>
      <c r="B1977" s="30" t="n">
        <v>43223</v>
      </c>
      <c r="C1977" s="30" t="n">
        <v>45099</v>
      </c>
      <c r="D1977" s="31" t="n">
        <f aca="false">VLOOKUP(A1977,'Order Shipping'!$A$2:$C$2000,3,FALSE())</f>
        <v>48.7</v>
      </c>
      <c r="E1977" s="32" t="n">
        <f aca="false">VLOOKUP($A1977,'Order Sales'!$A$2:$G$2154,E$1,FALSE())</f>
        <v>36</v>
      </c>
      <c r="F1977" s="32" t="n">
        <f aca="false">VLOOKUP($A1977,'Order Sales'!$A$2:$G$2154,F$1,FALSE())</f>
        <v>1171.77</v>
      </c>
      <c r="G1977" s="32" t="str">
        <f aca="false">VLOOKUP($A1977,'Order Sales'!$A$2:$G$2154,G$1,FALSE())</f>
        <v>Consumer</v>
      </c>
    </row>
    <row r="1978" customFormat="false" ht="14.25" hidden="false" customHeight="false" outlineLevel="0" collapsed="false">
      <c r="A1978" s="1" t="n">
        <v>1276</v>
      </c>
      <c r="B1978" s="30" t="n">
        <v>43394</v>
      </c>
      <c r="C1978" s="30" t="n">
        <v>45100</v>
      </c>
      <c r="D1978" s="31" t="n">
        <f aca="false">VLOOKUP(A1978,'Order Shipping'!$A$2:$C$2000,3,FALSE())</f>
        <v>5.4</v>
      </c>
      <c r="E1978" s="32" t="n">
        <f aca="false">VLOOKUP($A1978,'Order Sales'!$A$2:$G$2154,E$1,FALSE())</f>
        <v>5</v>
      </c>
      <c r="F1978" s="32" t="n">
        <f aca="false">VLOOKUP($A1978,'Order Sales'!$A$2:$G$2154,F$1,FALSE())</f>
        <v>236.24</v>
      </c>
      <c r="G1978" s="32" t="str">
        <f aca="false">VLOOKUP($A1978,'Order Sales'!$A$2:$G$2154,G$1,FALSE())</f>
        <v>Home Office</v>
      </c>
    </row>
    <row r="1979" customFormat="false" ht="14.25" hidden="false" customHeight="false" outlineLevel="0" collapsed="false">
      <c r="A1979" s="1" t="n">
        <v>2855</v>
      </c>
      <c r="B1979" s="30" t="n">
        <v>43301</v>
      </c>
      <c r="C1979" s="30" t="n">
        <v>45101</v>
      </c>
      <c r="D1979" s="31" t="n">
        <f aca="false">VLOOKUP(A1979,'Order Shipping'!$A$2:$C$2000,3,FALSE())</f>
        <v>70.9</v>
      </c>
      <c r="E1979" s="32" t="n">
        <f aca="false">VLOOKUP($A1979,'Order Sales'!$A$2:$G$2154,E$1,FALSE())</f>
        <v>29</v>
      </c>
      <c r="F1979" s="32" t="n">
        <f aca="false">VLOOKUP($A1979,'Order Sales'!$A$2:$G$2154,F$1,FALSE())</f>
        <v>4498.15</v>
      </c>
      <c r="G1979" s="32" t="str">
        <f aca="false">VLOOKUP($A1979,'Order Sales'!$A$2:$G$2154,G$1,FALSE())</f>
        <v>Home Office</v>
      </c>
    </row>
    <row r="1980" customFormat="false" ht="14.25" hidden="false" customHeight="false" outlineLevel="0" collapsed="false">
      <c r="A1980" s="1" t="n">
        <v>1385</v>
      </c>
      <c r="B1980" s="30" t="n">
        <v>43413</v>
      </c>
      <c r="C1980" s="30" t="n">
        <v>45102</v>
      </c>
      <c r="D1980" s="31" t="n">
        <f aca="false">VLOOKUP(A1980,'Order Shipping'!$A$2:$C$2000,3,FALSE())</f>
        <v>9.6</v>
      </c>
      <c r="E1980" s="32" t="n">
        <f aca="false">VLOOKUP($A1980,'Order Sales'!$A$2:$G$2154,E$1,FALSE())</f>
        <v>1</v>
      </c>
      <c r="F1980" s="32" t="n">
        <f aca="false">VLOOKUP($A1980,'Order Sales'!$A$2:$G$2154,F$1,FALSE())</f>
        <v>65.77</v>
      </c>
      <c r="G1980" s="32" t="str">
        <f aca="false">VLOOKUP($A1980,'Order Sales'!$A$2:$G$2154,G$1,FALSE())</f>
        <v>Home Office</v>
      </c>
    </row>
    <row r="1981" customFormat="false" ht="14.25" hidden="false" customHeight="false" outlineLevel="0" collapsed="false">
      <c r="A1981" s="1" t="n">
        <v>1950</v>
      </c>
      <c r="B1981" s="30" t="n">
        <v>43375</v>
      </c>
      <c r="C1981" s="30" t="n">
        <v>45103</v>
      </c>
      <c r="D1981" s="31" t="n">
        <f aca="false">VLOOKUP(A1981,'Order Shipping'!$A$2:$C$2000,3,FALSE())</f>
        <v>8.3</v>
      </c>
      <c r="E1981" s="32" t="n">
        <f aca="false">VLOOKUP($A1981,'Order Sales'!$A$2:$G$2154,E$1,FALSE())</f>
        <v>50</v>
      </c>
      <c r="F1981" s="32" t="n">
        <f aca="false">VLOOKUP($A1981,'Order Sales'!$A$2:$G$2154,F$1,FALSE())</f>
        <v>442.31</v>
      </c>
      <c r="G1981" s="32" t="str">
        <f aca="false">VLOOKUP($A1981,'Order Sales'!$A$2:$G$2154,G$1,FALSE())</f>
        <v>Home Office</v>
      </c>
    </row>
    <row r="1982" customFormat="false" ht="14.25" hidden="false" customHeight="false" outlineLevel="0" collapsed="false">
      <c r="A1982" s="1" t="n">
        <v>1832</v>
      </c>
      <c r="B1982" s="30" t="n">
        <v>43188</v>
      </c>
      <c r="C1982" s="30" t="n">
        <v>45104</v>
      </c>
      <c r="D1982" s="31" t="n">
        <f aca="false">VLOOKUP(A1982,'Order Shipping'!$A$2:$C$2000,3,FALSE())</f>
        <v>2.7</v>
      </c>
      <c r="E1982" s="32" t="n">
        <f aca="false">VLOOKUP($A1982,'Order Sales'!$A$2:$G$2154,E$1,FALSE())</f>
        <v>42</v>
      </c>
      <c r="F1982" s="32" t="n">
        <f aca="false">VLOOKUP($A1982,'Order Sales'!$A$2:$G$2154,F$1,FALSE())</f>
        <v>4377.53</v>
      </c>
      <c r="G1982" s="32" t="str">
        <f aca="false">VLOOKUP($A1982,'Order Sales'!$A$2:$G$2154,G$1,FALSE())</f>
        <v>Small Business</v>
      </c>
    </row>
    <row r="1983" customFormat="false" ht="14.25" hidden="false" customHeight="false" outlineLevel="0" collapsed="false">
      <c r="A1983" s="1" t="n">
        <v>1429</v>
      </c>
      <c r="B1983" s="30" t="n">
        <v>43110</v>
      </c>
      <c r="C1983" s="30" t="n">
        <v>45105</v>
      </c>
      <c r="D1983" s="31" t="n">
        <f aca="false">VLOOKUP(A1983,'Order Shipping'!$A$2:$C$2000,3,FALSE())</f>
        <v>8.4</v>
      </c>
      <c r="E1983" s="32" t="n">
        <f aca="false">VLOOKUP($A1983,'Order Sales'!$A$2:$G$2154,E$1,FALSE())</f>
        <v>19</v>
      </c>
      <c r="F1983" s="32" t="n">
        <f aca="false">VLOOKUP($A1983,'Order Sales'!$A$2:$G$2154,F$1,FALSE())</f>
        <v>139.82</v>
      </c>
      <c r="G1983" s="32" t="str">
        <f aca="false">VLOOKUP($A1983,'Order Sales'!$A$2:$G$2154,G$1,FALSE())</f>
        <v>Corporate</v>
      </c>
    </row>
    <row r="1984" customFormat="false" ht="14.25" hidden="false" customHeight="false" outlineLevel="0" collapsed="false">
      <c r="A1984" s="1" t="n">
        <v>2552</v>
      </c>
      <c r="B1984" s="30" t="n">
        <v>43389</v>
      </c>
      <c r="C1984" s="30" t="n">
        <v>45106</v>
      </c>
      <c r="D1984" s="31" t="n">
        <f aca="false">VLOOKUP(A1984,'Order Shipping'!$A$2:$C$2000,3,FALSE())</f>
        <v>38.3</v>
      </c>
      <c r="E1984" s="32" t="n">
        <f aca="false">VLOOKUP($A1984,'Order Sales'!$A$2:$G$2154,E$1,FALSE())</f>
        <v>42</v>
      </c>
      <c r="F1984" s="32" t="n">
        <f aca="false">VLOOKUP($A1984,'Order Sales'!$A$2:$G$2154,F$1,FALSE())</f>
        <v>4651.27</v>
      </c>
      <c r="G1984" s="32" t="str">
        <f aca="false">VLOOKUP($A1984,'Order Sales'!$A$2:$G$2154,G$1,FALSE())</f>
        <v>Home Office</v>
      </c>
    </row>
    <row r="1985" customFormat="false" ht="14.25" hidden="false" customHeight="false" outlineLevel="0" collapsed="false">
      <c r="A1985" s="1" t="n">
        <v>1668</v>
      </c>
      <c r="B1985" s="30" t="n">
        <v>43439</v>
      </c>
      <c r="C1985" s="30" t="n">
        <v>45107</v>
      </c>
      <c r="D1985" s="31" t="n">
        <f aca="false">VLOOKUP(A1985,'Order Shipping'!$A$2:$C$2000,3,FALSE())</f>
        <v>5.3</v>
      </c>
      <c r="E1985" s="32" t="n">
        <f aca="false">VLOOKUP($A1985,'Order Sales'!$A$2:$G$2154,E$1,FALSE())</f>
        <v>19</v>
      </c>
      <c r="F1985" s="32" t="n">
        <f aca="false">VLOOKUP($A1985,'Order Sales'!$A$2:$G$2154,F$1,FALSE())</f>
        <v>269.05</v>
      </c>
      <c r="G1985" s="32" t="str">
        <f aca="false">VLOOKUP($A1985,'Order Sales'!$A$2:$G$2154,G$1,FALSE())</f>
        <v>Corporate</v>
      </c>
    </row>
    <row r="1986" customFormat="false" ht="14.25" hidden="false" customHeight="false" outlineLevel="0" collapsed="false">
      <c r="A1986" s="1" t="n">
        <v>2279</v>
      </c>
      <c r="B1986" s="30" t="n">
        <v>43328</v>
      </c>
      <c r="C1986" s="30" t="n">
        <v>45108</v>
      </c>
      <c r="D1986" s="31" t="n">
        <f aca="false">VLOOKUP(A1986,'Order Shipping'!$A$2:$C$2000,3,FALSE())</f>
        <v>7.9</v>
      </c>
      <c r="E1986" s="32" t="n">
        <f aca="false">VLOOKUP($A1986,'Order Sales'!$A$2:$G$2154,E$1,FALSE())</f>
        <v>15</v>
      </c>
      <c r="F1986" s="32" t="n">
        <f aca="false">VLOOKUP($A1986,'Order Sales'!$A$2:$G$2154,F$1,FALSE())</f>
        <v>112.86</v>
      </c>
      <c r="G1986" s="32" t="str">
        <f aca="false">VLOOKUP($A1986,'Order Sales'!$A$2:$G$2154,G$1,FALSE())</f>
        <v>Corporate</v>
      </c>
    </row>
    <row r="1987" customFormat="false" ht="14.25" hidden="false" customHeight="false" outlineLevel="0" collapsed="false">
      <c r="A1987" s="1" t="n">
        <v>1851</v>
      </c>
      <c r="B1987" s="30" t="n">
        <v>43266</v>
      </c>
      <c r="C1987" s="30" t="n">
        <v>45109</v>
      </c>
      <c r="D1987" s="31" t="n">
        <f aca="false">VLOOKUP(A1987,'Order Shipping'!$A$2:$C$2000,3,FALSE())</f>
        <v>8.9</v>
      </c>
      <c r="E1987" s="32" t="n">
        <f aca="false">VLOOKUP($A1987,'Order Sales'!$A$2:$G$2154,E$1,FALSE())</f>
        <v>44</v>
      </c>
      <c r="F1987" s="32" t="n">
        <f aca="false">VLOOKUP($A1987,'Order Sales'!$A$2:$G$2154,F$1,FALSE())</f>
        <v>390.81</v>
      </c>
      <c r="G1987" s="32" t="str">
        <f aca="false">VLOOKUP($A1987,'Order Sales'!$A$2:$G$2154,G$1,FALSE())</f>
        <v>Home Office</v>
      </c>
    </row>
    <row r="1988" customFormat="false" ht="14.25" hidden="false" customHeight="false" outlineLevel="0" collapsed="false">
      <c r="A1988" s="1" t="n">
        <v>1172</v>
      </c>
      <c r="B1988" s="30" t="n">
        <v>43200</v>
      </c>
      <c r="C1988" s="30" t="n">
        <v>45110</v>
      </c>
      <c r="D1988" s="31" t="n">
        <f aca="false">VLOOKUP(A1988,'Order Shipping'!$A$2:$C$2000,3,FALSE())</f>
        <v>6.4</v>
      </c>
      <c r="E1988" s="32" t="n">
        <f aca="false">VLOOKUP($A1988,'Order Sales'!$A$2:$G$2154,E$1,FALSE())</f>
        <v>38</v>
      </c>
      <c r="F1988" s="32" t="n">
        <f aca="false">VLOOKUP($A1988,'Order Sales'!$A$2:$G$2154,F$1,FALSE())</f>
        <v>4088.51</v>
      </c>
      <c r="G1988" s="32" t="str">
        <f aca="false">VLOOKUP($A1988,'Order Sales'!$A$2:$G$2154,G$1,FALSE())</f>
        <v>Corporate</v>
      </c>
    </row>
    <row r="1989" customFormat="false" ht="14.25" hidden="false" customHeight="false" outlineLevel="0" collapsed="false">
      <c r="A1989" s="1" t="n">
        <v>2785</v>
      </c>
      <c r="B1989" s="30" t="n">
        <v>43260</v>
      </c>
      <c r="C1989" s="30" t="n">
        <v>45111</v>
      </c>
      <c r="D1989" s="31" t="n">
        <f aca="false">VLOOKUP(A1989,'Order Shipping'!$A$2:$C$2000,3,FALSE())</f>
        <v>5.4</v>
      </c>
      <c r="E1989" s="32" t="n">
        <f aca="false">VLOOKUP($A1989,'Order Sales'!$A$2:$G$2154,E$1,FALSE())</f>
        <v>41</v>
      </c>
      <c r="F1989" s="32" t="n">
        <f aca="false">VLOOKUP($A1989,'Order Sales'!$A$2:$G$2154,F$1,FALSE())</f>
        <v>253.25</v>
      </c>
      <c r="G1989" s="32" t="str">
        <f aca="false">VLOOKUP($A1989,'Order Sales'!$A$2:$G$2154,G$1,FALSE())</f>
        <v>Small Business</v>
      </c>
    </row>
    <row r="1990" customFormat="false" ht="14.25" hidden="false" customHeight="false" outlineLevel="0" collapsed="false">
      <c r="A1990" s="1" t="n">
        <v>2718</v>
      </c>
      <c r="B1990" s="30" t="n">
        <v>43236</v>
      </c>
      <c r="C1990" s="30" t="n">
        <v>45112</v>
      </c>
      <c r="D1990" s="31" t="n">
        <f aca="false">VLOOKUP(A1990,'Order Shipping'!$A$2:$C$2000,3,FALSE())</f>
        <v>6</v>
      </c>
      <c r="E1990" s="32" t="n">
        <f aca="false">VLOOKUP($A1990,'Order Sales'!$A$2:$G$2154,E$1,FALSE())</f>
        <v>5</v>
      </c>
      <c r="F1990" s="32" t="n">
        <f aca="false">VLOOKUP($A1990,'Order Sales'!$A$2:$G$2154,F$1,FALSE())</f>
        <v>538.56</v>
      </c>
      <c r="G1990" s="32" t="str">
        <f aca="false">VLOOKUP($A1990,'Order Sales'!$A$2:$G$2154,G$1,FALSE())</f>
        <v>Corporate</v>
      </c>
    </row>
    <row r="1991" customFormat="false" ht="14.25" hidden="false" customHeight="false" outlineLevel="0" collapsed="false">
      <c r="A1991" s="1" t="n">
        <v>1596</v>
      </c>
      <c r="B1991" s="30" t="n">
        <v>43224</v>
      </c>
      <c r="C1991" s="30" t="n">
        <v>45113</v>
      </c>
      <c r="D1991" s="31" t="n">
        <f aca="false">VLOOKUP(A1991,'Order Shipping'!$A$2:$C$2000,3,FALSE())</f>
        <v>3</v>
      </c>
      <c r="E1991" s="32" t="n">
        <f aca="false">VLOOKUP($A1991,'Order Sales'!$A$2:$G$2154,E$1,FALSE())</f>
        <v>13</v>
      </c>
      <c r="F1991" s="32" t="n">
        <f aca="false">VLOOKUP($A1991,'Order Sales'!$A$2:$G$2154,F$1,FALSE())</f>
        <v>993.93</v>
      </c>
      <c r="G1991" s="32" t="str">
        <f aca="false">VLOOKUP($A1991,'Order Sales'!$A$2:$G$2154,G$1,FALSE())</f>
        <v>Consumer</v>
      </c>
    </row>
    <row r="1992" customFormat="false" ht="14.25" hidden="false" customHeight="false" outlineLevel="0" collapsed="false">
      <c r="A1992" s="1" t="n">
        <v>1056</v>
      </c>
      <c r="B1992" s="30" t="n">
        <v>43409</v>
      </c>
      <c r="C1992" s="30" t="n">
        <v>45114</v>
      </c>
      <c r="D1992" s="31" t="n">
        <f aca="false">VLOOKUP(A1992,'Order Shipping'!$A$2:$C$2000,3,FALSE())</f>
        <v>64.2</v>
      </c>
      <c r="E1992" s="32" t="n">
        <f aca="false">VLOOKUP($A1992,'Order Sales'!$A$2:$G$2154,E$1,FALSE())</f>
        <v>35</v>
      </c>
      <c r="F1992" s="32" t="n">
        <f aca="false">VLOOKUP($A1992,'Order Sales'!$A$2:$G$2154,F$1,FALSE())</f>
        <v>3780.27</v>
      </c>
      <c r="G1992" s="32" t="str">
        <f aca="false">VLOOKUP($A1992,'Order Sales'!$A$2:$G$2154,G$1,FALSE())</f>
        <v>Home Office</v>
      </c>
    </row>
    <row r="1993" customFormat="false" ht="14.25" hidden="false" customHeight="false" outlineLevel="0" collapsed="false">
      <c r="A1993" s="1" t="n">
        <v>2656</v>
      </c>
      <c r="B1993" s="30" t="n">
        <v>43250</v>
      </c>
      <c r="C1993" s="30" t="n">
        <v>45115</v>
      </c>
      <c r="D1993" s="31" t="n">
        <f aca="false">VLOOKUP(A1993,'Order Shipping'!$A$2:$C$2000,3,FALSE())</f>
        <v>37.5</v>
      </c>
      <c r="E1993" s="32" t="n">
        <f aca="false">VLOOKUP($A1993,'Order Sales'!$A$2:$G$2154,E$1,FALSE())</f>
        <v>32</v>
      </c>
      <c r="F1993" s="32" t="n">
        <f aca="false">VLOOKUP($A1993,'Order Sales'!$A$2:$G$2154,F$1,FALSE())</f>
        <v>2112.89</v>
      </c>
      <c r="G1993" s="32" t="str">
        <f aca="false">VLOOKUP($A1993,'Order Sales'!$A$2:$G$2154,G$1,FALSE())</f>
        <v>Small Business</v>
      </c>
    </row>
    <row r="1994" customFormat="false" ht="14.25" hidden="false" customHeight="false" outlineLevel="0" collapsed="false">
      <c r="A1994" s="1" t="n">
        <v>1922</v>
      </c>
      <c r="B1994" s="30" t="n">
        <v>43361</v>
      </c>
      <c r="C1994" s="30" t="n">
        <v>45116</v>
      </c>
      <c r="D1994" s="31" t="n">
        <f aca="false">VLOOKUP(A1994,'Order Shipping'!$A$2:$C$2000,3,FALSE())</f>
        <v>6.7</v>
      </c>
      <c r="E1994" s="32" t="n">
        <f aca="false">VLOOKUP($A1994,'Order Sales'!$A$2:$G$2154,E$1,FALSE())</f>
        <v>12</v>
      </c>
      <c r="F1994" s="32" t="n">
        <f aca="false">VLOOKUP($A1994,'Order Sales'!$A$2:$G$2154,F$1,FALSE())</f>
        <v>101.14</v>
      </c>
      <c r="G1994" s="32" t="str">
        <f aca="false">VLOOKUP($A1994,'Order Sales'!$A$2:$G$2154,G$1,FALSE())</f>
        <v>Consumer</v>
      </c>
    </row>
    <row r="1995" customFormat="false" ht="14.25" hidden="false" customHeight="false" outlineLevel="0" collapsed="false">
      <c r="A1995" s="1" t="n">
        <v>1082</v>
      </c>
      <c r="B1995" s="30" t="n">
        <v>43219</v>
      </c>
      <c r="C1995" s="30" t="n">
        <v>45117</v>
      </c>
      <c r="D1995" s="31" t="n">
        <f aca="false">VLOOKUP(A1995,'Order Shipping'!$A$2:$C$2000,3,FALSE())</f>
        <v>7.7</v>
      </c>
      <c r="E1995" s="32" t="n">
        <f aca="false">VLOOKUP($A1995,'Order Sales'!$A$2:$G$2154,E$1,FALSE())</f>
        <v>7</v>
      </c>
      <c r="F1995" s="32" t="n">
        <f aca="false">VLOOKUP($A1995,'Order Sales'!$A$2:$G$2154,F$1,FALSE())</f>
        <v>87.8</v>
      </c>
      <c r="G1995" s="32" t="str">
        <f aca="false">VLOOKUP($A1995,'Order Sales'!$A$2:$G$2154,G$1,FALSE())</f>
        <v>Home Office</v>
      </c>
    </row>
    <row r="1996" customFormat="false" ht="14.25" hidden="false" customHeight="false" outlineLevel="0" collapsed="false">
      <c r="A1996" s="1" t="n">
        <v>1976</v>
      </c>
      <c r="B1996" s="30" t="n">
        <v>43374</v>
      </c>
      <c r="C1996" s="30" t="n">
        <v>45118</v>
      </c>
      <c r="D1996" s="31" t="n">
        <f aca="false">VLOOKUP(A1996,'Order Shipping'!$A$2:$C$2000,3,FALSE())</f>
        <v>17.2</v>
      </c>
      <c r="E1996" s="32" t="n">
        <f aca="false">VLOOKUP($A1996,'Order Sales'!$A$2:$G$2154,E$1,FALSE())</f>
        <v>20</v>
      </c>
      <c r="F1996" s="32" t="n">
        <f aca="false">VLOOKUP($A1996,'Order Sales'!$A$2:$G$2154,F$1,FALSE())</f>
        <v>16803.09</v>
      </c>
      <c r="G1996" s="32" t="str">
        <f aca="false">VLOOKUP($A1996,'Order Sales'!$A$2:$G$2154,G$1,FALSE())</f>
        <v>Corporate</v>
      </c>
    </row>
    <row r="1997" customFormat="false" ht="14.25" hidden="false" customHeight="false" outlineLevel="0" collapsed="false">
      <c r="A1997" s="1" t="n">
        <v>2284</v>
      </c>
      <c r="B1997" s="30" t="n">
        <v>43438</v>
      </c>
      <c r="C1997" s="30" t="n">
        <v>45119</v>
      </c>
      <c r="D1997" s="31" t="n">
        <f aca="false">VLOOKUP(A1997,'Order Shipping'!$A$2:$C$2000,3,FALSE())</f>
        <v>2.4</v>
      </c>
      <c r="E1997" s="32" t="n">
        <f aca="false">VLOOKUP($A1997,'Order Sales'!$A$2:$G$2154,E$1,FALSE())</f>
        <v>26</v>
      </c>
      <c r="F1997" s="32" t="n">
        <f aca="false">VLOOKUP($A1997,'Order Sales'!$A$2:$G$2154,F$1,FALSE())</f>
        <v>126.72</v>
      </c>
      <c r="G1997" s="32" t="str">
        <f aca="false">VLOOKUP($A1997,'Order Sales'!$A$2:$G$2154,G$1,FALSE())</f>
        <v>Home Office</v>
      </c>
    </row>
    <row r="1998" customFormat="false" ht="14.25" hidden="false" customHeight="false" outlineLevel="0" collapsed="false">
      <c r="A1998" s="1" t="n">
        <v>2330</v>
      </c>
      <c r="B1998" s="30" t="n">
        <v>43168</v>
      </c>
      <c r="C1998" s="30" t="n">
        <v>45120</v>
      </c>
      <c r="D1998" s="31" t="n">
        <f aca="false">VLOOKUP(A1998,'Order Shipping'!$A$2:$C$2000,3,FALSE())</f>
        <v>5.2</v>
      </c>
      <c r="E1998" s="32" t="n">
        <f aca="false">VLOOKUP($A1998,'Order Sales'!$A$2:$G$2154,E$1,FALSE())</f>
        <v>47</v>
      </c>
      <c r="F1998" s="32" t="n">
        <f aca="false">VLOOKUP($A1998,'Order Sales'!$A$2:$G$2154,F$1,FALSE())</f>
        <v>645.95</v>
      </c>
      <c r="G1998" s="32" t="str">
        <f aca="false">VLOOKUP($A1998,'Order Sales'!$A$2:$G$2154,G$1,FALSE())</f>
        <v>Consumer</v>
      </c>
    </row>
    <row r="1999" customFormat="false" ht="14.25" hidden="false" customHeight="false" outlineLevel="0" collapsed="false">
      <c r="A1999" s="1" t="n">
        <v>2544</v>
      </c>
      <c r="B1999" s="30" t="n">
        <v>43257</v>
      </c>
      <c r="C1999" s="30" t="n">
        <v>45121</v>
      </c>
      <c r="D1999" s="31" t="n">
        <f aca="false">VLOOKUP(A1999,'Order Shipping'!$A$2:$C$2000,3,FALSE())</f>
        <v>15.5</v>
      </c>
      <c r="E1999" s="32" t="n">
        <f aca="false">VLOOKUP($A1999,'Order Sales'!$A$2:$G$2154,E$1,FALSE())</f>
        <v>32</v>
      </c>
      <c r="F1999" s="32" t="n">
        <f aca="false">VLOOKUP($A1999,'Order Sales'!$A$2:$G$2154,F$1,FALSE())</f>
        <v>2136.93</v>
      </c>
      <c r="G1999" s="32" t="str">
        <f aca="false">VLOOKUP($A1999,'Order Sales'!$A$2:$G$2154,G$1,FALSE())</f>
        <v>Corporate</v>
      </c>
    </row>
    <row r="2000" customFormat="false" ht="14.25" hidden="false" customHeight="false" outlineLevel="0" collapsed="false">
      <c r="A2000" s="1" t="n">
        <v>2343</v>
      </c>
      <c r="B2000" s="30" t="n">
        <v>43298</v>
      </c>
      <c r="C2000" s="30" t="n">
        <v>45122</v>
      </c>
      <c r="D2000" s="31" t="n">
        <f aca="false">VLOOKUP(A2000,'Order Shipping'!$A$2:$C$2000,3,FALSE())</f>
        <v>4.3</v>
      </c>
      <c r="E2000" s="32" t="n">
        <f aca="false">VLOOKUP($A2000,'Order Sales'!$A$2:$G$2154,E$1,FALSE())</f>
        <v>39</v>
      </c>
      <c r="F2000" s="32" t="n">
        <f aca="false">VLOOKUP($A2000,'Order Sales'!$A$2:$G$2154,F$1,FALSE())</f>
        <v>2345.91</v>
      </c>
      <c r="G2000" s="32" t="str">
        <f aca="false">VLOOKUP($A2000,'Order Sales'!$A$2:$G$2154,G$1,FALSE())</f>
        <v>Consumer</v>
      </c>
    </row>
    <row r="2001" s="33" customFormat="true" ht="14.25" hidden="false" customHeight="false" outlineLevel="0" collapsed="false">
      <c r="A2001" s="33" t="n">
        <v>1470</v>
      </c>
      <c r="B2001" s="30" t="n">
        <v>43245</v>
      </c>
      <c r="C2001" s="30" t="n">
        <v>45123</v>
      </c>
      <c r="D2001" s="31" t="n">
        <f aca="false">VLOOKUP(A2001,'Order Shipping'!$A$2:$C$2000,3,FALSE())</f>
        <v>8</v>
      </c>
      <c r="E2001" s="32" t="n">
        <f aca="false">VLOOKUP($A2001,'Order Sales'!$A$2:$G$2154,E$1,FALSE())</f>
        <v>42</v>
      </c>
      <c r="F2001" s="32" t="n">
        <f aca="false">VLOOKUP($A2001,'Order Sales'!$A$2:$G$2154,F$1,FALSE())</f>
        <v>306.8</v>
      </c>
      <c r="G2001" s="32" t="str">
        <f aca="false">VLOOKUP($A2001,'Order Sales'!$A$2:$G$2154,G$1,FALSE())</f>
        <v>Corporate</v>
      </c>
    </row>
    <row r="2002" s="33" customFormat="true" ht="14.25" hidden="false" customHeight="false" outlineLevel="0" collapsed="false"/>
    <row r="2003" s="33" customFormat="true" ht="14.25" hidden="false" customHeight="false" outlineLevel="0" collapsed="false"/>
    <row r="2004" s="33" customFormat="true" ht="14.25" hidden="false" customHeight="false" outlineLevel="0" collapsed="false"/>
    <row r="2005" s="33" customFormat="true" ht="14.25" hidden="false" customHeight="false" outlineLevel="0" collapsed="false"/>
    <row r="2006" s="33" customFormat="true" ht="14.25" hidden="false" customHeight="false" outlineLevel="0" collapsed="false"/>
    <row r="2007" s="33" customFormat="true" ht="14.25" hidden="false" customHeight="false" outlineLevel="0" collapsed="false"/>
    <row r="2008" s="33" customFormat="true" ht="14.25" hidden="false" customHeight="false" outlineLevel="0" collapsed="false"/>
    <row r="2009" s="33" customFormat="true" ht="14.25" hidden="false" customHeight="false" outlineLevel="0" collapsed="false"/>
    <row r="2010" s="33" customFormat="true" ht="14.25" hidden="false" customHeight="false" outlineLevel="0" collapsed="false"/>
    <row r="2011" s="33" customFormat="true" ht="14.25" hidden="false" customHeight="false" outlineLevel="0" collapsed="false"/>
    <row r="2012" s="33" customFormat="true" ht="14.25" hidden="false" customHeight="false" outlineLevel="0" collapsed="false"/>
    <row r="2013" s="33" customFormat="true" ht="14.25" hidden="false" customHeight="false" outlineLevel="0" collapsed="false"/>
    <row r="2014" s="33" customFormat="true" ht="14.25" hidden="false" customHeight="false" outlineLevel="0" collapsed="false"/>
    <row r="2015" s="33" customFormat="true" ht="14.25" hidden="false" customHeight="false" outlineLevel="0" collapsed="false"/>
    <row r="2016" s="33" customFormat="true" ht="14.25" hidden="false" customHeight="false" outlineLevel="0" collapsed="false"/>
    <row r="2017" s="33" customFormat="true" ht="14.25" hidden="false" customHeight="false" outlineLevel="0" collapsed="false"/>
    <row r="2018" s="33" customFormat="true" ht="14.25" hidden="false" customHeight="false" outlineLevel="0" collapsed="false"/>
    <row r="2019" customFormat="false" ht="14.25" hidden="false" customHeight="false" outlineLevel="0" collapsed="false">
      <c r="A2019" s="33"/>
      <c r="B2019" s="33"/>
      <c r="C2019" s="33"/>
      <c r="D2019" s="33"/>
      <c r="E2019" s="33"/>
      <c r="F2019" s="33"/>
      <c r="G2019" s="3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3"/>
  <sheetViews>
    <sheetView showFormulas="false" showGridLines="true" showRowColHeaders="true" showZeros="true" rightToLeft="false" tabSelected="false" showOutlineSymbols="true" defaultGridColor="true" view="normal" topLeftCell="A342" colorId="64" zoomScale="100" zoomScaleNormal="100" zoomScalePageLayoutView="100" workbookViewId="0">
      <selection pane="topLeft" activeCell="D357" activeCellId="0" sqref="D357"/>
    </sheetView>
  </sheetViews>
  <sheetFormatPr defaultColWidth="11.5625" defaultRowHeight="14.25" customHeight="false" zeroHeight="false" outlineLevelRow="0" outlineLevelCol="0"/>
  <sheetData>
    <row r="1" customFormat="false" ht="14.25" hidden="false" customHeight="false" outlineLevel="0" collapsed="false">
      <c r="A1" s="34" t="s">
        <v>2</v>
      </c>
      <c r="B1" s="35" t="s">
        <v>13</v>
      </c>
      <c r="C1" s="1" t="s">
        <v>14</v>
      </c>
      <c r="D1" s="1" t="s">
        <v>15</v>
      </c>
    </row>
    <row r="2" customFormat="false" ht="14.25" hidden="false" customHeight="false" outlineLevel="0" collapsed="false">
      <c r="A2" s="10" t="n">
        <v>43101</v>
      </c>
      <c r="B2" s="36" t="n">
        <v>14306.39</v>
      </c>
      <c r="C2" s="1" t="n">
        <f aca="false">YEAR(A2)</f>
        <v>2018</v>
      </c>
      <c r="D2" s="1" t="n">
        <f aca="false">MONTH(A2)</f>
        <v>1</v>
      </c>
    </row>
    <row r="3" customFormat="false" ht="14.25" hidden="false" customHeight="false" outlineLevel="0" collapsed="false">
      <c r="A3" s="15" t="n">
        <v>43132</v>
      </c>
      <c r="B3" s="37" t="n">
        <v>2762.46</v>
      </c>
      <c r="C3" s="1" t="n">
        <f aca="false">YEAR(A3)</f>
        <v>2018</v>
      </c>
      <c r="D3" s="1" t="n">
        <f aca="false">MONTH(A3)</f>
        <v>2</v>
      </c>
    </row>
    <row r="4" customFormat="false" ht="14.25" hidden="false" customHeight="false" outlineLevel="0" collapsed="false">
      <c r="A4" s="15" t="n">
        <v>43160</v>
      </c>
      <c r="B4" s="37" t="n">
        <v>9931.51</v>
      </c>
      <c r="C4" s="1" t="n">
        <f aca="false">YEAR(A4)</f>
        <v>2018</v>
      </c>
      <c r="D4" s="1" t="n">
        <f aca="false">MONTH(A4)</f>
        <v>3</v>
      </c>
    </row>
    <row r="5" customFormat="false" ht="14.25" hidden="false" customHeight="false" outlineLevel="0" collapsed="false">
      <c r="A5" s="15" t="n">
        <v>43191</v>
      </c>
      <c r="B5" s="37" t="n">
        <v>1661.04</v>
      </c>
      <c r="C5" s="1" t="n">
        <f aca="false">YEAR(A5)</f>
        <v>2018</v>
      </c>
      <c r="D5" s="1" t="n">
        <f aca="false">MONTH(A5)</f>
        <v>4</v>
      </c>
    </row>
    <row r="6" customFormat="false" ht="14.25" hidden="false" customHeight="false" outlineLevel="0" collapsed="false">
      <c r="A6" s="15" t="n">
        <v>43221</v>
      </c>
      <c r="B6" s="37" t="n">
        <v>24721.42</v>
      </c>
      <c r="C6" s="1" t="n">
        <f aca="false">YEAR(A6)</f>
        <v>2018</v>
      </c>
      <c r="D6" s="1" t="n">
        <f aca="false">MONTH(A6)</f>
        <v>5</v>
      </c>
    </row>
    <row r="7" customFormat="false" ht="14.25" hidden="false" customHeight="false" outlineLevel="0" collapsed="false">
      <c r="A7" s="15" t="n">
        <v>43252</v>
      </c>
      <c r="B7" s="37" t="n">
        <v>6237.49</v>
      </c>
      <c r="C7" s="1" t="n">
        <f aca="false">YEAR(A7)</f>
        <v>2018</v>
      </c>
      <c r="D7" s="1" t="n">
        <f aca="false">MONTH(A7)</f>
        <v>6</v>
      </c>
    </row>
    <row r="8" customFormat="false" ht="14.25" hidden="false" customHeight="false" outlineLevel="0" collapsed="false">
      <c r="A8" s="15" t="n">
        <v>43282</v>
      </c>
      <c r="B8" s="37" t="n">
        <v>12872.72</v>
      </c>
      <c r="C8" s="1" t="n">
        <f aca="false">YEAR(A8)</f>
        <v>2018</v>
      </c>
      <c r="D8" s="1" t="n">
        <f aca="false">MONTH(A8)</f>
        <v>7</v>
      </c>
    </row>
    <row r="9" customFormat="false" ht="14.25" hidden="false" customHeight="false" outlineLevel="0" collapsed="false">
      <c r="A9" s="15" t="n">
        <v>43313</v>
      </c>
      <c r="B9" s="37" t="n">
        <v>10791.2</v>
      </c>
      <c r="C9" s="1" t="n">
        <f aca="false">YEAR(A9)</f>
        <v>2018</v>
      </c>
      <c r="D9" s="1" t="n">
        <f aca="false">MONTH(A9)</f>
        <v>8</v>
      </c>
    </row>
    <row r="10" customFormat="false" ht="14.25" hidden="false" customHeight="false" outlineLevel="0" collapsed="false">
      <c r="A10" s="15" t="n">
        <v>43344</v>
      </c>
      <c r="B10" s="37" t="n">
        <v>13743.47</v>
      </c>
      <c r="C10" s="1" t="n">
        <f aca="false">YEAR(A10)</f>
        <v>2018</v>
      </c>
      <c r="D10" s="1" t="n">
        <f aca="false">MONTH(A10)</f>
        <v>9</v>
      </c>
    </row>
    <row r="11" customFormat="false" ht="14.25" hidden="false" customHeight="false" outlineLevel="0" collapsed="false">
      <c r="A11" s="15" t="n">
        <v>43374</v>
      </c>
      <c r="B11" s="37" t="n">
        <v>25894.8</v>
      </c>
      <c r="C11" s="1" t="n">
        <f aca="false">YEAR(A11)</f>
        <v>2018</v>
      </c>
      <c r="D11" s="1" t="n">
        <f aca="false">MONTH(A11)</f>
        <v>10</v>
      </c>
    </row>
    <row r="12" customFormat="false" ht="14.25" hidden="false" customHeight="false" outlineLevel="0" collapsed="false">
      <c r="A12" s="15" t="n">
        <v>43405</v>
      </c>
      <c r="B12" s="37" t="n">
        <v>12264.34</v>
      </c>
      <c r="C12" s="1" t="n">
        <f aca="false">YEAR(A12)</f>
        <v>2018</v>
      </c>
      <c r="D12" s="1" t="n">
        <f aca="false">MONTH(A12)</f>
        <v>11</v>
      </c>
    </row>
    <row r="13" customFormat="false" ht="14.25" hidden="false" customHeight="false" outlineLevel="0" collapsed="false">
      <c r="A13" s="15" t="n">
        <v>43435</v>
      </c>
      <c r="B13" s="37" t="n">
        <v>9887.98</v>
      </c>
      <c r="C13" s="1" t="n">
        <f aca="false">YEAR(A13)</f>
        <v>2018</v>
      </c>
      <c r="D13" s="1" t="n">
        <f aca="false">MONTH(A13)</f>
        <v>12</v>
      </c>
    </row>
    <row r="14" customFormat="false" ht="14.25" hidden="false" customHeight="false" outlineLevel="0" collapsed="false">
      <c r="A14" s="15" t="n">
        <v>43102</v>
      </c>
      <c r="B14" s="37" t="n">
        <v>4935.72</v>
      </c>
      <c r="C14" s="1" t="n">
        <f aca="false">YEAR(A14)</f>
        <v>2018</v>
      </c>
      <c r="D14" s="1" t="n">
        <f aca="false">MONTH(A14)</f>
        <v>1</v>
      </c>
    </row>
    <row r="15" customFormat="false" ht="14.25" hidden="false" customHeight="false" outlineLevel="0" collapsed="false">
      <c r="A15" s="15" t="n">
        <v>43133</v>
      </c>
      <c r="B15" s="37" t="n">
        <v>7140.86</v>
      </c>
      <c r="C15" s="1" t="n">
        <f aca="false">YEAR(A15)</f>
        <v>2018</v>
      </c>
      <c r="D15" s="1" t="n">
        <f aca="false">MONTH(A15)</f>
        <v>2</v>
      </c>
    </row>
    <row r="16" customFormat="false" ht="14.25" hidden="false" customHeight="false" outlineLevel="0" collapsed="false">
      <c r="A16" s="15" t="n">
        <v>43161</v>
      </c>
      <c r="B16" s="37" t="n">
        <v>2045.82</v>
      </c>
      <c r="C16" s="1" t="n">
        <f aca="false">YEAR(A16)</f>
        <v>2018</v>
      </c>
      <c r="D16" s="1" t="n">
        <f aca="false">MONTH(A16)</f>
        <v>3</v>
      </c>
    </row>
    <row r="17" customFormat="false" ht="14.25" hidden="false" customHeight="false" outlineLevel="0" collapsed="false">
      <c r="A17" s="15" t="n">
        <v>43192</v>
      </c>
      <c r="B17" s="37" t="n">
        <v>9677.92</v>
      </c>
      <c r="C17" s="1" t="n">
        <f aca="false">YEAR(A17)</f>
        <v>2018</v>
      </c>
      <c r="D17" s="1" t="n">
        <f aca="false">MONTH(A17)</f>
        <v>4</v>
      </c>
    </row>
    <row r="18" customFormat="false" ht="14.25" hidden="false" customHeight="false" outlineLevel="0" collapsed="false">
      <c r="A18" s="15" t="n">
        <v>43222</v>
      </c>
      <c r="B18" s="37" t="n">
        <v>7926.47</v>
      </c>
      <c r="C18" s="1" t="n">
        <f aca="false">YEAR(A18)</f>
        <v>2018</v>
      </c>
      <c r="D18" s="1" t="n">
        <f aca="false">MONTH(A18)</f>
        <v>5</v>
      </c>
    </row>
    <row r="19" customFormat="false" ht="14.25" hidden="false" customHeight="false" outlineLevel="0" collapsed="false">
      <c r="A19" s="15" t="n">
        <v>43253</v>
      </c>
      <c r="B19" s="37" t="n">
        <v>7362.72</v>
      </c>
      <c r="C19" s="1" t="n">
        <f aca="false">YEAR(A19)</f>
        <v>2018</v>
      </c>
      <c r="D19" s="1" t="n">
        <f aca="false">MONTH(A19)</f>
        <v>6</v>
      </c>
    </row>
    <row r="20" customFormat="false" ht="14.25" hidden="false" customHeight="false" outlineLevel="0" collapsed="false">
      <c r="A20" s="15" t="n">
        <v>43283</v>
      </c>
      <c r="B20" s="37" t="n">
        <v>38820.73</v>
      </c>
      <c r="C20" s="1" t="n">
        <f aca="false">YEAR(A20)</f>
        <v>2018</v>
      </c>
      <c r="D20" s="1" t="n">
        <f aca="false">MONTH(A20)</f>
        <v>7</v>
      </c>
    </row>
    <row r="21" customFormat="false" ht="14.25" hidden="false" customHeight="false" outlineLevel="0" collapsed="false">
      <c r="A21" s="15" t="n">
        <v>43314</v>
      </c>
      <c r="B21" s="37" t="n">
        <v>2363.77</v>
      </c>
      <c r="C21" s="1" t="n">
        <f aca="false">YEAR(A21)</f>
        <v>2018</v>
      </c>
      <c r="D21" s="1" t="n">
        <f aca="false">MONTH(A21)</f>
        <v>8</v>
      </c>
    </row>
    <row r="22" customFormat="false" ht="14.25" hidden="false" customHeight="false" outlineLevel="0" collapsed="false">
      <c r="A22" s="15" t="n">
        <v>43345</v>
      </c>
      <c r="B22" s="37" t="n">
        <v>7598.62</v>
      </c>
      <c r="C22" s="1" t="n">
        <f aca="false">YEAR(A22)</f>
        <v>2018</v>
      </c>
      <c r="D22" s="1" t="n">
        <f aca="false">MONTH(A22)</f>
        <v>9</v>
      </c>
    </row>
    <row r="23" customFormat="false" ht="14.25" hidden="false" customHeight="false" outlineLevel="0" collapsed="false">
      <c r="A23" s="15" t="n">
        <v>43375</v>
      </c>
      <c r="B23" s="37" t="n">
        <v>33931.4</v>
      </c>
      <c r="C23" s="1" t="n">
        <f aca="false">YEAR(A23)</f>
        <v>2018</v>
      </c>
      <c r="D23" s="1" t="n">
        <f aca="false">MONTH(A23)</f>
        <v>10</v>
      </c>
    </row>
    <row r="24" customFormat="false" ht="14.25" hidden="false" customHeight="false" outlineLevel="0" collapsed="false">
      <c r="A24" s="15" t="n">
        <v>43406</v>
      </c>
      <c r="B24" s="37" t="n">
        <v>4606.46</v>
      </c>
      <c r="C24" s="1" t="n">
        <f aca="false">YEAR(A24)</f>
        <v>2018</v>
      </c>
      <c r="D24" s="1" t="n">
        <f aca="false">MONTH(A24)</f>
        <v>11</v>
      </c>
    </row>
    <row r="25" customFormat="false" ht="14.25" hidden="false" customHeight="false" outlineLevel="0" collapsed="false">
      <c r="A25" s="15" t="n">
        <v>43436</v>
      </c>
      <c r="B25" s="37" t="n">
        <v>2946.71</v>
      </c>
      <c r="C25" s="1" t="n">
        <f aca="false">YEAR(A25)</f>
        <v>2018</v>
      </c>
      <c r="D25" s="1" t="n">
        <f aca="false">MONTH(A25)</f>
        <v>12</v>
      </c>
    </row>
    <row r="26" customFormat="false" ht="14.25" hidden="false" customHeight="false" outlineLevel="0" collapsed="false">
      <c r="A26" s="15" t="n">
        <v>43103</v>
      </c>
      <c r="B26" s="37" t="n">
        <v>23964.42</v>
      </c>
      <c r="C26" s="1" t="n">
        <f aca="false">YEAR(A26)</f>
        <v>2018</v>
      </c>
      <c r="D26" s="1" t="n">
        <f aca="false">MONTH(A26)</f>
        <v>1</v>
      </c>
    </row>
    <row r="27" customFormat="false" ht="14.25" hidden="false" customHeight="false" outlineLevel="0" collapsed="false">
      <c r="A27" s="15" t="n">
        <v>43134</v>
      </c>
      <c r="B27" s="37" t="n">
        <v>8073.98</v>
      </c>
      <c r="C27" s="1" t="n">
        <f aca="false">YEAR(A27)</f>
        <v>2018</v>
      </c>
      <c r="D27" s="1" t="n">
        <f aca="false">MONTH(A27)</f>
        <v>2</v>
      </c>
    </row>
    <row r="28" customFormat="false" ht="14.25" hidden="false" customHeight="false" outlineLevel="0" collapsed="false">
      <c r="A28" s="15" t="n">
        <v>43162</v>
      </c>
      <c r="B28" s="37" t="n">
        <v>20155.47</v>
      </c>
      <c r="C28" s="1" t="n">
        <f aca="false">YEAR(A28)</f>
        <v>2018</v>
      </c>
      <c r="D28" s="1" t="n">
        <f aca="false">MONTH(A28)</f>
        <v>3</v>
      </c>
    </row>
    <row r="29" customFormat="false" ht="14.25" hidden="false" customHeight="false" outlineLevel="0" collapsed="false">
      <c r="A29" s="15" t="n">
        <v>43193</v>
      </c>
      <c r="B29" s="37" t="n">
        <v>8002.66</v>
      </c>
      <c r="C29" s="1" t="n">
        <f aca="false">YEAR(A29)</f>
        <v>2018</v>
      </c>
      <c r="D29" s="1" t="n">
        <f aca="false">MONTH(A29)</f>
        <v>4</v>
      </c>
    </row>
    <row r="30" customFormat="false" ht="14.25" hidden="false" customHeight="false" outlineLevel="0" collapsed="false">
      <c r="A30" s="15" t="n">
        <v>43223</v>
      </c>
      <c r="B30" s="37" t="n">
        <v>10876.62</v>
      </c>
      <c r="C30" s="1" t="n">
        <f aca="false">YEAR(A30)</f>
        <v>2018</v>
      </c>
      <c r="D30" s="1" t="n">
        <f aca="false">MONTH(A30)</f>
        <v>5</v>
      </c>
    </row>
    <row r="31" customFormat="false" ht="14.25" hidden="false" customHeight="false" outlineLevel="0" collapsed="false">
      <c r="A31" s="15" t="n">
        <v>43254</v>
      </c>
      <c r="B31" s="37" t="n">
        <v>79.23</v>
      </c>
      <c r="C31" s="1" t="n">
        <f aca="false">YEAR(A31)</f>
        <v>2018</v>
      </c>
      <c r="D31" s="1" t="n">
        <f aca="false">MONTH(A31)</f>
        <v>6</v>
      </c>
    </row>
    <row r="32" customFormat="false" ht="14.25" hidden="false" customHeight="false" outlineLevel="0" collapsed="false">
      <c r="A32" s="15" t="n">
        <v>43284</v>
      </c>
      <c r="B32" s="37" t="n">
        <v>5611.79</v>
      </c>
      <c r="C32" s="1" t="n">
        <f aca="false">YEAR(A32)</f>
        <v>2018</v>
      </c>
      <c r="D32" s="1" t="n">
        <f aca="false">MONTH(A32)</f>
        <v>7</v>
      </c>
    </row>
    <row r="33" customFormat="false" ht="14.25" hidden="false" customHeight="false" outlineLevel="0" collapsed="false">
      <c r="A33" s="15" t="n">
        <v>43315</v>
      </c>
      <c r="B33" s="37" t="n">
        <v>9926.55</v>
      </c>
      <c r="C33" s="1" t="n">
        <f aca="false">YEAR(A33)</f>
        <v>2018</v>
      </c>
      <c r="D33" s="1" t="n">
        <f aca="false">MONTH(A33)</f>
        <v>8</v>
      </c>
    </row>
    <row r="34" customFormat="false" ht="14.25" hidden="false" customHeight="false" outlineLevel="0" collapsed="false">
      <c r="A34" s="15" t="n">
        <v>43346</v>
      </c>
      <c r="B34" s="37" t="n">
        <v>25727.89</v>
      </c>
      <c r="C34" s="1" t="n">
        <f aca="false">YEAR(A34)</f>
        <v>2018</v>
      </c>
      <c r="D34" s="1" t="n">
        <f aca="false">MONTH(A34)</f>
        <v>9</v>
      </c>
    </row>
    <row r="35" customFormat="false" ht="14.25" hidden="false" customHeight="false" outlineLevel="0" collapsed="false">
      <c r="A35" s="15" t="n">
        <v>43376</v>
      </c>
      <c r="B35" s="37" t="n">
        <v>1199.87</v>
      </c>
      <c r="C35" s="1" t="n">
        <f aca="false">YEAR(A35)</f>
        <v>2018</v>
      </c>
      <c r="D35" s="1" t="n">
        <f aca="false">MONTH(A35)</f>
        <v>10</v>
      </c>
    </row>
    <row r="36" customFormat="false" ht="14.25" hidden="false" customHeight="false" outlineLevel="0" collapsed="false">
      <c r="A36" s="15" t="n">
        <v>43437</v>
      </c>
      <c r="B36" s="37" t="n">
        <v>8479.56</v>
      </c>
      <c r="C36" s="1" t="n">
        <f aca="false">YEAR(A36)</f>
        <v>2018</v>
      </c>
      <c r="D36" s="1" t="n">
        <f aca="false">MONTH(A36)</f>
        <v>12</v>
      </c>
    </row>
    <row r="37" customFormat="false" ht="14.25" hidden="false" customHeight="false" outlineLevel="0" collapsed="false">
      <c r="A37" s="15" t="n">
        <v>43104</v>
      </c>
      <c r="B37" s="37" t="n">
        <v>1101.54</v>
      </c>
      <c r="C37" s="1" t="n">
        <f aca="false">YEAR(A37)</f>
        <v>2018</v>
      </c>
      <c r="D37" s="1" t="n">
        <f aca="false">MONTH(A37)</f>
        <v>1</v>
      </c>
    </row>
    <row r="38" customFormat="false" ht="14.25" hidden="false" customHeight="false" outlineLevel="0" collapsed="false">
      <c r="A38" s="15" t="n">
        <v>43135</v>
      </c>
      <c r="B38" s="37" t="n">
        <v>27928.44</v>
      </c>
      <c r="C38" s="1" t="n">
        <f aca="false">YEAR(A38)</f>
        <v>2018</v>
      </c>
      <c r="D38" s="1" t="n">
        <f aca="false">MONTH(A38)</f>
        <v>2</v>
      </c>
    </row>
    <row r="39" customFormat="false" ht="14.25" hidden="false" customHeight="false" outlineLevel="0" collapsed="false">
      <c r="A39" s="15" t="n">
        <v>43163</v>
      </c>
      <c r="B39" s="37" t="n">
        <v>29248.87</v>
      </c>
      <c r="C39" s="1" t="n">
        <f aca="false">YEAR(A39)</f>
        <v>2018</v>
      </c>
      <c r="D39" s="1" t="n">
        <f aca="false">MONTH(A39)</f>
        <v>3</v>
      </c>
    </row>
    <row r="40" customFormat="false" ht="14.25" hidden="false" customHeight="false" outlineLevel="0" collapsed="false">
      <c r="A40" s="15" t="n">
        <v>43194</v>
      </c>
      <c r="B40" s="37" t="n">
        <v>16272.27</v>
      </c>
      <c r="C40" s="1" t="n">
        <f aca="false">YEAR(A40)</f>
        <v>2018</v>
      </c>
      <c r="D40" s="1" t="n">
        <f aca="false">MONTH(A40)</f>
        <v>4</v>
      </c>
    </row>
    <row r="41" customFormat="false" ht="14.25" hidden="false" customHeight="false" outlineLevel="0" collapsed="false">
      <c r="A41" s="15" t="n">
        <v>43224</v>
      </c>
      <c r="B41" s="37" t="n">
        <v>9940.25</v>
      </c>
      <c r="C41" s="1" t="n">
        <f aca="false">YEAR(A41)</f>
        <v>2018</v>
      </c>
      <c r="D41" s="1" t="n">
        <f aca="false">MONTH(A41)</f>
        <v>5</v>
      </c>
    </row>
    <row r="42" customFormat="false" ht="14.25" hidden="false" customHeight="false" outlineLevel="0" collapsed="false">
      <c r="A42" s="15" t="n">
        <v>43255</v>
      </c>
      <c r="B42" s="37" t="n">
        <v>9804.8</v>
      </c>
      <c r="C42" s="1" t="n">
        <f aca="false">YEAR(A42)</f>
        <v>2018</v>
      </c>
      <c r="D42" s="1" t="n">
        <f aca="false">MONTH(A42)</f>
        <v>6</v>
      </c>
    </row>
    <row r="43" customFormat="false" ht="14.25" hidden="false" customHeight="false" outlineLevel="0" collapsed="false">
      <c r="A43" s="15" t="n">
        <v>43285</v>
      </c>
      <c r="B43" s="37" t="n">
        <v>21808.04</v>
      </c>
      <c r="C43" s="1" t="n">
        <f aca="false">YEAR(A43)</f>
        <v>2018</v>
      </c>
      <c r="D43" s="1" t="n">
        <f aca="false">MONTH(A43)</f>
        <v>7</v>
      </c>
    </row>
    <row r="44" customFormat="false" ht="14.25" hidden="false" customHeight="false" outlineLevel="0" collapsed="false">
      <c r="A44" s="15" t="n">
        <v>43316</v>
      </c>
      <c r="B44" s="37" t="n">
        <v>8385.53</v>
      </c>
      <c r="C44" s="1" t="n">
        <f aca="false">YEAR(A44)</f>
        <v>2018</v>
      </c>
      <c r="D44" s="1" t="n">
        <f aca="false">MONTH(A44)</f>
        <v>8</v>
      </c>
    </row>
    <row r="45" customFormat="false" ht="14.25" hidden="false" customHeight="false" outlineLevel="0" collapsed="false">
      <c r="A45" s="15" t="n">
        <v>43347</v>
      </c>
      <c r="B45" s="37" t="n">
        <v>14282.28</v>
      </c>
      <c r="C45" s="1" t="n">
        <f aca="false">YEAR(A45)</f>
        <v>2018</v>
      </c>
      <c r="D45" s="1" t="n">
        <f aca="false">MONTH(A45)</f>
        <v>9</v>
      </c>
    </row>
    <row r="46" customFormat="false" ht="14.25" hidden="false" customHeight="false" outlineLevel="0" collapsed="false">
      <c r="A46" s="15" t="n">
        <v>43377</v>
      </c>
      <c r="B46" s="37" t="n">
        <v>1418.35</v>
      </c>
      <c r="C46" s="1" t="n">
        <f aca="false">YEAR(A46)</f>
        <v>2018</v>
      </c>
      <c r="D46" s="1" t="n">
        <f aca="false">MONTH(A46)</f>
        <v>10</v>
      </c>
    </row>
    <row r="47" customFormat="false" ht="14.25" hidden="false" customHeight="false" outlineLevel="0" collapsed="false">
      <c r="A47" s="15" t="n">
        <v>43408</v>
      </c>
      <c r="B47" s="37" t="n">
        <v>18330.37</v>
      </c>
      <c r="C47" s="1" t="n">
        <f aca="false">YEAR(A47)</f>
        <v>2018</v>
      </c>
      <c r="D47" s="1" t="n">
        <f aca="false">MONTH(A47)</f>
        <v>11</v>
      </c>
    </row>
    <row r="48" customFormat="false" ht="14.25" hidden="false" customHeight="false" outlineLevel="0" collapsed="false">
      <c r="A48" s="15" t="n">
        <v>43438</v>
      </c>
      <c r="B48" s="37" t="n">
        <v>2102.44</v>
      </c>
      <c r="C48" s="1" t="n">
        <f aca="false">YEAR(A48)</f>
        <v>2018</v>
      </c>
      <c r="D48" s="1" t="n">
        <f aca="false">MONTH(A48)</f>
        <v>12</v>
      </c>
    </row>
    <row r="49" customFormat="false" ht="14.25" hidden="false" customHeight="false" outlineLevel="0" collapsed="false">
      <c r="A49" s="15" t="n">
        <v>43105</v>
      </c>
      <c r="B49" s="37" t="n">
        <v>22617.81</v>
      </c>
      <c r="C49" s="1" t="n">
        <f aca="false">YEAR(A49)</f>
        <v>2018</v>
      </c>
      <c r="D49" s="1" t="n">
        <f aca="false">MONTH(A49)</f>
        <v>1</v>
      </c>
    </row>
    <row r="50" customFormat="false" ht="14.25" hidden="false" customHeight="false" outlineLevel="0" collapsed="false">
      <c r="A50" s="15" t="n">
        <v>43136</v>
      </c>
      <c r="B50" s="37" t="n">
        <v>36320.31</v>
      </c>
      <c r="C50" s="1" t="n">
        <f aca="false">YEAR(A50)</f>
        <v>2018</v>
      </c>
      <c r="D50" s="1" t="n">
        <f aca="false">MONTH(A50)</f>
        <v>2</v>
      </c>
    </row>
    <row r="51" customFormat="false" ht="14.25" hidden="false" customHeight="false" outlineLevel="0" collapsed="false">
      <c r="A51" s="15" t="n">
        <v>43195</v>
      </c>
      <c r="B51" s="37" t="n">
        <v>2864.24</v>
      </c>
      <c r="C51" s="1" t="n">
        <f aca="false">YEAR(A51)</f>
        <v>2018</v>
      </c>
      <c r="D51" s="1" t="n">
        <f aca="false">MONTH(A51)</f>
        <v>4</v>
      </c>
    </row>
    <row r="52" customFormat="false" ht="14.25" hidden="false" customHeight="false" outlineLevel="0" collapsed="false">
      <c r="A52" s="15" t="n">
        <v>43225</v>
      </c>
      <c r="B52" s="37" t="n">
        <v>7097.43</v>
      </c>
      <c r="C52" s="1" t="n">
        <f aca="false">YEAR(A52)</f>
        <v>2018</v>
      </c>
      <c r="D52" s="1" t="n">
        <f aca="false">MONTH(A52)</f>
        <v>5</v>
      </c>
    </row>
    <row r="53" customFormat="false" ht="14.25" hidden="false" customHeight="false" outlineLevel="0" collapsed="false">
      <c r="A53" s="15" t="n">
        <v>43256</v>
      </c>
      <c r="B53" s="37" t="n">
        <v>471.85</v>
      </c>
      <c r="C53" s="1" t="n">
        <f aca="false">YEAR(A53)</f>
        <v>2018</v>
      </c>
      <c r="D53" s="1" t="n">
        <f aca="false">MONTH(A53)</f>
        <v>6</v>
      </c>
    </row>
    <row r="54" customFormat="false" ht="14.25" hidden="false" customHeight="false" outlineLevel="0" collapsed="false">
      <c r="A54" s="15" t="n">
        <v>43286</v>
      </c>
      <c r="B54" s="37" t="n">
        <v>31901.44</v>
      </c>
      <c r="C54" s="1" t="n">
        <f aca="false">YEAR(A54)</f>
        <v>2018</v>
      </c>
      <c r="D54" s="1" t="n">
        <f aca="false">MONTH(A54)</f>
        <v>7</v>
      </c>
    </row>
    <row r="55" customFormat="false" ht="14.25" hidden="false" customHeight="false" outlineLevel="0" collapsed="false">
      <c r="A55" s="15" t="n">
        <v>43317</v>
      </c>
      <c r="B55" s="37" t="n">
        <v>5996.74</v>
      </c>
      <c r="C55" s="1" t="n">
        <f aca="false">YEAR(A55)</f>
        <v>2018</v>
      </c>
      <c r="D55" s="1" t="n">
        <f aca="false">MONTH(A55)</f>
        <v>8</v>
      </c>
    </row>
    <row r="56" customFormat="false" ht="14.25" hidden="false" customHeight="false" outlineLevel="0" collapsed="false">
      <c r="A56" s="15" t="n">
        <v>43348</v>
      </c>
      <c r="B56" s="37" t="n">
        <v>1063.96</v>
      </c>
      <c r="C56" s="1" t="n">
        <f aca="false">YEAR(A56)</f>
        <v>2018</v>
      </c>
      <c r="D56" s="1" t="n">
        <f aca="false">MONTH(A56)</f>
        <v>9</v>
      </c>
    </row>
    <row r="57" customFormat="false" ht="14.25" hidden="false" customHeight="false" outlineLevel="0" collapsed="false">
      <c r="A57" s="15" t="n">
        <v>43378</v>
      </c>
      <c r="B57" s="37" t="n">
        <v>13694</v>
      </c>
      <c r="C57" s="1" t="n">
        <f aca="false">YEAR(A57)</f>
        <v>2018</v>
      </c>
      <c r="D57" s="1" t="n">
        <f aca="false">MONTH(A57)</f>
        <v>10</v>
      </c>
    </row>
    <row r="58" customFormat="false" ht="14.25" hidden="false" customHeight="false" outlineLevel="0" collapsed="false">
      <c r="A58" s="15" t="n">
        <v>43409</v>
      </c>
      <c r="B58" s="37" t="n">
        <v>5060.84</v>
      </c>
      <c r="C58" s="1" t="n">
        <f aca="false">YEAR(A58)</f>
        <v>2018</v>
      </c>
      <c r="D58" s="1" t="n">
        <f aca="false">MONTH(A58)</f>
        <v>11</v>
      </c>
    </row>
    <row r="59" customFormat="false" ht="14.25" hidden="false" customHeight="false" outlineLevel="0" collapsed="false">
      <c r="A59" s="15" t="n">
        <v>43439</v>
      </c>
      <c r="B59" s="37" t="n">
        <v>6453.9</v>
      </c>
      <c r="C59" s="1" t="n">
        <f aca="false">YEAR(A59)</f>
        <v>2018</v>
      </c>
      <c r="D59" s="1" t="n">
        <f aca="false">MONTH(A59)</f>
        <v>12</v>
      </c>
    </row>
    <row r="60" customFormat="false" ht="14.25" hidden="false" customHeight="false" outlineLevel="0" collapsed="false">
      <c r="A60" s="15" t="n">
        <v>43106</v>
      </c>
      <c r="B60" s="37" t="n">
        <v>6031.22</v>
      </c>
      <c r="C60" s="1" t="n">
        <f aca="false">YEAR(A60)</f>
        <v>2018</v>
      </c>
      <c r="D60" s="1" t="n">
        <f aca="false">MONTH(A60)</f>
        <v>1</v>
      </c>
    </row>
    <row r="61" customFormat="false" ht="14.25" hidden="false" customHeight="false" outlineLevel="0" collapsed="false">
      <c r="A61" s="15" t="n">
        <v>43137</v>
      </c>
      <c r="B61" s="37" t="n">
        <v>12739.45</v>
      </c>
      <c r="C61" s="1" t="n">
        <f aca="false">YEAR(A61)</f>
        <v>2018</v>
      </c>
      <c r="D61" s="1" t="n">
        <f aca="false">MONTH(A61)</f>
        <v>2</v>
      </c>
    </row>
    <row r="62" customFormat="false" ht="14.25" hidden="false" customHeight="false" outlineLevel="0" collapsed="false">
      <c r="A62" s="15" t="n">
        <v>43165</v>
      </c>
      <c r="B62" s="37" t="n">
        <v>10237.49</v>
      </c>
      <c r="C62" s="1" t="n">
        <f aca="false">YEAR(A62)</f>
        <v>2018</v>
      </c>
      <c r="D62" s="1" t="n">
        <f aca="false">MONTH(A62)</f>
        <v>3</v>
      </c>
    </row>
    <row r="63" customFormat="false" ht="14.25" hidden="false" customHeight="false" outlineLevel="0" collapsed="false">
      <c r="A63" s="15" t="n">
        <v>43196</v>
      </c>
      <c r="B63" s="37" t="n">
        <v>1151.58</v>
      </c>
      <c r="C63" s="1" t="n">
        <f aca="false">YEAR(A63)</f>
        <v>2018</v>
      </c>
      <c r="D63" s="1" t="n">
        <f aca="false">MONTH(A63)</f>
        <v>4</v>
      </c>
    </row>
    <row r="64" customFormat="false" ht="14.25" hidden="false" customHeight="false" outlineLevel="0" collapsed="false">
      <c r="A64" s="15" t="n">
        <v>43226</v>
      </c>
      <c r="B64" s="37" t="n">
        <v>2741.44</v>
      </c>
      <c r="C64" s="1" t="n">
        <f aca="false">YEAR(A64)</f>
        <v>2018</v>
      </c>
      <c r="D64" s="1" t="n">
        <f aca="false">MONTH(A64)</f>
        <v>5</v>
      </c>
    </row>
    <row r="65" customFormat="false" ht="14.25" hidden="false" customHeight="false" outlineLevel="0" collapsed="false">
      <c r="A65" s="15" t="n">
        <v>43257</v>
      </c>
      <c r="B65" s="37" t="n">
        <v>5738.05</v>
      </c>
      <c r="C65" s="1" t="n">
        <f aca="false">YEAR(A65)</f>
        <v>2018</v>
      </c>
      <c r="D65" s="1" t="n">
        <f aca="false">MONTH(A65)</f>
        <v>6</v>
      </c>
    </row>
    <row r="66" customFormat="false" ht="14.25" hidden="false" customHeight="false" outlineLevel="0" collapsed="false">
      <c r="A66" s="15" t="n">
        <v>43287</v>
      </c>
      <c r="B66" s="37" t="n">
        <v>11632.04</v>
      </c>
      <c r="C66" s="1" t="n">
        <f aca="false">YEAR(A66)</f>
        <v>2018</v>
      </c>
      <c r="D66" s="1" t="n">
        <f aca="false">MONTH(A66)</f>
        <v>7</v>
      </c>
    </row>
    <row r="67" customFormat="false" ht="14.25" hidden="false" customHeight="false" outlineLevel="0" collapsed="false">
      <c r="A67" s="15" t="n">
        <v>43318</v>
      </c>
      <c r="B67" s="37" t="n">
        <v>10909.21</v>
      </c>
      <c r="C67" s="1" t="n">
        <f aca="false">YEAR(A67)</f>
        <v>2018</v>
      </c>
      <c r="D67" s="1" t="n">
        <f aca="false">MONTH(A67)</f>
        <v>8</v>
      </c>
    </row>
    <row r="68" customFormat="false" ht="14.25" hidden="false" customHeight="false" outlineLevel="0" collapsed="false">
      <c r="A68" s="15" t="n">
        <v>43349</v>
      </c>
      <c r="B68" s="37" t="n">
        <v>1585.05</v>
      </c>
      <c r="C68" s="1" t="n">
        <f aca="false">YEAR(A68)</f>
        <v>2018</v>
      </c>
      <c r="D68" s="1" t="n">
        <f aca="false">MONTH(A68)</f>
        <v>9</v>
      </c>
    </row>
    <row r="69" customFormat="false" ht="14.25" hidden="false" customHeight="false" outlineLevel="0" collapsed="false">
      <c r="A69" s="15" t="n">
        <v>43379</v>
      </c>
      <c r="B69" s="37" t="n">
        <v>5007.84</v>
      </c>
      <c r="C69" s="1" t="n">
        <f aca="false">YEAR(A69)</f>
        <v>2018</v>
      </c>
      <c r="D69" s="1" t="n">
        <f aca="false">MONTH(A69)</f>
        <v>10</v>
      </c>
    </row>
    <row r="70" customFormat="false" ht="14.25" hidden="false" customHeight="false" outlineLevel="0" collapsed="false">
      <c r="A70" s="15" t="n">
        <v>43410</v>
      </c>
      <c r="B70" s="37" t="n">
        <v>24960.04</v>
      </c>
      <c r="C70" s="1" t="n">
        <f aca="false">YEAR(A70)</f>
        <v>2018</v>
      </c>
      <c r="D70" s="1" t="n">
        <f aca="false">MONTH(A70)</f>
        <v>11</v>
      </c>
    </row>
    <row r="71" customFormat="false" ht="14.25" hidden="false" customHeight="false" outlineLevel="0" collapsed="false">
      <c r="A71" s="15" t="n">
        <v>43440</v>
      </c>
      <c r="B71" s="37" t="n">
        <v>43026.13</v>
      </c>
      <c r="C71" s="1" t="n">
        <f aca="false">YEAR(A71)</f>
        <v>2018</v>
      </c>
      <c r="D71" s="1" t="n">
        <f aca="false">MONTH(A71)</f>
        <v>12</v>
      </c>
    </row>
    <row r="72" customFormat="false" ht="14.25" hidden="false" customHeight="false" outlineLevel="0" collapsed="false">
      <c r="A72" s="15" t="n">
        <v>43107</v>
      </c>
      <c r="B72" s="37" t="n">
        <v>7935.41</v>
      </c>
      <c r="C72" s="1" t="n">
        <f aca="false">YEAR(A72)</f>
        <v>2018</v>
      </c>
      <c r="D72" s="1" t="n">
        <f aca="false">MONTH(A72)</f>
        <v>1</v>
      </c>
    </row>
    <row r="73" customFormat="false" ht="14.25" hidden="false" customHeight="false" outlineLevel="0" collapsed="false">
      <c r="A73" s="15" t="n">
        <v>43138</v>
      </c>
      <c r="B73" s="37" t="n">
        <v>743.44</v>
      </c>
      <c r="C73" s="1" t="n">
        <f aca="false">YEAR(A73)</f>
        <v>2018</v>
      </c>
      <c r="D73" s="1" t="n">
        <f aca="false">MONTH(A73)</f>
        <v>2</v>
      </c>
    </row>
    <row r="74" customFormat="false" ht="14.25" hidden="false" customHeight="false" outlineLevel="0" collapsed="false">
      <c r="A74" s="15" t="n">
        <v>43166</v>
      </c>
      <c r="B74" s="37" t="n">
        <v>929.44</v>
      </c>
      <c r="C74" s="1" t="n">
        <f aca="false">YEAR(A74)</f>
        <v>2018</v>
      </c>
      <c r="D74" s="1" t="n">
        <f aca="false">MONTH(A74)</f>
        <v>3</v>
      </c>
    </row>
    <row r="75" customFormat="false" ht="14.25" hidden="false" customHeight="false" outlineLevel="0" collapsed="false">
      <c r="A75" s="15" t="n">
        <v>43197</v>
      </c>
      <c r="B75" s="37" t="n">
        <v>21832.05</v>
      </c>
      <c r="C75" s="1" t="n">
        <f aca="false">YEAR(A75)</f>
        <v>2018</v>
      </c>
      <c r="D75" s="1" t="n">
        <f aca="false">MONTH(A75)</f>
        <v>4</v>
      </c>
    </row>
    <row r="76" customFormat="false" ht="14.25" hidden="false" customHeight="false" outlineLevel="0" collapsed="false">
      <c r="A76" s="15" t="n">
        <v>43227</v>
      </c>
      <c r="B76" s="37" t="n">
        <v>11169.82</v>
      </c>
      <c r="C76" s="1" t="n">
        <f aca="false">YEAR(A76)</f>
        <v>2018</v>
      </c>
      <c r="D76" s="1" t="n">
        <f aca="false">MONTH(A76)</f>
        <v>5</v>
      </c>
    </row>
    <row r="77" customFormat="false" ht="14.25" hidden="false" customHeight="false" outlineLevel="0" collapsed="false">
      <c r="A77" s="15" t="n">
        <v>43258</v>
      </c>
      <c r="B77" s="37" t="n">
        <v>4464.92</v>
      </c>
      <c r="C77" s="1" t="n">
        <f aca="false">YEAR(A77)</f>
        <v>2018</v>
      </c>
      <c r="D77" s="1" t="n">
        <f aca="false">MONTH(A77)</f>
        <v>6</v>
      </c>
    </row>
    <row r="78" customFormat="false" ht="14.25" hidden="false" customHeight="false" outlineLevel="0" collapsed="false">
      <c r="A78" s="15" t="n">
        <v>43288</v>
      </c>
      <c r="B78" s="37" t="n">
        <v>208.4</v>
      </c>
      <c r="C78" s="1" t="n">
        <f aca="false">YEAR(A78)</f>
        <v>2018</v>
      </c>
      <c r="D78" s="1" t="n">
        <f aca="false">MONTH(A78)</f>
        <v>7</v>
      </c>
    </row>
    <row r="79" customFormat="false" ht="14.25" hidden="false" customHeight="false" outlineLevel="0" collapsed="false">
      <c r="A79" s="15" t="n">
        <v>43319</v>
      </c>
      <c r="B79" s="37" t="n">
        <v>6135.98</v>
      </c>
      <c r="C79" s="1" t="n">
        <f aca="false">YEAR(A79)</f>
        <v>2018</v>
      </c>
      <c r="D79" s="1" t="n">
        <f aca="false">MONTH(A79)</f>
        <v>8</v>
      </c>
    </row>
    <row r="80" customFormat="false" ht="14.25" hidden="false" customHeight="false" outlineLevel="0" collapsed="false">
      <c r="A80" s="15" t="n">
        <v>43350</v>
      </c>
      <c r="B80" s="37" t="n">
        <v>9530.26</v>
      </c>
      <c r="C80" s="1" t="n">
        <f aca="false">YEAR(A80)</f>
        <v>2018</v>
      </c>
      <c r="D80" s="1" t="n">
        <f aca="false">MONTH(A80)</f>
        <v>9</v>
      </c>
    </row>
    <row r="81" customFormat="false" ht="14.25" hidden="false" customHeight="false" outlineLevel="0" collapsed="false">
      <c r="A81" s="15" t="n">
        <v>43380</v>
      </c>
      <c r="B81" s="37" t="n">
        <v>2272.03</v>
      </c>
      <c r="C81" s="1" t="n">
        <f aca="false">YEAR(A81)</f>
        <v>2018</v>
      </c>
      <c r="D81" s="1" t="n">
        <f aca="false">MONTH(A81)</f>
        <v>10</v>
      </c>
    </row>
    <row r="82" customFormat="false" ht="14.25" hidden="false" customHeight="false" outlineLevel="0" collapsed="false">
      <c r="A82" s="15" t="n">
        <v>43411</v>
      </c>
      <c r="B82" s="37" t="n">
        <v>11109.32</v>
      </c>
      <c r="C82" s="1" t="n">
        <f aca="false">YEAR(A82)</f>
        <v>2018</v>
      </c>
      <c r="D82" s="1" t="n">
        <f aca="false">MONTH(A82)</f>
        <v>11</v>
      </c>
    </row>
    <row r="83" customFormat="false" ht="14.25" hidden="false" customHeight="false" outlineLevel="0" collapsed="false">
      <c r="A83" s="15" t="n">
        <v>43441</v>
      </c>
      <c r="B83" s="37" t="n">
        <v>5181.57</v>
      </c>
      <c r="C83" s="1" t="n">
        <f aca="false">YEAR(A83)</f>
        <v>2018</v>
      </c>
      <c r="D83" s="1" t="n">
        <f aca="false">MONTH(A83)</f>
        <v>12</v>
      </c>
    </row>
    <row r="84" customFormat="false" ht="14.25" hidden="false" customHeight="false" outlineLevel="0" collapsed="false">
      <c r="A84" s="15" t="n">
        <v>43108</v>
      </c>
      <c r="B84" s="37" t="n">
        <v>23316.52</v>
      </c>
      <c r="C84" s="1" t="n">
        <f aca="false">YEAR(A84)</f>
        <v>2018</v>
      </c>
      <c r="D84" s="1" t="n">
        <f aca="false">MONTH(A84)</f>
        <v>1</v>
      </c>
    </row>
    <row r="85" customFormat="false" ht="14.25" hidden="false" customHeight="false" outlineLevel="0" collapsed="false">
      <c r="A85" s="15" t="n">
        <v>43139</v>
      </c>
      <c r="B85" s="37" t="n">
        <v>2553.65</v>
      </c>
      <c r="C85" s="1" t="n">
        <f aca="false">YEAR(A85)</f>
        <v>2018</v>
      </c>
      <c r="D85" s="1" t="n">
        <f aca="false">MONTH(A85)</f>
        <v>2</v>
      </c>
    </row>
    <row r="86" customFormat="false" ht="14.25" hidden="false" customHeight="false" outlineLevel="0" collapsed="false">
      <c r="A86" s="15" t="n">
        <v>43167</v>
      </c>
      <c r="B86" s="37" t="n">
        <v>547.66</v>
      </c>
      <c r="C86" s="1" t="n">
        <f aca="false">YEAR(A86)</f>
        <v>2018</v>
      </c>
      <c r="D86" s="1" t="n">
        <f aca="false">MONTH(A86)</f>
        <v>3</v>
      </c>
    </row>
    <row r="87" customFormat="false" ht="14.25" hidden="false" customHeight="false" outlineLevel="0" collapsed="false">
      <c r="A87" s="15" t="n">
        <v>43198</v>
      </c>
      <c r="B87" s="37" t="n">
        <v>9315.29</v>
      </c>
      <c r="C87" s="1" t="n">
        <f aca="false">YEAR(A87)</f>
        <v>2018</v>
      </c>
      <c r="D87" s="1" t="n">
        <f aca="false">MONTH(A87)</f>
        <v>4</v>
      </c>
    </row>
    <row r="88" customFormat="false" ht="14.25" hidden="false" customHeight="false" outlineLevel="0" collapsed="false">
      <c r="A88" s="15" t="n">
        <v>43228</v>
      </c>
      <c r="B88" s="37" t="n">
        <v>5336.94</v>
      </c>
      <c r="C88" s="1" t="n">
        <f aca="false">YEAR(A88)</f>
        <v>2018</v>
      </c>
      <c r="D88" s="1" t="n">
        <f aca="false">MONTH(A88)</f>
        <v>5</v>
      </c>
    </row>
    <row r="89" customFormat="false" ht="14.25" hidden="false" customHeight="false" outlineLevel="0" collapsed="false">
      <c r="A89" s="15" t="n">
        <v>43259</v>
      </c>
      <c r="B89" s="37" t="n">
        <v>8491.56</v>
      </c>
      <c r="C89" s="1" t="n">
        <f aca="false">YEAR(A89)</f>
        <v>2018</v>
      </c>
      <c r="D89" s="1" t="n">
        <f aca="false">MONTH(A89)</f>
        <v>6</v>
      </c>
    </row>
    <row r="90" customFormat="false" ht="14.25" hidden="false" customHeight="false" outlineLevel="0" collapsed="false">
      <c r="A90" s="15" t="n">
        <v>43320</v>
      </c>
      <c r="B90" s="37" t="n">
        <v>1496.68</v>
      </c>
      <c r="C90" s="1" t="n">
        <f aca="false">YEAR(A90)</f>
        <v>2018</v>
      </c>
      <c r="D90" s="1" t="n">
        <f aca="false">MONTH(A90)</f>
        <v>8</v>
      </c>
    </row>
    <row r="91" customFormat="false" ht="14.25" hidden="false" customHeight="false" outlineLevel="0" collapsed="false">
      <c r="A91" s="15" t="n">
        <v>43351</v>
      </c>
      <c r="B91" s="37" t="n">
        <v>26707.22</v>
      </c>
      <c r="C91" s="1" t="n">
        <f aca="false">YEAR(A91)</f>
        <v>2018</v>
      </c>
      <c r="D91" s="1" t="n">
        <f aca="false">MONTH(A91)</f>
        <v>9</v>
      </c>
    </row>
    <row r="92" customFormat="false" ht="14.25" hidden="false" customHeight="false" outlineLevel="0" collapsed="false">
      <c r="A92" s="15" t="n">
        <v>43381</v>
      </c>
      <c r="B92" s="37" t="n">
        <v>7865.04</v>
      </c>
      <c r="C92" s="1" t="n">
        <f aca="false">YEAR(A92)</f>
        <v>2018</v>
      </c>
      <c r="D92" s="1" t="n">
        <f aca="false">MONTH(A92)</f>
        <v>10</v>
      </c>
    </row>
    <row r="93" customFormat="false" ht="14.25" hidden="false" customHeight="false" outlineLevel="0" collapsed="false">
      <c r="A93" s="15" t="n">
        <v>43412</v>
      </c>
      <c r="B93" s="37" t="n">
        <v>1590.67</v>
      </c>
      <c r="C93" s="1" t="n">
        <f aca="false">YEAR(A93)</f>
        <v>2018</v>
      </c>
      <c r="D93" s="1" t="n">
        <f aca="false">MONTH(A93)</f>
        <v>11</v>
      </c>
    </row>
    <row r="94" customFormat="false" ht="14.25" hidden="false" customHeight="false" outlineLevel="0" collapsed="false">
      <c r="A94" s="15" t="n">
        <v>43442</v>
      </c>
      <c r="B94" s="37" t="n">
        <v>1932.3</v>
      </c>
      <c r="C94" s="1" t="n">
        <f aca="false">YEAR(A94)</f>
        <v>2018</v>
      </c>
      <c r="D94" s="1" t="n">
        <f aca="false">MONTH(A94)</f>
        <v>12</v>
      </c>
    </row>
    <row r="95" customFormat="false" ht="14.25" hidden="false" customHeight="false" outlineLevel="0" collapsed="false">
      <c r="A95" s="15" t="n">
        <v>43109</v>
      </c>
      <c r="B95" s="37" t="n">
        <v>41643.42</v>
      </c>
      <c r="C95" s="1" t="n">
        <f aca="false">YEAR(A95)</f>
        <v>2018</v>
      </c>
      <c r="D95" s="1" t="n">
        <f aca="false">MONTH(A95)</f>
        <v>1</v>
      </c>
    </row>
    <row r="96" customFormat="false" ht="14.25" hidden="false" customHeight="false" outlineLevel="0" collapsed="false">
      <c r="A96" s="15" t="n">
        <v>43140</v>
      </c>
      <c r="B96" s="37" t="n">
        <v>9558.39</v>
      </c>
      <c r="C96" s="1" t="n">
        <f aca="false">YEAR(A96)</f>
        <v>2018</v>
      </c>
      <c r="D96" s="1" t="n">
        <f aca="false">MONTH(A96)</f>
        <v>2</v>
      </c>
    </row>
    <row r="97" customFormat="false" ht="14.25" hidden="false" customHeight="false" outlineLevel="0" collapsed="false">
      <c r="A97" s="15" t="n">
        <v>43168</v>
      </c>
      <c r="B97" s="37" t="n">
        <v>21443.41</v>
      </c>
      <c r="C97" s="1" t="n">
        <f aca="false">YEAR(A97)</f>
        <v>2018</v>
      </c>
      <c r="D97" s="1" t="n">
        <f aca="false">MONTH(A97)</f>
        <v>3</v>
      </c>
    </row>
    <row r="98" customFormat="false" ht="14.25" hidden="false" customHeight="false" outlineLevel="0" collapsed="false">
      <c r="A98" s="15" t="n">
        <v>43199</v>
      </c>
      <c r="B98" s="37" t="n">
        <v>11083.7</v>
      </c>
      <c r="C98" s="1" t="n">
        <f aca="false">YEAR(A98)</f>
        <v>2018</v>
      </c>
      <c r="D98" s="1" t="n">
        <f aca="false">MONTH(A98)</f>
        <v>4</v>
      </c>
    </row>
    <row r="99" customFormat="false" ht="14.25" hidden="false" customHeight="false" outlineLevel="0" collapsed="false">
      <c r="A99" s="15" t="n">
        <v>43229</v>
      </c>
      <c r="B99" s="37" t="n">
        <v>484.76</v>
      </c>
      <c r="C99" s="1" t="n">
        <f aca="false">YEAR(A99)</f>
        <v>2018</v>
      </c>
      <c r="D99" s="1" t="n">
        <f aca="false">MONTH(A99)</f>
        <v>5</v>
      </c>
    </row>
    <row r="100" customFormat="false" ht="14.25" hidden="false" customHeight="false" outlineLevel="0" collapsed="false">
      <c r="A100" s="15" t="n">
        <v>43260</v>
      </c>
      <c r="B100" s="37" t="n">
        <v>11997.67</v>
      </c>
      <c r="C100" s="1" t="n">
        <f aca="false">YEAR(A100)</f>
        <v>2018</v>
      </c>
      <c r="D100" s="1" t="n">
        <f aca="false">MONTH(A100)</f>
        <v>6</v>
      </c>
    </row>
    <row r="101" customFormat="false" ht="14.25" hidden="false" customHeight="false" outlineLevel="0" collapsed="false">
      <c r="A101" s="15" t="n">
        <v>43290</v>
      </c>
      <c r="B101" s="37" t="n">
        <v>19519.06</v>
      </c>
      <c r="C101" s="1" t="n">
        <f aca="false">YEAR(A101)</f>
        <v>2018</v>
      </c>
      <c r="D101" s="1" t="n">
        <f aca="false">MONTH(A101)</f>
        <v>7</v>
      </c>
    </row>
    <row r="102" customFormat="false" ht="14.25" hidden="false" customHeight="false" outlineLevel="0" collapsed="false">
      <c r="A102" s="15" t="n">
        <v>43321</v>
      </c>
      <c r="B102" s="37" t="n">
        <v>18894.88</v>
      </c>
      <c r="C102" s="1" t="n">
        <f aca="false">YEAR(A102)</f>
        <v>2018</v>
      </c>
      <c r="D102" s="1" t="n">
        <f aca="false">MONTH(A102)</f>
        <v>8</v>
      </c>
    </row>
    <row r="103" customFormat="false" ht="14.25" hidden="false" customHeight="false" outlineLevel="0" collapsed="false">
      <c r="A103" s="15" t="n">
        <v>43352</v>
      </c>
      <c r="B103" s="37" t="n">
        <v>2712.72</v>
      </c>
      <c r="C103" s="1" t="n">
        <f aca="false">YEAR(A103)</f>
        <v>2018</v>
      </c>
      <c r="D103" s="1" t="n">
        <f aca="false">MONTH(A103)</f>
        <v>9</v>
      </c>
    </row>
    <row r="104" customFormat="false" ht="14.25" hidden="false" customHeight="false" outlineLevel="0" collapsed="false">
      <c r="A104" s="15" t="n">
        <v>43382</v>
      </c>
      <c r="B104" s="37" t="n">
        <v>3365.96</v>
      </c>
      <c r="C104" s="1" t="n">
        <f aca="false">YEAR(A104)</f>
        <v>2018</v>
      </c>
      <c r="D104" s="1" t="n">
        <f aca="false">MONTH(A104)</f>
        <v>10</v>
      </c>
    </row>
    <row r="105" customFormat="false" ht="14.25" hidden="false" customHeight="false" outlineLevel="0" collapsed="false">
      <c r="A105" s="15" t="n">
        <v>43413</v>
      </c>
      <c r="B105" s="37" t="n">
        <v>16474.94</v>
      </c>
      <c r="C105" s="1" t="n">
        <f aca="false">YEAR(A105)</f>
        <v>2018</v>
      </c>
      <c r="D105" s="1" t="n">
        <f aca="false">MONTH(A105)</f>
        <v>11</v>
      </c>
    </row>
    <row r="106" customFormat="false" ht="14.25" hidden="false" customHeight="false" outlineLevel="0" collapsed="false">
      <c r="A106" s="15" t="n">
        <v>43443</v>
      </c>
      <c r="B106" s="37" t="n">
        <v>26098.58</v>
      </c>
      <c r="C106" s="1" t="n">
        <f aca="false">YEAR(A106)</f>
        <v>2018</v>
      </c>
      <c r="D106" s="1" t="n">
        <f aca="false">MONTH(A106)</f>
        <v>12</v>
      </c>
    </row>
    <row r="107" customFormat="false" ht="14.25" hidden="false" customHeight="false" outlineLevel="0" collapsed="false">
      <c r="A107" s="15" t="n">
        <v>43110</v>
      </c>
      <c r="B107" s="37" t="n">
        <v>19873.62</v>
      </c>
      <c r="C107" s="1" t="n">
        <f aca="false">YEAR(A107)</f>
        <v>2018</v>
      </c>
      <c r="D107" s="1" t="n">
        <f aca="false">MONTH(A107)</f>
        <v>1</v>
      </c>
    </row>
    <row r="108" customFormat="false" ht="14.25" hidden="false" customHeight="false" outlineLevel="0" collapsed="false">
      <c r="A108" s="15" t="n">
        <v>43141</v>
      </c>
      <c r="B108" s="37" t="n">
        <v>21075.9</v>
      </c>
      <c r="C108" s="1" t="n">
        <f aca="false">YEAR(A108)</f>
        <v>2018</v>
      </c>
      <c r="D108" s="1" t="n">
        <f aca="false">MONTH(A108)</f>
        <v>2</v>
      </c>
    </row>
    <row r="109" customFormat="false" ht="14.25" hidden="false" customHeight="false" outlineLevel="0" collapsed="false">
      <c r="A109" s="15" t="n">
        <v>43169</v>
      </c>
      <c r="B109" s="37" t="n">
        <v>3194.39</v>
      </c>
      <c r="C109" s="1" t="n">
        <f aca="false">YEAR(A109)</f>
        <v>2018</v>
      </c>
      <c r="D109" s="1" t="n">
        <f aca="false">MONTH(A109)</f>
        <v>3</v>
      </c>
    </row>
    <row r="110" customFormat="false" ht="14.25" hidden="false" customHeight="false" outlineLevel="0" collapsed="false">
      <c r="A110" s="15" t="n">
        <v>43200</v>
      </c>
      <c r="B110" s="37" t="n">
        <v>21281.07</v>
      </c>
      <c r="C110" s="1" t="n">
        <f aca="false">YEAR(A110)</f>
        <v>2018</v>
      </c>
      <c r="D110" s="1" t="n">
        <f aca="false">MONTH(A110)</f>
        <v>4</v>
      </c>
    </row>
    <row r="111" customFormat="false" ht="14.25" hidden="false" customHeight="false" outlineLevel="0" collapsed="false">
      <c r="A111" s="15" t="n">
        <v>43230</v>
      </c>
      <c r="B111" s="37" t="n">
        <v>8515.31</v>
      </c>
      <c r="C111" s="1" t="n">
        <f aca="false">YEAR(A111)</f>
        <v>2018</v>
      </c>
      <c r="D111" s="1" t="n">
        <f aca="false">MONTH(A111)</f>
        <v>5</v>
      </c>
    </row>
    <row r="112" customFormat="false" ht="14.25" hidden="false" customHeight="false" outlineLevel="0" collapsed="false">
      <c r="A112" s="15" t="n">
        <v>43261</v>
      </c>
      <c r="B112" s="37" t="n">
        <v>2106.79</v>
      </c>
      <c r="C112" s="1" t="n">
        <f aca="false">YEAR(A112)</f>
        <v>2018</v>
      </c>
      <c r="D112" s="1" t="n">
        <f aca="false">MONTH(A112)</f>
        <v>6</v>
      </c>
    </row>
    <row r="113" customFormat="false" ht="14.25" hidden="false" customHeight="false" outlineLevel="0" collapsed="false">
      <c r="A113" s="15" t="n">
        <v>43291</v>
      </c>
      <c r="B113" s="37" t="n">
        <v>431.39</v>
      </c>
      <c r="C113" s="1" t="n">
        <f aca="false">YEAR(A113)</f>
        <v>2018</v>
      </c>
      <c r="D113" s="1" t="n">
        <f aca="false">MONTH(A113)</f>
        <v>7</v>
      </c>
    </row>
    <row r="114" customFormat="false" ht="14.25" hidden="false" customHeight="false" outlineLevel="0" collapsed="false">
      <c r="A114" s="15" t="n">
        <v>43322</v>
      </c>
      <c r="B114" s="37" t="n">
        <v>8750.6</v>
      </c>
      <c r="C114" s="1" t="n">
        <f aca="false">YEAR(A114)</f>
        <v>2018</v>
      </c>
      <c r="D114" s="1" t="n">
        <f aca="false">MONTH(A114)</f>
        <v>8</v>
      </c>
    </row>
    <row r="115" customFormat="false" ht="14.25" hidden="false" customHeight="false" outlineLevel="0" collapsed="false">
      <c r="A115" s="15" t="n">
        <v>43353</v>
      </c>
      <c r="B115" s="37" t="n">
        <v>7663.54</v>
      </c>
      <c r="C115" s="1" t="n">
        <f aca="false">YEAR(A115)</f>
        <v>2018</v>
      </c>
      <c r="D115" s="1" t="n">
        <f aca="false">MONTH(A115)</f>
        <v>9</v>
      </c>
    </row>
    <row r="116" customFormat="false" ht="14.25" hidden="false" customHeight="false" outlineLevel="0" collapsed="false">
      <c r="A116" s="15" t="n">
        <v>43383</v>
      </c>
      <c r="B116" s="37" t="n">
        <v>12481.76</v>
      </c>
      <c r="C116" s="1" t="n">
        <f aca="false">YEAR(A116)</f>
        <v>2018</v>
      </c>
      <c r="D116" s="1" t="n">
        <f aca="false">MONTH(A116)</f>
        <v>10</v>
      </c>
    </row>
    <row r="117" customFormat="false" ht="14.25" hidden="false" customHeight="false" outlineLevel="0" collapsed="false">
      <c r="A117" s="15" t="n">
        <v>43414</v>
      </c>
      <c r="B117" s="37" t="n">
        <v>6537.11</v>
      </c>
      <c r="C117" s="1" t="n">
        <f aca="false">YEAR(A117)</f>
        <v>2018</v>
      </c>
      <c r="D117" s="1" t="n">
        <f aca="false">MONTH(A117)</f>
        <v>11</v>
      </c>
    </row>
    <row r="118" customFormat="false" ht="14.25" hidden="false" customHeight="false" outlineLevel="0" collapsed="false">
      <c r="A118" s="15" t="n">
        <v>43444</v>
      </c>
      <c r="B118" s="37" t="n">
        <v>21813.31</v>
      </c>
      <c r="C118" s="1" t="n">
        <f aca="false">YEAR(A118)</f>
        <v>2018</v>
      </c>
      <c r="D118" s="1" t="n">
        <f aca="false">MONTH(A118)</f>
        <v>12</v>
      </c>
    </row>
    <row r="119" customFormat="false" ht="14.25" hidden="false" customHeight="false" outlineLevel="0" collapsed="false">
      <c r="A119" s="15" t="n">
        <v>43142</v>
      </c>
      <c r="B119" s="37" t="n">
        <v>6937.37</v>
      </c>
      <c r="C119" s="1" t="n">
        <f aca="false">YEAR(A119)</f>
        <v>2018</v>
      </c>
      <c r="D119" s="1" t="n">
        <f aca="false">MONTH(A119)</f>
        <v>2</v>
      </c>
    </row>
    <row r="120" customFormat="false" ht="14.25" hidden="false" customHeight="false" outlineLevel="0" collapsed="false">
      <c r="A120" s="15" t="n">
        <v>43170</v>
      </c>
      <c r="B120" s="37" t="n">
        <v>2961.16</v>
      </c>
      <c r="C120" s="1" t="n">
        <f aca="false">YEAR(A120)</f>
        <v>2018</v>
      </c>
      <c r="D120" s="1" t="n">
        <f aca="false">MONTH(A120)</f>
        <v>3</v>
      </c>
    </row>
    <row r="121" customFormat="false" ht="14.25" hidden="false" customHeight="false" outlineLevel="0" collapsed="false">
      <c r="A121" s="15" t="n">
        <v>43201</v>
      </c>
      <c r="B121" s="37" t="n">
        <v>1594.69</v>
      </c>
      <c r="C121" s="1" t="n">
        <f aca="false">YEAR(A121)</f>
        <v>2018</v>
      </c>
      <c r="D121" s="1" t="n">
        <f aca="false">MONTH(A121)</f>
        <v>4</v>
      </c>
    </row>
    <row r="122" customFormat="false" ht="14.25" hidden="false" customHeight="false" outlineLevel="0" collapsed="false">
      <c r="A122" s="15" t="n">
        <v>43231</v>
      </c>
      <c r="B122" s="37" t="n">
        <v>14616.16</v>
      </c>
      <c r="C122" s="1" t="n">
        <f aca="false">YEAR(A122)</f>
        <v>2018</v>
      </c>
      <c r="D122" s="1" t="n">
        <f aca="false">MONTH(A122)</f>
        <v>5</v>
      </c>
    </row>
    <row r="123" customFormat="false" ht="14.25" hidden="false" customHeight="false" outlineLevel="0" collapsed="false">
      <c r="A123" s="15" t="n">
        <v>43262</v>
      </c>
      <c r="B123" s="37" t="n">
        <v>2612.02</v>
      </c>
      <c r="C123" s="1" t="n">
        <f aca="false">YEAR(A123)</f>
        <v>2018</v>
      </c>
      <c r="D123" s="1" t="n">
        <f aca="false">MONTH(A123)</f>
        <v>6</v>
      </c>
    </row>
    <row r="124" customFormat="false" ht="14.25" hidden="false" customHeight="false" outlineLevel="0" collapsed="false">
      <c r="A124" s="15" t="n">
        <v>43292</v>
      </c>
      <c r="B124" s="37" t="n">
        <v>3260.64</v>
      </c>
      <c r="C124" s="1" t="n">
        <f aca="false">YEAR(A124)</f>
        <v>2018</v>
      </c>
      <c r="D124" s="1" t="n">
        <f aca="false">MONTH(A124)</f>
        <v>7</v>
      </c>
    </row>
    <row r="125" customFormat="false" ht="14.25" hidden="false" customHeight="false" outlineLevel="0" collapsed="false">
      <c r="A125" s="15" t="n">
        <v>43323</v>
      </c>
      <c r="B125" s="37" t="n">
        <v>22584.18</v>
      </c>
      <c r="C125" s="1" t="n">
        <f aca="false">YEAR(A125)</f>
        <v>2018</v>
      </c>
      <c r="D125" s="1" t="n">
        <f aca="false">MONTH(A125)</f>
        <v>8</v>
      </c>
    </row>
    <row r="126" customFormat="false" ht="14.25" hidden="false" customHeight="false" outlineLevel="0" collapsed="false">
      <c r="A126" s="15" t="n">
        <v>43354</v>
      </c>
      <c r="B126" s="37" t="n">
        <v>8545.14</v>
      </c>
      <c r="C126" s="1" t="n">
        <f aca="false">YEAR(A126)</f>
        <v>2018</v>
      </c>
      <c r="D126" s="1" t="n">
        <f aca="false">MONTH(A126)</f>
        <v>9</v>
      </c>
    </row>
    <row r="127" customFormat="false" ht="14.25" hidden="false" customHeight="false" outlineLevel="0" collapsed="false">
      <c r="A127" s="15" t="n">
        <v>43384</v>
      </c>
      <c r="B127" s="37" t="n">
        <v>3221.65</v>
      </c>
      <c r="C127" s="1" t="n">
        <f aca="false">YEAR(A127)</f>
        <v>2018</v>
      </c>
      <c r="D127" s="1" t="n">
        <f aca="false">MONTH(A127)</f>
        <v>10</v>
      </c>
    </row>
    <row r="128" customFormat="false" ht="14.25" hidden="false" customHeight="false" outlineLevel="0" collapsed="false">
      <c r="A128" s="15" t="n">
        <v>43415</v>
      </c>
      <c r="B128" s="37" t="n">
        <v>17298.31</v>
      </c>
      <c r="C128" s="1" t="n">
        <f aca="false">YEAR(A128)</f>
        <v>2018</v>
      </c>
      <c r="D128" s="1" t="n">
        <f aca="false">MONTH(A128)</f>
        <v>11</v>
      </c>
    </row>
    <row r="129" customFormat="false" ht="14.25" hidden="false" customHeight="false" outlineLevel="0" collapsed="false">
      <c r="A129" s="15" t="n">
        <v>43445</v>
      </c>
      <c r="B129" s="37" t="n">
        <v>482.56</v>
      </c>
      <c r="C129" s="1" t="n">
        <f aca="false">YEAR(A129)</f>
        <v>2018</v>
      </c>
      <c r="D129" s="1" t="n">
        <f aca="false">MONTH(A129)</f>
        <v>12</v>
      </c>
    </row>
    <row r="130" customFormat="false" ht="14.25" hidden="false" customHeight="false" outlineLevel="0" collapsed="false">
      <c r="A130" s="15" t="n">
        <v>43112</v>
      </c>
      <c r="B130" s="37" t="n">
        <v>4462.14</v>
      </c>
      <c r="C130" s="1" t="n">
        <f aca="false">YEAR(A130)</f>
        <v>2018</v>
      </c>
      <c r="D130" s="1" t="n">
        <f aca="false">MONTH(A130)</f>
        <v>1</v>
      </c>
    </row>
    <row r="131" customFormat="false" ht="14.25" hidden="false" customHeight="false" outlineLevel="0" collapsed="false">
      <c r="A131" s="15" t="n">
        <v>43143</v>
      </c>
      <c r="B131" s="37" t="n">
        <v>17527.62</v>
      </c>
      <c r="C131" s="1" t="n">
        <f aca="false">YEAR(A131)</f>
        <v>2018</v>
      </c>
      <c r="D131" s="1" t="n">
        <f aca="false">MONTH(A131)</f>
        <v>2</v>
      </c>
    </row>
    <row r="132" customFormat="false" ht="14.25" hidden="false" customHeight="false" outlineLevel="0" collapsed="false">
      <c r="A132" s="15" t="n">
        <v>43171</v>
      </c>
      <c r="B132" s="37" t="n">
        <v>9367.77</v>
      </c>
      <c r="C132" s="1" t="n">
        <f aca="false">YEAR(A132)</f>
        <v>2018</v>
      </c>
      <c r="D132" s="1" t="n">
        <f aca="false">MONTH(A132)</f>
        <v>3</v>
      </c>
    </row>
    <row r="133" customFormat="false" ht="14.25" hidden="false" customHeight="false" outlineLevel="0" collapsed="false">
      <c r="A133" s="15" t="n">
        <v>43202</v>
      </c>
      <c r="B133" s="37" t="n">
        <v>11514.96</v>
      </c>
      <c r="C133" s="1" t="n">
        <f aca="false">YEAR(A133)</f>
        <v>2018</v>
      </c>
      <c r="D133" s="1" t="n">
        <f aca="false">MONTH(A133)</f>
        <v>4</v>
      </c>
    </row>
    <row r="134" customFormat="false" ht="14.25" hidden="false" customHeight="false" outlineLevel="0" collapsed="false">
      <c r="A134" s="15" t="n">
        <v>43232</v>
      </c>
      <c r="B134" s="37" t="n">
        <v>163.23</v>
      </c>
      <c r="C134" s="1" t="n">
        <f aca="false">YEAR(A134)</f>
        <v>2018</v>
      </c>
      <c r="D134" s="1" t="n">
        <f aca="false">MONTH(A134)</f>
        <v>5</v>
      </c>
    </row>
    <row r="135" customFormat="false" ht="14.25" hidden="false" customHeight="false" outlineLevel="0" collapsed="false">
      <c r="A135" s="15" t="n">
        <v>43263</v>
      </c>
      <c r="B135" s="37" t="n">
        <v>12010.13</v>
      </c>
      <c r="C135" s="1" t="n">
        <f aca="false">YEAR(A135)</f>
        <v>2018</v>
      </c>
      <c r="D135" s="1" t="n">
        <f aca="false">MONTH(A135)</f>
        <v>6</v>
      </c>
    </row>
    <row r="136" customFormat="false" ht="14.25" hidden="false" customHeight="false" outlineLevel="0" collapsed="false">
      <c r="A136" s="15" t="n">
        <v>43293</v>
      </c>
      <c r="B136" s="37" t="n">
        <v>2140.08</v>
      </c>
      <c r="C136" s="1" t="n">
        <f aca="false">YEAR(A136)</f>
        <v>2018</v>
      </c>
      <c r="D136" s="1" t="n">
        <f aca="false">MONTH(A136)</f>
        <v>7</v>
      </c>
    </row>
    <row r="137" customFormat="false" ht="14.25" hidden="false" customHeight="false" outlineLevel="0" collapsed="false">
      <c r="A137" s="15" t="n">
        <v>43324</v>
      </c>
      <c r="B137" s="37" t="n">
        <v>906.72</v>
      </c>
      <c r="C137" s="1" t="n">
        <f aca="false">YEAR(A137)</f>
        <v>2018</v>
      </c>
      <c r="D137" s="1" t="n">
        <f aca="false">MONTH(A137)</f>
        <v>8</v>
      </c>
    </row>
    <row r="138" customFormat="false" ht="14.25" hidden="false" customHeight="false" outlineLevel="0" collapsed="false">
      <c r="A138" s="15" t="n">
        <v>43355</v>
      </c>
      <c r="B138" s="37" t="n">
        <v>5973.67</v>
      </c>
      <c r="C138" s="1" t="n">
        <f aca="false">YEAR(A138)</f>
        <v>2018</v>
      </c>
      <c r="D138" s="1" t="n">
        <f aca="false">MONTH(A138)</f>
        <v>9</v>
      </c>
    </row>
    <row r="139" customFormat="false" ht="14.25" hidden="false" customHeight="false" outlineLevel="0" collapsed="false">
      <c r="A139" s="15" t="n">
        <v>43385</v>
      </c>
      <c r="B139" s="37" t="n">
        <v>674.77</v>
      </c>
      <c r="C139" s="1" t="n">
        <f aca="false">YEAR(A139)</f>
        <v>2018</v>
      </c>
      <c r="D139" s="1" t="n">
        <f aca="false">MONTH(A139)</f>
        <v>10</v>
      </c>
    </row>
    <row r="140" customFormat="false" ht="14.25" hidden="false" customHeight="false" outlineLevel="0" collapsed="false">
      <c r="A140" s="15" t="n">
        <v>43416</v>
      </c>
      <c r="B140" s="37" t="n">
        <v>16439.74</v>
      </c>
      <c r="C140" s="1" t="n">
        <f aca="false">YEAR(A140)</f>
        <v>2018</v>
      </c>
      <c r="D140" s="1" t="n">
        <f aca="false">MONTH(A140)</f>
        <v>11</v>
      </c>
    </row>
    <row r="141" customFormat="false" ht="14.25" hidden="false" customHeight="false" outlineLevel="0" collapsed="false">
      <c r="A141" s="15" t="n">
        <v>43446</v>
      </c>
      <c r="B141" s="37" t="n">
        <v>12837.74</v>
      </c>
      <c r="C141" s="1" t="n">
        <f aca="false">YEAR(A141)</f>
        <v>2018</v>
      </c>
      <c r="D141" s="1" t="n">
        <f aca="false">MONTH(A141)</f>
        <v>12</v>
      </c>
    </row>
    <row r="142" customFormat="false" ht="14.25" hidden="false" customHeight="false" outlineLevel="0" collapsed="false">
      <c r="A142" s="15" t="n">
        <v>43113</v>
      </c>
      <c r="B142" s="37" t="n">
        <v>5808.48</v>
      </c>
      <c r="C142" s="1" t="n">
        <f aca="false">YEAR(A142)</f>
        <v>2018</v>
      </c>
      <c r="D142" s="1" t="n">
        <f aca="false">MONTH(A142)</f>
        <v>1</v>
      </c>
    </row>
    <row r="143" customFormat="false" ht="14.25" hidden="false" customHeight="false" outlineLevel="0" collapsed="false">
      <c r="A143" s="15" t="n">
        <v>43144</v>
      </c>
      <c r="B143" s="37" t="n">
        <v>9726.81</v>
      </c>
      <c r="C143" s="1" t="n">
        <f aca="false">YEAR(A143)</f>
        <v>2018</v>
      </c>
      <c r="D143" s="1" t="n">
        <f aca="false">MONTH(A143)</f>
        <v>2</v>
      </c>
    </row>
    <row r="144" customFormat="false" ht="14.25" hidden="false" customHeight="false" outlineLevel="0" collapsed="false">
      <c r="A144" s="15" t="n">
        <v>43172</v>
      </c>
      <c r="B144" s="37" t="n">
        <v>288.15</v>
      </c>
      <c r="C144" s="1" t="n">
        <f aca="false">YEAR(A144)</f>
        <v>2018</v>
      </c>
      <c r="D144" s="1" t="n">
        <f aca="false">MONTH(A144)</f>
        <v>3</v>
      </c>
    </row>
    <row r="145" customFormat="false" ht="14.25" hidden="false" customHeight="false" outlineLevel="0" collapsed="false">
      <c r="A145" s="15" t="n">
        <v>43233</v>
      </c>
      <c r="B145" s="37" t="n">
        <v>12673.63</v>
      </c>
      <c r="C145" s="1" t="n">
        <f aca="false">YEAR(A145)</f>
        <v>2018</v>
      </c>
      <c r="D145" s="1" t="n">
        <f aca="false">MONTH(A145)</f>
        <v>5</v>
      </c>
    </row>
    <row r="146" customFormat="false" ht="14.25" hidden="false" customHeight="false" outlineLevel="0" collapsed="false">
      <c r="A146" s="15" t="n">
        <v>43264</v>
      </c>
      <c r="B146" s="37" t="n">
        <v>6021.39</v>
      </c>
      <c r="C146" s="1" t="n">
        <f aca="false">YEAR(A146)</f>
        <v>2018</v>
      </c>
      <c r="D146" s="1" t="n">
        <f aca="false">MONTH(A146)</f>
        <v>6</v>
      </c>
    </row>
    <row r="147" customFormat="false" ht="14.25" hidden="false" customHeight="false" outlineLevel="0" collapsed="false">
      <c r="A147" s="15" t="n">
        <v>43294</v>
      </c>
      <c r="B147" s="37" t="n">
        <v>2795.68</v>
      </c>
      <c r="C147" s="1" t="n">
        <f aca="false">YEAR(A147)</f>
        <v>2018</v>
      </c>
      <c r="D147" s="1" t="n">
        <f aca="false">MONTH(A147)</f>
        <v>7</v>
      </c>
    </row>
    <row r="148" customFormat="false" ht="14.25" hidden="false" customHeight="false" outlineLevel="0" collapsed="false">
      <c r="A148" s="15" t="n">
        <v>43325</v>
      </c>
      <c r="B148" s="37" t="n">
        <v>13250.74</v>
      </c>
      <c r="C148" s="1" t="n">
        <f aca="false">YEAR(A148)</f>
        <v>2018</v>
      </c>
      <c r="D148" s="1" t="n">
        <f aca="false">MONTH(A148)</f>
        <v>8</v>
      </c>
    </row>
    <row r="149" customFormat="false" ht="14.25" hidden="false" customHeight="false" outlineLevel="0" collapsed="false">
      <c r="A149" s="15" t="n">
        <v>43356</v>
      </c>
      <c r="B149" s="37" t="n">
        <v>6177.85</v>
      </c>
      <c r="C149" s="1" t="n">
        <f aca="false">YEAR(A149)</f>
        <v>2018</v>
      </c>
      <c r="D149" s="1" t="n">
        <f aca="false">MONTH(A149)</f>
        <v>9</v>
      </c>
    </row>
    <row r="150" customFormat="false" ht="14.25" hidden="false" customHeight="false" outlineLevel="0" collapsed="false">
      <c r="A150" s="15" t="n">
        <v>43386</v>
      </c>
      <c r="B150" s="37" t="n">
        <v>227.1</v>
      </c>
      <c r="C150" s="1" t="n">
        <f aca="false">YEAR(A150)</f>
        <v>2018</v>
      </c>
      <c r="D150" s="1" t="n">
        <f aca="false">MONTH(A150)</f>
        <v>10</v>
      </c>
    </row>
    <row r="151" customFormat="false" ht="14.25" hidden="false" customHeight="false" outlineLevel="0" collapsed="false">
      <c r="A151" s="15" t="n">
        <v>43417</v>
      </c>
      <c r="B151" s="37" t="n">
        <v>265.27</v>
      </c>
      <c r="C151" s="1" t="n">
        <f aca="false">YEAR(A151)</f>
        <v>2018</v>
      </c>
      <c r="D151" s="1" t="n">
        <f aca="false">MONTH(A151)</f>
        <v>11</v>
      </c>
    </row>
    <row r="152" customFormat="false" ht="14.25" hidden="false" customHeight="false" outlineLevel="0" collapsed="false">
      <c r="A152" s="15" t="n">
        <v>43447</v>
      </c>
      <c r="B152" s="37" t="n">
        <v>12717.62</v>
      </c>
      <c r="C152" s="1" t="n">
        <f aca="false">YEAR(A152)</f>
        <v>2018</v>
      </c>
      <c r="D152" s="1" t="n">
        <f aca="false">MONTH(A152)</f>
        <v>12</v>
      </c>
    </row>
    <row r="153" customFormat="false" ht="14.25" hidden="false" customHeight="false" outlineLevel="0" collapsed="false">
      <c r="A153" s="15" t="n">
        <v>43114</v>
      </c>
      <c r="B153" s="37" t="n">
        <v>8517.55</v>
      </c>
      <c r="C153" s="1" t="n">
        <f aca="false">YEAR(A153)</f>
        <v>2018</v>
      </c>
      <c r="D153" s="1" t="n">
        <f aca="false">MONTH(A153)</f>
        <v>1</v>
      </c>
    </row>
    <row r="154" customFormat="false" ht="14.25" hidden="false" customHeight="false" outlineLevel="0" collapsed="false">
      <c r="A154" s="15" t="n">
        <v>43145</v>
      </c>
      <c r="B154" s="37" t="n">
        <v>17821.78</v>
      </c>
      <c r="C154" s="1" t="n">
        <f aca="false">YEAR(A154)</f>
        <v>2018</v>
      </c>
      <c r="D154" s="1" t="n">
        <f aca="false">MONTH(A154)</f>
        <v>2</v>
      </c>
    </row>
    <row r="155" customFormat="false" ht="14.25" hidden="false" customHeight="false" outlineLevel="0" collapsed="false">
      <c r="A155" s="15" t="n">
        <v>43173</v>
      </c>
      <c r="B155" s="37" t="n">
        <v>50026.7</v>
      </c>
      <c r="C155" s="1" t="n">
        <f aca="false">YEAR(A155)</f>
        <v>2018</v>
      </c>
      <c r="D155" s="1" t="n">
        <f aca="false">MONTH(A155)</f>
        <v>3</v>
      </c>
    </row>
    <row r="156" customFormat="false" ht="14.25" hidden="false" customHeight="false" outlineLevel="0" collapsed="false">
      <c r="A156" s="15" t="n">
        <v>43204</v>
      </c>
      <c r="B156" s="37" t="n">
        <v>15653.24</v>
      </c>
      <c r="C156" s="1" t="n">
        <f aca="false">YEAR(A156)</f>
        <v>2018</v>
      </c>
      <c r="D156" s="1" t="n">
        <f aca="false">MONTH(A156)</f>
        <v>4</v>
      </c>
    </row>
    <row r="157" customFormat="false" ht="14.25" hidden="false" customHeight="false" outlineLevel="0" collapsed="false">
      <c r="A157" s="15" t="n">
        <v>43234</v>
      </c>
      <c r="B157" s="37" t="n">
        <v>2038.48</v>
      </c>
      <c r="C157" s="1" t="n">
        <f aca="false">YEAR(A157)</f>
        <v>2018</v>
      </c>
      <c r="D157" s="1" t="n">
        <f aca="false">MONTH(A157)</f>
        <v>5</v>
      </c>
    </row>
    <row r="158" customFormat="false" ht="14.25" hidden="false" customHeight="false" outlineLevel="0" collapsed="false">
      <c r="A158" s="15" t="n">
        <v>43265</v>
      </c>
      <c r="B158" s="37" t="n">
        <v>158.75</v>
      </c>
      <c r="C158" s="1" t="n">
        <f aca="false">YEAR(A158)</f>
        <v>2018</v>
      </c>
      <c r="D158" s="1" t="n">
        <f aca="false">MONTH(A158)</f>
        <v>6</v>
      </c>
    </row>
    <row r="159" customFormat="false" ht="14.25" hidden="false" customHeight="false" outlineLevel="0" collapsed="false">
      <c r="A159" s="15" t="n">
        <v>43295</v>
      </c>
      <c r="B159" s="37" t="n">
        <v>15635.97</v>
      </c>
      <c r="C159" s="1" t="n">
        <f aca="false">YEAR(A159)</f>
        <v>2018</v>
      </c>
      <c r="D159" s="1" t="n">
        <f aca="false">MONTH(A159)</f>
        <v>7</v>
      </c>
    </row>
    <row r="160" customFormat="false" ht="14.25" hidden="false" customHeight="false" outlineLevel="0" collapsed="false">
      <c r="A160" s="15" t="n">
        <v>43326</v>
      </c>
      <c r="B160" s="37" t="n">
        <v>5302.73</v>
      </c>
      <c r="C160" s="1" t="n">
        <f aca="false">YEAR(A160)</f>
        <v>2018</v>
      </c>
      <c r="D160" s="1" t="n">
        <f aca="false">MONTH(A160)</f>
        <v>8</v>
      </c>
    </row>
    <row r="161" customFormat="false" ht="14.25" hidden="false" customHeight="false" outlineLevel="0" collapsed="false">
      <c r="A161" s="15" t="n">
        <v>43357</v>
      </c>
      <c r="B161" s="37" t="n">
        <v>12759.69</v>
      </c>
      <c r="C161" s="1" t="n">
        <f aca="false">YEAR(A161)</f>
        <v>2018</v>
      </c>
      <c r="D161" s="1" t="n">
        <f aca="false">MONTH(A161)</f>
        <v>9</v>
      </c>
    </row>
    <row r="162" customFormat="false" ht="14.25" hidden="false" customHeight="false" outlineLevel="0" collapsed="false">
      <c r="A162" s="15" t="n">
        <v>43387</v>
      </c>
      <c r="B162" s="37" t="n">
        <v>24196.66</v>
      </c>
      <c r="C162" s="1" t="n">
        <f aca="false">YEAR(A162)</f>
        <v>2018</v>
      </c>
      <c r="D162" s="1" t="n">
        <f aca="false">MONTH(A162)</f>
        <v>10</v>
      </c>
    </row>
    <row r="163" customFormat="false" ht="14.25" hidden="false" customHeight="false" outlineLevel="0" collapsed="false">
      <c r="A163" s="15" t="n">
        <v>43418</v>
      </c>
      <c r="B163" s="37" t="n">
        <v>6100.65</v>
      </c>
      <c r="C163" s="1" t="n">
        <f aca="false">YEAR(A163)</f>
        <v>2018</v>
      </c>
      <c r="D163" s="1" t="n">
        <f aca="false">MONTH(A163)</f>
        <v>11</v>
      </c>
    </row>
    <row r="164" customFormat="false" ht="14.25" hidden="false" customHeight="false" outlineLevel="0" collapsed="false">
      <c r="A164" s="15" t="n">
        <v>43448</v>
      </c>
      <c r="B164" s="37" t="n">
        <v>2429.47</v>
      </c>
      <c r="C164" s="1" t="n">
        <f aca="false">YEAR(A164)</f>
        <v>2018</v>
      </c>
      <c r="D164" s="1" t="n">
        <f aca="false">MONTH(A164)</f>
        <v>12</v>
      </c>
    </row>
    <row r="165" customFormat="false" ht="14.25" hidden="false" customHeight="false" outlineLevel="0" collapsed="false">
      <c r="A165" s="15" t="n">
        <v>43115</v>
      </c>
      <c r="B165" s="37" t="n">
        <v>48.82</v>
      </c>
      <c r="C165" s="1" t="n">
        <f aca="false">YEAR(A165)</f>
        <v>2018</v>
      </c>
      <c r="D165" s="1" t="n">
        <f aca="false">MONTH(A165)</f>
        <v>1</v>
      </c>
    </row>
    <row r="166" customFormat="false" ht="14.25" hidden="false" customHeight="false" outlineLevel="0" collapsed="false">
      <c r="A166" s="15" t="n">
        <v>43146</v>
      </c>
      <c r="B166" s="37" t="n">
        <v>1528.09</v>
      </c>
      <c r="C166" s="1" t="n">
        <f aca="false">YEAR(A166)</f>
        <v>2018</v>
      </c>
      <c r="D166" s="1" t="n">
        <f aca="false">MONTH(A166)</f>
        <v>2</v>
      </c>
    </row>
    <row r="167" customFormat="false" ht="14.25" hidden="false" customHeight="false" outlineLevel="0" collapsed="false">
      <c r="A167" s="15" t="n">
        <v>43174</v>
      </c>
      <c r="B167" s="37" t="n">
        <v>2488.56</v>
      </c>
      <c r="C167" s="1" t="n">
        <f aca="false">YEAR(A167)</f>
        <v>2018</v>
      </c>
      <c r="D167" s="1" t="n">
        <f aca="false">MONTH(A167)</f>
        <v>3</v>
      </c>
    </row>
    <row r="168" customFormat="false" ht="14.25" hidden="false" customHeight="false" outlineLevel="0" collapsed="false">
      <c r="A168" s="15" t="n">
        <v>43205</v>
      </c>
      <c r="B168" s="37" t="n">
        <v>9863.02</v>
      </c>
      <c r="C168" s="1" t="n">
        <f aca="false">YEAR(A168)</f>
        <v>2018</v>
      </c>
      <c r="D168" s="1" t="n">
        <f aca="false">MONTH(A168)</f>
        <v>4</v>
      </c>
    </row>
    <row r="169" customFormat="false" ht="14.25" hidden="false" customHeight="false" outlineLevel="0" collapsed="false">
      <c r="A169" s="15" t="n">
        <v>43235</v>
      </c>
      <c r="B169" s="37" t="n">
        <v>2353.7</v>
      </c>
      <c r="C169" s="1" t="n">
        <f aca="false">YEAR(A169)</f>
        <v>2018</v>
      </c>
      <c r="D169" s="1" t="n">
        <f aca="false">MONTH(A169)</f>
        <v>5</v>
      </c>
    </row>
    <row r="170" customFormat="false" ht="14.25" hidden="false" customHeight="false" outlineLevel="0" collapsed="false">
      <c r="A170" s="15" t="n">
        <v>43266</v>
      </c>
      <c r="B170" s="37" t="n">
        <v>1146.9</v>
      </c>
      <c r="C170" s="1" t="n">
        <f aca="false">YEAR(A170)</f>
        <v>2018</v>
      </c>
      <c r="D170" s="1" t="n">
        <f aca="false">MONTH(A170)</f>
        <v>6</v>
      </c>
    </row>
    <row r="171" customFormat="false" ht="14.25" hidden="false" customHeight="false" outlineLevel="0" collapsed="false">
      <c r="A171" s="15" t="n">
        <v>43296</v>
      </c>
      <c r="B171" s="37" t="n">
        <v>4400.64</v>
      </c>
      <c r="C171" s="1" t="n">
        <f aca="false">YEAR(A171)</f>
        <v>2018</v>
      </c>
      <c r="D171" s="1" t="n">
        <f aca="false">MONTH(A171)</f>
        <v>7</v>
      </c>
    </row>
    <row r="172" customFormat="false" ht="14.25" hidden="false" customHeight="false" outlineLevel="0" collapsed="false">
      <c r="A172" s="15" t="n">
        <v>43327</v>
      </c>
      <c r="B172" s="37" t="n">
        <v>19070.9</v>
      </c>
      <c r="C172" s="1" t="n">
        <f aca="false">YEAR(A172)</f>
        <v>2018</v>
      </c>
      <c r="D172" s="1" t="n">
        <f aca="false">MONTH(A172)</f>
        <v>8</v>
      </c>
    </row>
    <row r="173" customFormat="false" ht="14.25" hidden="false" customHeight="false" outlineLevel="0" collapsed="false">
      <c r="A173" s="15" t="n">
        <v>43358</v>
      </c>
      <c r="B173" s="37" t="n">
        <v>687.05</v>
      </c>
      <c r="C173" s="1" t="n">
        <f aca="false">YEAR(A173)</f>
        <v>2018</v>
      </c>
      <c r="D173" s="1" t="n">
        <f aca="false">MONTH(A173)</f>
        <v>9</v>
      </c>
    </row>
    <row r="174" customFormat="false" ht="14.25" hidden="false" customHeight="false" outlineLevel="0" collapsed="false">
      <c r="A174" s="15" t="n">
        <v>43388</v>
      </c>
      <c r="B174" s="37" t="n">
        <v>14183.01</v>
      </c>
      <c r="C174" s="1" t="n">
        <f aca="false">YEAR(A174)</f>
        <v>2018</v>
      </c>
      <c r="D174" s="1" t="n">
        <f aca="false">MONTH(A174)</f>
        <v>10</v>
      </c>
    </row>
    <row r="175" customFormat="false" ht="14.25" hidden="false" customHeight="false" outlineLevel="0" collapsed="false">
      <c r="A175" s="15" t="n">
        <v>43419</v>
      </c>
      <c r="B175" s="37" t="n">
        <v>23841.31</v>
      </c>
      <c r="C175" s="1" t="n">
        <f aca="false">YEAR(A175)</f>
        <v>2018</v>
      </c>
      <c r="D175" s="1" t="n">
        <f aca="false">MONTH(A175)</f>
        <v>11</v>
      </c>
    </row>
    <row r="176" customFormat="false" ht="14.25" hidden="false" customHeight="false" outlineLevel="0" collapsed="false">
      <c r="A176" s="15" t="n">
        <v>43449</v>
      </c>
      <c r="B176" s="37" t="n">
        <v>17347.93</v>
      </c>
      <c r="C176" s="1" t="n">
        <f aca="false">YEAR(A176)</f>
        <v>2018</v>
      </c>
      <c r="D176" s="1" t="n">
        <f aca="false">MONTH(A176)</f>
        <v>12</v>
      </c>
    </row>
    <row r="177" customFormat="false" ht="14.25" hidden="false" customHeight="false" outlineLevel="0" collapsed="false">
      <c r="A177" s="15" t="n">
        <v>43116</v>
      </c>
      <c r="B177" s="37" t="n">
        <v>780.97</v>
      </c>
      <c r="C177" s="1" t="n">
        <f aca="false">YEAR(A177)</f>
        <v>2018</v>
      </c>
      <c r="D177" s="1" t="n">
        <f aca="false">MONTH(A177)</f>
        <v>1</v>
      </c>
    </row>
    <row r="178" customFormat="false" ht="14.25" hidden="false" customHeight="false" outlineLevel="0" collapsed="false">
      <c r="A178" s="15" t="n">
        <v>43147</v>
      </c>
      <c r="B178" s="37" t="n">
        <v>516.51</v>
      </c>
      <c r="C178" s="1" t="n">
        <f aca="false">YEAR(A178)</f>
        <v>2018</v>
      </c>
      <c r="D178" s="1" t="n">
        <f aca="false">MONTH(A178)</f>
        <v>2</v>
      </c>
    </row>
    <row r="179" customFormat="false" ht="14.25" hidden="false" customHeight="false" outlineLevel="0" collapsed="false">
      <c r="A179" s="15" t="n">
        <v>43175</v>
      </c>
      <c r="B179" s="37" t="n">
        <v>12394.97</v>
      </c>
      <c r="C179" s="1" t="n">
        <f aca="false">YEAR(A179)</f>
        <v>2018</v>
      </c>
      <c r="D179" s="1" t="n">
        <f aca="false">MONTH(A179)</f>
        <v>3</v>
      </c>
    </row>
    <row r="180" customFormat="false" ht="14.25" hidden="false" customHeight="false" outlineLevel="0" collapsed="false">
      <c r="A180" s="15" t="n">
        <v>43206</v>
      </c>
      <c r="B180" s="37" t="n">
        <v>9924.76</v>
      </c>
      <c r="C180" s="1" t="n">
        <f aca="false">YEAR(A180)</f>
        <v>2018</v>
      </c>
      <c r="D180" s="1" t="n">
        <f aca="false">MONTH(A180)</f>
        <v>4</v>
      </c>
    </row>
    <row r="181" customFormat="false" ht="14.25" hidden="false" customHeight="false" outlineLevel="0" collapsed="false">
      <c r="A181" s="15" t="n">
        <v>43236</v>
      </c>
      <c r="B181" s="37" t="n">
        <v>4931.89</v>
      </c>
      <c r="C181" s="1" t="n">
        <f aca="false">YEAR(A181)</f>
        <v>2018</v>
      </c>
      <c r="D181" s="1" t="n">
        <f aca="false">MONTH(A181)</f>
        <v>5</v>
      </c>
    </row>
    <row r="182" customFormat="false" ht="14.25" hidden="false" customHeight="false" outlineLevel="0" collapsed="false">
      <c r="A182" s="15" t="n">
        <v>43267</v>
      </c>
      <c r="B182" s="37" t="n">
        <v>9859.47</v>
      </c>
      <c r="C182" s="1" t="n">
        <f aca="false">YEAR(A182)</f>
        <v>2018</v>
      </c>
      <c r="D182" s="1" t="n">
        <f aca="false">MONTH(A182)</f>
        <v>6</v>
      </c>
    </row>
    <row r="183" customFormat="false" ht="14.25" hidden="false" customHeight="false" outlineLevel="0" collapsed="false">
      <c r="A183" s="15" t="n">
        <v>43297</v>
      </c>
      <c r="B183" s="37" t="n">
        <v>492.96</v>
      </c>
      <c r="C183" s="1" t="n">
        <f aca="false">YEAR(A183)</f>
        <v>2018</v>
      </c>
      <c r="D183" s="1" t="n">
        <f aca="false">MONTH(A183)</f>
        <v>7</v>
      </c>
    </row>
    <row r="184" customFormat="false" ht="14.25" hidden="false" customHeight="false" outlineLevel="0" collapsed="false">
      <c r="A184" s="15" t="n">
        <v>43328</v>
      </c>
      <c r="B184" s="37" t="n">
        <v>12243.49</v>
      </c>
      <c r="C184" s="1" t="n">
        <f aca="false">YEAR(A184)</f>
        <v>2018</v>
      </c>
      <c r="D184" s="1" t="n">
        <f aca="false">MONTH(A184)</f>
        <v>8</v>
      </c>
    </row>
    <row r="185" customFormat="false" ht="14.25" hidden="false" customHeight="false" outlineLevel="0" collapsed="false">
      <c r="A185" s="15" t="n">
        <v>43359</v>
      </c>
      <c r="B185" s="37" t="n">
        <v>845.24</v>
      </c>
      <c r="C185" s="1" t="n">
        <f aca="false">YEAR(A185)</f>
        <v>2018</v>
      </c>
      <c r="D185" s="1" t="n">
        <f aca="false">MONTH(A185)</f>
        <v>9</v>
      </c>
    </row>
    <row r="186" customFormat="false" ht="14.25" hidden="false" customHeight="false" outlineLevel="0" collapsed="false">
      <c r="A186" s="15" t="n">
        <v>43389</v>
      </c>
      <c r="B186" s="37" t="n">
        <v>11086.38</v>
      </c>
      <c r="C186" s="1" t="n">
        <f aca="false">YEAR(A186)</f>
        <v>2018</v>
      </c>
      <c r="D186" s="1" t="n">
        <f aca="false">MONTH(A186)</f>
        <v>10</v>
      </c>
    </row>
    <row r="187" customFormat="false" ht="14.25" hidden="false" customHeight="false" outlineLevel="0" collapsed="false">
      <c r="A187" s="15" t="n">
        <v>43420</v>
      </c>
      <c r="B187" s="37" t="n">
        <v>6474.57</v>
      </c>
      <c r="C187" s="1" t="n">
        <f aca="false">YEAR(A187)</f>
        <v>2018</v>
      </c>
      <c r="D187" s="1" t="n">
        <f aca="false">MONTH(A187)</f>
        <v>11</v>
      </c>
    </row>
    <row r="188" customFormat="false" ht="14.25" hidden="false" customHeight="false" outlineLevel="0" collapsed="false">
      <c r="A188" s="15" t="n">
        <v>43450</v>
      </c>
      <c r="B188" s="37" t="n">
        <v>4034.82</v>
      </c>
      <c r="C188" s="1" t="n">
        <f aca="false">YEAR(A188)</f>
        <v>2018</v>
      </c>
      <c r="D188" s="1" t="n">
        <f aca="false">MONTH(A188)</f>
        <v>12</v>
      </c>
    </row>
    <row r="189" customFormat="false" ht="14.25" hidden="false" customHeight="false" outlineLevel="0" collapsed="false">
      <c r="A189" s="15" t="n">
        <v>43117</v>
      </c>
      <c r="B189" s="37" t="n">
        <v>7487.3</v>
      </c>
      <c r="C189" s="1" t="n">
        <f aca="false">YEAR(A189)</f>
        <v>2018</v>
      </c>
      <c r="D189" s="1" t="n">
        <f aca="false">MONTH(A189)</f>
        <v>1</v>
      </c>
    </row>
    <row r="190" customFormat="false" ht="14.25" hidden="false" customHeight="false" outlineLevel="0" collapsed="false">
      <c r="A190" s="15" t="n">
        <v>43148</v>
      </c>
      <c r="B190" s="37" t="n">
        <v>28172.19</v>
      </c>
      <c r="C190" s="1" t="n">
        <f aca="false">YEAR(A190)</f>
        <v>2018</v>
      </c>
      <c r="D190" s="1" t="n">
        <f aca="false">MONTH(A190)</f>
        <v>2</v>
      </c>
    </row>
    <row r="191" customFormat="false" ht="14.25" hidden="false" customHeight="false" outlineLevel="0" collapsed="false">
      <c r="A191" s="15" t="n">
        <v>43176</v>
      </c>
      <c r="B191" s="37" t="n">
        <v>27378.65</v>
      </c>
      <c r="C191" s="1" t="n">
        <f aca="false">YEAR(A191)</f>
        <v>2018</v>
      </c>
      <c r="D191" s="1" t="n">
        <f aca="false">MONTH(A191)</f>
        <v>3</v>
      </c>
    </row>
    <row r="192" customFormat="false" ht="14.25" hidden="false" customHeight="false" outlineLevel="0" collapsed="false">
      <c r="A192" s="15" t="n">
        <v>43207</v>
      </c>
      <c r="B192" s="37" t="n">
        <v>2361.89</v>
      </c>
      <c r="C192" s="1" t="n">
        <f aca="false">YEAR(A192)</f>
        <v>2018</v>
      </c>
      <c r="D192" s="1" t="n">
        <f aca="false">MONTH(A192)</f>
        <v>4</v>
      </c>
    </row>
    <row r="193" customFormat="false" ht="14.25" hidden="false" customHeight="false" outlineLevel="0" collapsed="false">
      <c r="A193" s="15" t="n">
        <v>43237</v>
      </c>
      <c r="B193" s="37" t="n">
        <v>933.75</v>
      </c>
      <c r="C193" s="1" t="n">
        <f aca="false">YEAR(A193)</f>
        <v>2018</v>
      </c>
      <c r="D193" s="1" t="n">
        <f aca="false">MONTH(A193)</f>
        <v>5</v>
      </c>
    </row>
    <row r="194" customFormat="false" ht="14.25" hidden="false" customHeight="false" outlineLevel="0" collapsed="false">
      <c r="A194" s="15" t="n">
        <v>43268</v>
      </c>
      <c r="B194" s="37" t="n">
        <v>880.97</v>
      </c>
      <c r="C194" s="1" t="n">
        <f aca="false">YEAR(A194)</f>
        <v>2018</v>
      </c>
      <c r="D194" s="1" t="n">
        <f aca="false">MONTH(A194)</f>
        <v>6</v>
      </c>
    </row>
    <row r="195" customFormat="false" ht="14.25" hidden="false" customHeight="false" outlineLevel="0" collapsed="false">
      <c r="A195" s="15" t="n">
        <v>43298</v>
      </c>
      <c r="B195" s="37" t="n">
        <v>13675.43</v>
      </c>
      <c r="C195" s="1" t="n">
        <f aca="false">YEAR(A195)</f>
        <v>2018</v>
      </c>
      <c r="D195" s="1" t="n">
        <f aca="false">MONTH(A195)</f>
        <v>7</v>
      </c>
    </row>
    <row r="196" customFormat="false" ht="14.25" hidden="false" customHeight="false" outlineLevel="0" collapsed="false">
      <c r="A196" s="15" t="n">
        <v>43329</v>
      </c>
      <c r="B196" s="37" t="n">
        <v>3482.44</v>
      </c>
      <c r="C196" s="1" t="n">
        <f aca="false">YEAR(A196)</f>
        <v>2018</v>
      </c>
      <c r="D196" s="1" t="n">
        <f aca="false">MONTH(A196)</f>
        <v>8</v>
      </c>
    </row>
    <row r="197" customFormat="false" ht="14.25" hidden="false" customHeight="false" outlineLevel="0" collapsed="false">
      <c r="A197" s="15" t="n">
        <v>43360</v>
      </c>
      <c r="B197" s="37" t="n">
        <v>5714.34</v>
      </c>
      <c r="C197" s="1" t="n">
        <f aca="false">YEAR(A197)</f>
        <v>2018</v>
      </c>
      <c r="D197" s="1" t="n">
        <f aca="false">MONTH(A197)</f>
        <v>9</v>
      </c>
    </row>
    <row r="198" customFormat="false" ht="14.25" hidden="false" customHeight="false" outlineLevel="0" collapsed="false">
      <c r="A198" s="15" t="n">
        <v>43390</v>
      </c>
      <c r="B198" s="37" t="n">
        <v>16443.59</v>
      </c>
      <c r="C198" s="1" t="n">
        <f aca="false">YEAR(A198)</f>
        <v>2018</v>
      </c>
      <c r="D198" s="1" t="n">
        <f aca="false">MONTH(A198)</f>
        <v>10</v>
      </c>
    </row>
    <row r="199" customFormat="false" ht="14.25" hidden="false" customHeight="false" outlineLevel="0" collapsed="false">
      <c r="A199" s="15" t="n">
        <v>43421</v>
      </c>
      <c r="B199" s="37" t="n">
        <v>18605.14</v>
      </c>
      <c r="C199" s="1" t="n">
        <f aca="false">YEAR(A199)</f>
        <v>2018</v>
      </c>
      <c r="D199" s="1" t="n">
        <f aca="false">MONTH(A199)</f>
        <v>11</v>
      </c>
    </row>
    <row r="200" customFormat="false" ht="14.25" hidden="false" customHeight="false" outlineLevel="0" collapsed="false">
      <c r="A200" s="15" t="n">
        <v>43451</v>
      </c>
      <c r="B200" s="37" t="n">
        <v>23213.59</v>
      </c>
      <c r="C200" s="1" t="n">
        <f aca="false">YEAR(A200)</f>
        <v>2018</v>
      </c>
      <c r="D200" s="1" t="n">
        <f aca="false">MONTH(A200)</f>
        <v>12</v>
      </c>
    </row>
    <row r="201" customFormat="false" ht="14.25" hidden="false" customHeight="false" outlineLevel="0" collapsed="false">
      <c r="A201" s="15" t="n">
        <v>43118</v>
      </c>
      <c r="B201" s="37" t="n">
        <v>3453.29</v>
      </c>
      <c r="C201" s="1" t="n">
        <f aca="false">YEAR(A201)</f>
        <v>2018</v>
      </c>
      <c r="D201" s="1" t="n">
        <f aca="false">MONTH(A201)</f>
        <v>1</v>
      </c>
    </row>
    <row r="202" customFormat="false" ht="14.25" hidden="false" customHeight="false" outlineLevel="0" collapsed="false">
      <c r="A202" s="15" t="n">
        <v>43149</v>
      </c>
      <c r="B202" s="37" t="n">
        <v>8794.62</v>
      </c>
      <c r="C202" s="1" t="n">
        <f aca="false">YEAR(A202)</f>
        <v>2018</v>
      </c>
      <c r="D202" s="1" t="n">
        <f aca="false">MONTH(A202)</f>
        <v>2</v>
      </c>
    </row>
    <row r="203" customFormat="false" ht="14.25" hidden="false" customHeight="false" outlineLevel="0" collapsed="false">
      <c r="A203" s="15" t="n">
        <v>43177</v>
      </c>
      <c r="B203" s="37" t="n">
        <v>8285.01</v>
      </c>
      <c r="C203" s="1" t="n">
        <f aca="false">YEAR(A203)</f>
        <v>2018</v>
      </c>
      <c r="D203" s="1" t="n">
        <f aca="false">MONTH(A203)</f>
        <v>3</v>
      </c>
    </row>
    <row r="204" customFormat="false" ht="14.25" hidden="false" customHeight="false" outlineLevel="0" collapsed="false">
      <c r="A204" s="15" t="n">
        <v>43208</v>
      </c>
      <c r="B204" s="37" t="n">
        <v>947.08</v>
      </c>
      <c r="C204" s="1" t="n">
        <f aca="false">YEAR(A204)</f>
        <v>2018</v>
      </c>
      <c r="D204" s="1" t="n">
        <f aca="false">MONTH(A204)</f>
        <v>4</v>
      </c>
    </row>
    <row r="205" customFormat="false" ht="14.25" hidden="false" customHeight="false" outlineLevel="0" collapsed="false">
      <c r="A205" s="15" t="n">
        <v>43238</v>
      </c>
      <c r="B205" s="37" t="n">
        <v>3482.44</v>
      </c>
      <c r="C205" s="1" t="n">
        <f aca="false">YEAR(A205)</f>
        <v>2018</v>
      </c>
      <c r="D205" s="1" t="n">
        <f aca="false">MONTH(A205)</f>
        <v>5</v>
      </c>
    </row>
    <row r="206" customFormat="false" ht="14.25" hidden="false" customHeight="false" outlineLevel="0" collapsed="false">
      <c r="A206" s="15" t="n">
        <v>43269</v>
      </c>
      <c r="B206" s="37" t="n">
        <v>1246.24</v>
      </c>
      <c r="C206" s="1" t="n">
        <f aca="false">YEAR(A206)</f>
        <v>2018</v>
      </c>
      <c r="D206" s="1" t="n">
        <f aca="false">MONTH(A206)</f>
        <v>6</v>
      </c>
    </row>
    <row r="207" customFormat="false" ht="14.25" hidden="false" customHeight="false" outlineLevel="0" collapsed="false">
      <c r="A207" s="15" t="n">
        <v>43299</v>
      </c>
      <c r="B207" s="37" t="n">
        <v>5351.03</v>
      </c>
      <c r="C207" s="1" t="n">
        <f aca="false">YEAR(A207)</f>
        <v>2018</v>
      </c>
      <c r="D207" s="1" t="n">
        <f aca="false">MONTH(A207)</f>
        <v>7</v>
      </c>
    </row>
    <row r="208" customFormat="false" ht="14.25" hidden="false" customHeight="false" outlineLevel="0" collapsed="false">
      <c r="A208" s="15" t="n">
        <v>43330</v>
      </c>
      <c r="B208" s="37" t="n">
        <v>1323.54</v>
      </c>
      <c r="C208" s="1" t="n">
        <f aca="false">YEAR(A208)</f>
        <v>2018</v>
      </c>
      <c r="D208" s="1" t="n">
        <f aca="false">MONTH(A208)</f>
        <v>8</v>
      </c>
    </row>
    <row r="209" customFormat="false" ht="14.25" hidden="false" customHeight="false" outlineLevel="0" collapsed="false">
      <c r="A209" s="15" t="n">
        <v>43361</v>
      </c>
      <c r="B209" s="37" t="n">
        <v>13701.09</v>
      </c>
      <c r="C209" s="1" t="n">
        <f aca="false">YEAR(A209)</f>
        <v>2018</v>
      </c>
      <c r="D209" s="1" t="n">
        <f aca="false">MONTH(A209)</f>
        <v>9</v>
      </c>
    </row>
    <row r="210" customFormat="false" ht="14.25" hidden="false" customHeight="false" outlineLevel="0" collapsed="false">
      <c r="A210" s="15" t="n">
        <v>43391</v>
      </c>
      <c r="B210" s="37" t="n">
        <v>40190.27</v>
      </c>
      <c r="C210" s="1" t="n">
        <f aca="false">YEAR(A210)</f>
        <v>2018</v>
      </c>
      <c r="D210" s="1" t="n">
        <f aca="false">MONTH(A210)</f>
        <v>10</v>
      </c>
    </row>
    <row r="211" customFormat="false" ht="14.25" hidden="false" customHeight="false" outlineLevel="0" collapsed="false">
      <c r="A211" s="15" t="n">
        <v>43422</v>
      </c>
      <c r="B211" s="37" t="n">
        <v>35704.66</v>
      </c>
      <c r="C211" s="1" t="n">
        <f aca="false">YEAR(A211)</f>
        <v>2018</v>
      </c>
      <c r="D211" s="1" t="n">
        <f aca="false">MONTH(A211)</f>
        <v>11</v>
      </c>
    </row>
    <row r="212" customFormat="false" ht="14.25" hidden="false" customHeight="false" outlineLevel="0" collapsed="false">
      <c r="A212" s="15" t="n">
        <v>43452</v>
      </c>
      <c r="B212" s="37" t="n">
        <v>10344.06</v>
      </c>
      <c r="C212" s="1" t="n">
        <f aca="false">YEAR(A212)</f>
        <v>2018</v>
      </c>
      <c r="D212" s="1" t="n">
        <f aca="false">MONTH(A212)</f>
        <v>12</v>
      </c>
    </row>
    <row r="213" customFormat="false" ht="14.25" hidden="false" customHeight="false" outlineLevel="0" collapsed="false">
      <c r="A213" s="15" t="n">
        <v>43119</v>
      </c>
      <c r="B213" s="37" t="n">
        <v>1131.43</v>
      </c>
      <c r="C213" s="1" t="n">
        <f aca="false">YEAR(A213)</f>
        <v>2018</v>
      </c>
      <c r="D213" s="1" t="n">
        <f aca="false">MONTH(A213)</f>
        <v>1</v>
      </c>
    </row>
    <row r="214" customFormat="false" ht="14.25" hidden="false" customHeight="false" outlineLevel="0" collapsed="false">
      <c r="A214" s="15" t="n">
        <v>43150</v>
      </c>
      <c r="B214" s="37" t="n">
        <v>16378.45</v>
      </c>
      <c r="C214" s="1" t="n">
        <f aca="false">YEAR(A214)</f>
        <v>2018</v>
      </c>
      <c r="D214" s="1" t="n">
        <f aca="false">MONTH(A214)</f>
        <v>2</v>
      </c>
    </row>
    <row r="215" customFormat="false" ht="14.25" hidden="false" customHeight="false" outlineLevel="0" collapsed="false">
      <c r="A215" s="15" t="n">
        <v>43178</v>
      </c>
      <c r="B215" s="37" t="n">
        <v>25455.99</v>
      </c>
      <c r="C215" s="1" t="n">
        <f aca="false">YEAR(A215)</f>
        <v>2018</v>
      </c>
      <c r="D215" s="1" t="n">
        <f aca="false">MONTH(A215)</f>
        <v>3</v>
      </c>
    </row>
    <row r="216" customFormat="false" ht="14.25" hidden="false" customHeight="false" outlineLevel="0" collapsed="false">
      <c r="A216" s="15" t="n">
        <v>43209</v>
      </c>
      <c r="B216" s="37" t="n">
        <v>15907.03</v>
      </c>
      <c r="C216" s="1" t="n">
        <f aca="false">YEAR(A216)</f>
        <v>2018</v>
      </c>
      <c r="D216" s="1" t="n">
        <f aca="false">MONTH(A216)</f>
        <v>4</v>
      </c>
    </row>
    <row r="217" customFormat="false" ht="14.25" hidden="false" customHeight="false" outlineLevel="0" collapsed="false">
      <c r="A217" s="15" t="n">
        <v>43239</v>
      </c>
      <c r="B217" s="37" t="n">
        <v>14030.41</v>
      </c>
      <c r="C217" s="1" t="n">
        <f aca="false">YEAR(A217)</f>
        <v>2018</v>
      </c>
      <c r="D217" s="1" t="n">
        <f aca="false">MONTH(A217)</f>
        <v>5</v>
      </c>
    </row>
    <row r="218" customFormat="false" ht="14.25" hidden="false" customHeight="false" outlineLevel="0" collapsed="false">
      <c r="A218" s="15" t="n">
        <v>43270</v>
      </c>
      <c r="B218" s="37" t="n">
        <v>2606.82</v>
      </c>
      <c r="C218" s="1" t="n">
        <f aca="false">YEAR(A218)</f>
        <v>2018</v>
      </c>
      <c r="D218" s="1" t="n">
        <f aca="false">MONTH(A218)</f>
        <v>6</v>
      </c>
    </row>
    <row r="219" customFormat="false" ht="14.25" hidden="false" customHeight="false" outlineLevel="0" collapsed="false">
      <c r="A219" s="15" t="n">
        <v>43300</v>
      </c>
      <c r="B219" s="37" t="n">
        <v>21.6</v>
      </c>
      <c r="C219" s="1" t="n">
        <f aca="false">YEAR(A219)</f>
        <v>2018</v>
      </c>
      <c r="D219" s="1" t="n">
        <f aca="false">MONTH(A219)</f>
        <v>7</v>
      </c>
    </row>
    <row r="220" customFormat="false" ht="14.25" hidden="false" customHeight="false" outlineLevel="0" collapsed="false">
      <c r="A220" s="15" t="n">
        <v>43331</v>
      </c>
      <c r="B220" s="37" t="n">
        <v>2726.92</v>
      </c>
      <c r="C220" s="1" t="n">
        <f aca="false">YEAR(A220)</f>
        <v>2018</v>
      </c>
      <c r="D220" s="1" t="n">
        <f aca="false">MONTH(A220)</f>
        <v>8</v>
      </c>
    </row>
    <row r="221" customFormat="false" ht="14.25" hidden="false" customHeight="false" outlineLevel="0" collapsed="false">
      <c r="A221" s="15" t="n">
        <v>43362</v>
      </c>
      <c r="B221" s="37" t="n">
        <v>221.15</v>
      </c>
      <c r="C221" s="1" t="n">
        <f aca="false">YEAR(A221)</f>
        <v>2018</v>
      </c>
      <c r="D221" s="1" t="n">
        <f aca="false">MONTH(A221)</f>
        <v>9</v>
      </c>
    </row>
    <row r="222" customFormat="false" ht="14.25" hidden="false" customHeight="false" outlineLevel="0" collapsed="false">
      <c r="A222" s="15" t="n">
        <v>43392</v>
      </c>
      <c r="B222" s="37" t="n">
        <v>13485.32</v>
      </c>
      <c r="C222" s="1" t="n">
        <f aca="false">YEAR(A222)</f>
        <v>2018</v>
      </c>
      <c r="D222" s="1" t="n">
        <f aca="false">MONTH(A222)</f>
        <v>10</v>
      </c>
    </row>
    <row r="223" customFormat="false" ht="14.25" hidden="false" customHeight="false" outlineLevel="0" collapsed="false">
      <c r="A223" s="15" t="n">
        <v>43423</v>
      </c>
      <c r="B223" s="37" t="n">
        <v>2361.46</v>
      </c>
      <c r="C223" s="1" t="n">
        <f aca="false">YEAR(A223)</f>
        <v>2018</v>
      </c>
      <c r="D223" s="1" t="n">
        <f aca="false">MONTH(A223)</f>
        <v>11</v>
      </c>
    </row>
    <row r="224" customFormat="false" ht="14.25" hidden="false" customHeight="false" outlineLevel="0" collapsed="false">
      <c r="A224" s="15" t="n">
        <v>43453</v>
      </c>
      <c r="B224" s="37" t="n">
        <v>9040.1</v>
      </c>
      <c r="C224" s="1" t="n">
        <f aca="false">YEAR(A224)</f>
        <v>2018</v>
      </c>
      <c r="D224" s="1" t="n">
        <f aca="false">MONTH(A224)</f>
        <v>12</v>
      </c>
    </row>
    <row r="225" customFormat="false" ht="14.25" hidden="false" customHeight="false" outlineLevel="0" collapsed="false">
      <c r="A225" s="15" t="n">
        <v>43120</v>
      </c>
      <c r="B225" s="37" t="n">
        <v>2199.78</v>
      </c>
      <c r="C225" s="1" t="n">
        <f aca="false">YEAR(A225)</f>
        <v>2018</v>
      </c>
      <c r="D225" s="1" t="n">
        <f aca="false">MONTH(A225)</f>
        <v>1</v>
      </c>
    </row>
    <row r="226" customFormat="false" ht="14.25" hidden="false" customHeight="false" outlineLevel="0" collapsed="false">
      <c r="A226" s="15" t="n">
        <v>43151</v>
      </c>
      <c r="B226" s="37" t="n">
        <v>4559.04</v>
      </c>
      <c r="C226" s="1" t="n">
        <f aca="false">YEAR(A226)</f>
        <v>2018</v>
      </c>
      <c r="D226" s="1" t="n">
        <f aca="false">MONTH(A226)</f>
        <v>2</v>
      </c>
    </row>
    <row r="227" customFormat="false" ht="14.25" hidden="false" customHeight="false" outlineLevel="0" collapsed="false">
      <c r="A227" s="15" t="n">
        <v>43179</v>
      </c>
      <c r="B227" s="37" t="n">
        <v>4642.48</v>
      </c>
      <c r="C227" s="1" t="n">
        <f aca="false">YEAR(A227)</f>
        <v>2018</v>
      </c>
      <c r="D227" s="1" t="n">
        <f aca="false">MONTH(A227)</f>
        <v>3</v>
      </c>
    </row>
    <row r="228" customFormat="false" ht="14.25" hidden="false" customHeight="false" outlineLevel="0" collapsed="false">
      <c r="A228" s="15" t="n">
        <v>43210</v>
      </c>
      <c r="B228" s="37" t="n">
        <v>11978.78</v>
      </c>
      <c r="C228" s="1" t="n">
        <f aca="false">YEAR(A228)</f>
        <v>2018</v>
      </c>
      <c r="D228" s="1" t="n">
        <f aca="false">MONTH(A228)</f>
        <v>4</v>
      </c>
    </row>
    <row r="229" customFormat="false" ht="14.25" hidden="false" customHeight="false" outlineLevel="0" collapsed="false">
      <c r="A229" s="15" t="n">
        <v>43240</v>
      </c>
      <c r="B229" s="37" t="n">
        <v>15540.87</v>
      </c>
      <c r="C229" s="1" t="n">
        <f aca="false">YEAR(A229)</f>
        <v>2018</v>
      </c>
      <c r="D229" s="1" t="n">
        <f aca="false">MONTH(A229)</f>
        <v>5</v>
      </c>
    </row>
    <row r="230" customFormat="false" ht="14.25" hidden="false" customHeight="false" outlineLevel="0" collapsed="false">
      <c r="A230" s="15" t="n">
        <v>43271</v>
      </c>
      <c r="B230" s="37" t="n">
        <v>1496.61</v>
      </c>
      <c r="C230" s="1" t="n">
        <f aca="false">YEAR(A230)</f>
        <v>2018</v>
      </c>
      <c r="D230" s="1" t="n">
        <f aca="false">MONTH(A230)</f>
        <v>6</v>
      </c>
    </row>
    <row r="231" customFormat="false" ht="14.25" hidden="false" customHeight="false" outlineLevel="0" collapsed="false">
      <c r="A231" s="15" t="n">
        <v>43301</v>
      </c>
      <c r="B231" s="37" t="n">
        <v>26965.56</v>
      </c>
      <c r="C231" s="1" t="n">
        <f aca="false">YEAR(A231)</f>
        <v>2018</v>
      </c>
      <c r="D231" s="1" t="n">
        <f aca="false">MONTH(A231)</f>
        <v>7</v>
      </c>
    </row>
    <row r="232" customFormat="false" ht="14.25" hidden="false" customHeight="false" outlineLevel="0" collapsed="false">
      <c r="A232" s="15" t="n">
        <v>43332</v>
      </c>
      <c r="B232" s="37" t="n">
        <v>9932.26</v>
      </c>
      <c r="C232" s="1" t="n">
        <f aca="false">YEAR(A232)</f>
        <v>2018</v>
      </c>
      <c r="D232" s="1" t="n">
        <f aca="false">MONTH(A232)</f>
        <v>8</v>
      </c>
    </row>
    <row r="233" customFormat="false" ht="14.25" hidden="false" customHeight="false" outlineLevel="0" collapsed="false">
      <c r="A233" s="15" t="n">
        <v>43363</v>
      </c>
      <c r="B233" s="37" t="n">
        <v>22520.01</v>
      </c>
      <c r="C233" s="1" t="n">
        <f aca="false">YEAR(A233)</f>
        <v>2018</v>
      </c>
      <c r="D233" s="1" t="n">
        <f aca="false">MONTH(A233)</f>
        <v>9</v>
      </c>
    </row>
    <row r="234" customFormat="false" ht="14.25" hidden="false" customHeight="false" outlineLevel="0" collapsed="false">
      <c r="A234" s="15" t="n">
        <v>43393</v>
      </c>
      <c r="B234" s="37" t="n">
        <v>7979.61</v>
      </c>
      <c r="C234" s="1" t="n">
        <f aca="false">YEAR(A234)</f>
        <v>2018</v>
      </c>
      <c r="D234" s="1" t="n">
        <f aca="false">MONTH(A234)</f>
        <v>10</v>
      </c>
    </row>
    <row r="235" customFormat="false" ht="14.25" hidden="false" customHeight="false" outlineLevel="0" collapsed="false">
      <c r="A235" s="15" t="n">
        <v>43424</v>
      </c>
      <c r="B235" s="37" t="n">
        <v>1632.65</v>
      </c>
      <c r="C235" s="1" t="n">
        <f aca="false">YEAR(A235)</f>
        <v>2018</v>
      </c>
      <c r="D235" s="1" t="n">
        <f aca="false">MONTH(A235)</f>
        <v>11</v>
      </c>
    </row>
    <row r="236" customFormat="false" ht="14.25" hidden="false" customHeight="false" outlineLevel="0" collapsed="false">
      <c r="A236" s="15" t="n">
        <v>43454</v>
      </c>
      <c r="B236" s="37" t="n">
        <v>32344.15</v>
      </c>
      <c r="C236" s="1" t="n">
        <f aca="false">YEAR(A236)</f>
        <v>2018</v>
      </c>
      <c r="D236" s="1" t="n">
        <f aca="false">MONTH(A236)</f>
        <v>12</v>
      </c>
    </row>
    <row r="237" customFormat="false" ht="14.25" hidden="false" customHeight="false" outlineLevel="0" collapsed="false">
      <c r="A237" s="15" t="n">
        <v>43121</v>
      </c>
      <c r="B237" s="37" t="n">
        <v>6039.97</v>
      </c>
      <c r="C237" s="1" t="n">
        <f aca="false">YEAR(A237)</f>
        <v>2018</v>
      </c>
      <c r="D237" s="1" t="n">
        <f aca="false">MONTH(A237)</f>
        <v>1</v>
      </c>
    </row>
    <row r="238" customFormat="false" ht="14.25" hidden="false" customHeight="false" outlineLevel="0" collapsed="false">
      <c r="A238" s="15" t="n">
        <v>43152</v>
      </c>
      <c r="B238" s="37" t="n">
        <v>4933.32</v>
      </c>
      <c r="C238" s="1" t="n">
        <f aca="false">YEAR(A238)</f>
        <v>2018</v>
      </c>
      <c r="D238" s="1" t="n">
        <f aca="false">MONTH(A238)</f>
        <v>2</v>
      </c>
    </row>
    <row r="239" customFormat="false" ht="14.25" hidden="false" customHeight="false" outlineLevel="0" collapsed="false">
      <c r="A239" s="15" t="n">
        <v>43180</v>
      </c>
      <c r="B239" s="37" t="n">
        <v>2557.34</v>
      </c>
      <c r="C239" s="1" t="n">
        <f aca="false">YEAR(A239)</f>
        <v>2018</v>
      </c>
      <c r="D239" s="1" t="n">
        <f aca="false">MONTH(A239)</f>
        <v>3</v>
      </c>
    </row>
    <row r="240" customFormat="false" ht="14.25" hidden="false" customHeight="false" outlineLevel="0" collapsed="false">
      <c r="A240" s="15" t="n">
        <v>43211</v>
      </c>
      <c r="B240" s="37" t="n">
        <v>17794.64</v>
      </c>
      <c r="C240" s="1" t="n">
        <f aca="false">YEAR(A240)</f>
        <v>2018</v>
      </c>
      <c r="D240" s="1" t="n">
        <f aca="false">MONTH(A240)</f>
        <v>4</v>
      </c>
    </row>
    <row r="241" customFormat="false" ht="14.25" hidden="false" customHeight="false" outlineLevel="0" collapsed="false">
      <c r="A241" s="15" t="n">
        <v>43241</v>
      </c>
      <c r="B241" s="37" t="n">
        <v>33593.14</v>
      </c>
      <c r="C241" s="1" t="n">
        <f aca="false">YEAR(A241)</f>
        <v>2018</v>
      </c>
      <c r="D241" s="1" t="n">
        <f aca="false">MONTH(A241)</f>
        <v>5</v>
      </c>
    </row>
    <row r="242" customFormat="false" ht="14.25" hidden="false" customHeight="false" outlineLevel="0" collapsed="false">
      <c r="A242" s="15" t="n">
        <v>43272</v>
      </c>
      <c r="B242" s="37" t="n">
        <v>32516.13</v>
      </c>
      <c r="C242" s="1" t="n">
        <f aca="false">YEAR(A242)</f>
        <v>2018</v>
      </c>
      <c r="D242" s="1" t="n">
        <f aca="false">MONTH(A242)</f>
        <v>6</v>
      </c>
    </row>
    <row r="243" customFormat="false" ht="14.25" hidden="false" customHeight="false" outlineLevel="0" collapsed="false">
      <c r="A243" s="15" t="n">
        <v>43302</v>
      </c>
      <c r="B243" s="37" t="n">
        <v>7930.61</v>
      </c>
      <c r="C243" s="1" t="n">
        <f aca="false">YEAR(A243)</f>
        <v>2018</v>
      </c>
      <c r="D243" s="1" t="n">
        <f aca="false">MONTH(A243)</f>
        <v>7</v>
      </c>
    </row>
    <row r="244" customFormat="false" ht="14.25" hidden="false" customHeight="false" outlineLevel="0" collapsed="false">
      <c r="A244" s="15" t="n">
        <v>43333</v>
      </c>
      <c r="B244" s="37" t="n">
        <v>14657.02</v>
      </c>
      <c r="C244" s="1" t="n">
        <f aca="false">YEAR(A244)</f>
        <v>2018</v>
      </c>
      <c r="D244" s="1" t="n">
        <f aca="false">MONTH(A244)</f>
        <v>8</v>
      </c>
    </row>
    <row r="245" customFormat="false" ht="14.25" hidden="false" customHeight="false" outlineLevel="0" collapsed="false">
      <c r="A245" s="15" t="n">
        <v>43364</v>
      </c>
      <c r="B245" s="37" t="n">
        <v>20229.67</v>
      </c>
      <c r="C245" s="1" t="n">
        <f aca="false">YEAR(A245)</f>
        <v>2018</v>
      </c>
      <c r="D245" s="1" t="n">
        <f aca="false">MONTH(A245)</f>
        <v>9</v>
      </c>
    </row>
    <row r="246" customFormat="false" ht="14.25" hidden="false" customHeight="false" outlineLevel="0" collapsed="false">
      <c r="A246" s="15" t="n">
        <v>43394</v>
      </c>
      <c r="B246" s="37" t="n">
        <v>4863.22</v>
      </c>
      <c r="C246" s="1" t="n">
        <f aca="false">YEAR(A246)</f>
        <v>2018</v>
      </c>
      <c r="D246" s="1" t="n">
        <f aca="false">MONTH(A246)</f>
        <v>10</v>
      </c>
    </row>
    <row r="247" customFormat="false" ht="14.25" hidden="false" customHeight="false" outlineLevel="0" collapsed="false">
      <c r="A247" s="15" t="n">
        <v>43425</v>
      </c>
      <c r="B247" s="37" t="n">
        <v>21643.82</v>
      </c>
      <c r="C247" s="1" t="n">
        <f aca="false">YEAR(A247)</f>
        <v>2018</v>
      </c>
      <c r="D247" s="1" t="n">
        <f aca="false">MONTH(A247)</f>
        <v>11</v>
      </c>
    </row>
    <row r="248" customFormat="false" ht="14.25" hidden="false" customHeight="false" outlineLevel="0" collapsed="false">
      <c r="A248" s="15" t="n">
        <v>43455</v>
      </c>
      <c r="B248" s="37" t="n">
        <v>7853.47</v>
      </c>
      <c r="C248" s="1" t="n">
        <f aca="false">YEAR(A248)</f>
        <v>2018</v>
      </c>
      <c r="D248" s="1" t="n">
        <f aca="false">MONTH(A248)</f>
        <v>12</v>
      </c>
    </row>
    <row r="249" customFormat="false" ht="14.25" hidden="false" customHeight="false" outlineLevel="0" collapsed="false">
      <c r="A249" s="15" t="n">
        <v>43122</v>
      </c>
      <c r="B249" s="37" t="n">
        <v>423.88</v>
      </c>
      <c r="C249" s="1" t="n">
        <f aca="false">YEAR(A249)</f>
        <v>2018</v>
      </c>
      <c r="D249" s="1" t="n">
        <f aca="false">MONTH(A249)</f>
        <v>1</v>
      </c>
    </row>
    <row r="250" customFormat="false" ht="14.25" hidden="false" customHeight="false" outlineLevel="0" collapsed="false">
      <c r="A250" s="15" t="n">
        <v>43153</v>
      </c>
      <c r="B250" s="37" t="n">
        <v>378.37</v>
      </c>
      <c r="C250" s="1" t="n">
        <f aca="false">YEAR(A250)</f>
        <v>2018</v>
      </c>
      <c r="D250" s="1" t="n">
        <f aca="false">MONTH(A250)</f>
        <v>2</v>
      </c>
    </row>
    <row r="251" customFormat="false" ht="14.25" hidden="false" customHeight="false" outlineLevel="0" collapsed="false">
      <c r="A251" s="15" t="n">
        <v>43181</v>
      </c>
      <c r="B251" s="37" t="n">
        <v>795.68</v>
      </c>
      <c r="C251" s="1" t="n">
        <f aca="false">YEAR(A251)</f>
        <v>2018</v>
      </c>
      <c r="D251" s="1" t="n">
        <f aca="false">MONTH(A251)</f>
        <v>3</v>
      </c>
    </row>
    <row r="252" customFormat="false" ht="14.25" hidden="false" customHeight="false" outlineLevel="0" collapsed="false">
      <c r="A252" s="15" t="n">
        <v>43212</v>
      </c>
      <c r="B252" s="37" t="n">
        <v>2272.51</v>
      </c>
      <c r="C252" s="1" t="n">
        <f aca="false">YEAR(A252)</f>
        <v>2018</v>
      </c>
      <c r="D252" s="1" t="n">
        <f aca="false">MONTH(A252)</f>
        <v>4</v>
      </c>
    </row>
    <row r="253" customFormat="false" ht="14.25" hidden="false" customHeight="false" outlineLevel="0" collapsed="false">
      <c r="A253" s="15" t="n">
        <v>43242</v>
      </c>
      <c r="B253" s="37" t="n">
        <v>8501.73</v>
      </c>
      <c r="C253" s="1" t="n">
        <f aca="false">YEAR(A253)</f>
        <v>2018</v>
      </c>
      <c r="D253" s="1" t="n">
        <f aca="false">MONTH(A253)</f>
        <v>5</v>
      </c>
    </row>
    <row r="254" customFormat="false" ht="14.25" hidden="false" customHeight="false" outlineLevel="0" collapsed="false">
      <c r="A254" s="15" t="n">
        <v>43273</v>
      </c>
      <c r="B254" s="37" t="n">
        <v>4183.58</v>
      </c>
      <c r="C254" s="1" t="n">
        <f aca="false">YEAR(A254)</f>
        <v>2018</v>
      </c>
      <c r="D254" s="1" t="n">
        <f aca="false">MONTH(A254)</f>
        <v>6</v>
      </c>
    </row>
    <row r="255" customFormat="false" ht="14.25" hidden="false" customHeight="false" outlineLevel="0" collapsed="false">
      <c r="A255" s="15" t="n">
        <v>43303</v>
      </c>
      <c r="B255" s="37" t="n">
        <v>7588.3</v>
      </c>
      <c r="C255" s="1" t="n">
        <f aca="false">YEAR(A255)</f>
        <v>2018</v>
      </c>
      <c r="D255" s="1" t="n">
        <f aca="false">MONTH(A255)</f>
        <v>7</v>
      </c>
    </row>
    <row r="256" customFormat="false" ht="14.25" hidden="false" customHeight="false" outlineLevel="0" collapsed="false">
      <c r="A256" s="15" t="n">
        <v>43334</v>
      </c>
      <c r="B256" s="37" t="n">
        <v>21640.11</v>
      </c>
      <c r="C256" s="1" t="n">
        <f aca="false">YEAR(A256)</f>
        <v>2018</v>
      </c>
      <c r="D256" s="1" t="n">
        <f aca="false">MONTH(A256)</f>
        <v>8</v>
      </c>
    </row>
    <row r="257" customFormat="false" ht="14.25" hidden="false" customHeight="false" outlineLevel="0" collapsed="false">
      <c r="A257" s="15" t="n">
        <v>43365</v>
      </c>
      <c r="B257" s="37" t="n">
        <v>2747.1</v>
      </c>
      <c r="C257" s="1" t="n">
        <f aca="false">YEAR(A257)</f>
        <v>2018</v>
      </c>
      <c r="D257" s="1" t="n">
        <f aca="false">MONTH(A257)</f>
        <v>9</v>
      </c>
    </row>
    <row r="258" customFormat="false" ht="14.25" hidden="false" customHeight="false" outlineLevel="0" collapsed="false">
      <c r="A258" s="15" t="n">
        <v>43395</v>
      </c>
      <c r="B258" s="37" t="n">
        <v>1179.44</v>
      </c>
      <c r="C258" s="1" t="n">
        <f aca="false">YEAR(A258)</f>
        <v>2018</v>
      </c>
      <c r="D258" s="1" t="n">
        <f aca="false">MONTH(A258)</f>
        <v>10</v>
      </c>
    </row>
    <row r="259" customFormat="false" ht="14.25" hidden="false" customHeight="false" outlineLevel="0" collapsed="false">
      <c r="A259" s="15" t="n">
        <v>43426</v>
      </c>
      <c r="B259" s="37" t="n">
        <v>73.47</v>
      </c>
      <c r="C259" s="1" t="n">
        <f aca="false">YEAR(A259)</f>
        <v>2018</v>
      </c>
      <c r="D259" s="1" t="n">
        <f aca="false">MONTH(A259)</f>
        <v>11</v>
      </c>
    </row>
    <row r="260" customFormat="false" ht="14.25" hidden="false" customHeight="false" outlineLevel="0" collapsed="false">
      <c r="A260" s="15" t="n">
        <v>43123</v>
      </c>
      <c r="B260" s="37" t="n">
        <v>1897.84</v>
      </c>
      <c r="C260" s="1" t="n">
        <f aca="false">YEAR(A260)</f>
        <v>2018</v>
      </c>
      <c r="D260" s="1" t="n">
        <f aca="false">MONTH(A260)</f>
        <v>1</v>
      </c>
    </row>
    <row r="261" customFormat="false" ht="14.25" hidden="false" customHeight="false" outlineLevel="0" collapsed="false">
      <c r="A261" s="15" t="n">
        <v>43154</v>
      </c>
      <c r="B261" s="37" t="n">
        <v>18766.41</v>
      </c>
      <c r="C261" s="1" t="n">
        <f aca="false">YEAR(A261)</f>
        <v>2018</v>
      </c>
      <c r="D261" s="1" t="n">
        <f aca="false">MONTH(A261)</f>
        <v>2</v>
      </c>
    </row>
    <row r="262" customFormat="false" ht="14.25" hidden="false" customHeight="false" outlineLevel="0" collapsed="false">
      <c r="A262" s="15" t="n">
        <v>43182</v>
      </c>
      <c r="B262" s="37" t="n">
        <v>3605.95</v>
      </c>
      <c r="C262" s="1" t="n">
        <f aca="false">YEAR(A262)</f>
        <v>2018</v>
      </c>
      <c r="D262" s="1" t="n">
        <f aca="false">MONTH(A262)</f>
        <v>3</v>
      </c>
    </row>
    <row r="263" customFormat="false" ht="14.25" hidden="false" customHeight="false" outlineLevel="0" collapsed="false">
      <c r="A263" s="15" t="n">
        <v>43213</v>
      </c>
      <c r="B263" s="37" t="n">
        <v>7651.19</v>
      </c>
      <c r="C263" s="1" t="n">
        <f aca="false">YEAR(A263)</f>
        <v>2018</v>
      </c>
      <c r="D263" s="1" t="n">
        <f aca="false">MONTH(A263)</f>
        <v>4</v>
      </c>
    </row>
    <row r="264" customFormat="false" ht="14.25" hidden="false" customHeight="false" outlineLevel="0" collapsed="false">
      <c r="A264" s="15" t="n">
        <v>43243</v>
      </c>
      <c r="B264" s="37" t="n">
        <v>1518.55</v>
      </c>
      <c r="C264" s="1" t="n">
        <f aca="false">YEAR(A264)</f>
        <v>2018</v>
      </c>
      <c r="D264" s="1" t="n">
        <f aca="false">MONTH(A264)</f>
        <v>5</v>
      </c>
    </row>
    <row r="265" customFormat="false" ht="14.25" hidden="false" customHeight="false" outlineLevel="0" collapsed="false">
      <c r="A265" s="15" t="n">
        <v>43274</v>
      </c>
      <c r="B265" s="37" t="n">
        <v>17339.54</v>
      </c>
      <c r="C265" s="1" t="n">
        <f aca="false">YEAR(A265)</f>
        <v>2018</v>
      </c>
      <c r="D265" s="1" t="n">
        <f aca="false">MONTH(A265)</f>
        <v>6</v>
      </c>
    </row>
    <row r="266" customFormat="false" ht="14.25" hidden="false" customHeight="false" outlineLevel="0" collapsed="false">
      <c r="A266" s="15" t="n">
        <v>43304</v>
      </c>
      <c r="B266" s="37" t="n">
        <v>8928.92</v>
      </c>
      <c r="C266" s="1" t="n">
        <f aca="false">YEAR(A266)</f>
        <v>2018</v>
      </c>
      <c r="D266" s="1" t="n">
        <f aca="false">MONTH(A266)</f>
        <v>7</v>
      </c>
    </row>
    <row r="267" customFormat="false" ht="14.25" hidden="false" customHeight="false" outlineLevel="0" collapsed="false">
      <c r="A267" s="15" t="n">
        <v>43335</v>
      </c>
      <c r="B267" s="37" t="n">
        <v>10268.97</v>
      </c>
      <c r="C267" s="1" t="n">
        <f aca="false">YEAR(A267)</f>
        <v>2018</v>
      </c>
      <c r="D267" s="1" t="n">
        <f aca="false">MONTH(A267)</f>
        <v>8</v>
      </c>
    </row>
    <row r="268" customFormat="false" ht="14.25" hidden="false" customHeight="false" outlineLevel="0" collapsed="false">
      <c r="A268" s="15" t="n">
        <v>43366</v>
      </c>
      <c r="B268" s="37" t="n">
        <v>8447.58</v>
      </c>
      <c r="C268" s="1" t="n">
        <f aca="false">YEAR(A268)</f>
        <v>2018</v>
      </c>
      <c r="D268" s="1" t="n">
        <f aca="false">MONTH(A268)</f>
        <v>9</v>
      </c>
    </row>
    <row r="269" customFormat="false" ht="14.25" hidden="false" customHeight="false" outlineLevel="0" collapsed="false">
      <c r="A269" s="15" t="n">
        <v>43396</v>
      </c>
      <c r="B269" s="37" t="n">
        <v>7071.87</v>
      </c>
      <c r="C269" s="1" t="n">
        <f aca="false">YEAR(A269)</f>
        <v>2018</v>
      </c>
      <c r="D269" s="1" t="n">
        <f aca="false">MONTH(A269)</f>
        <v>10</v>
      </c>
    </row>
    <row r="270" customFormat="false" ht="14.25" hidden="false" customHeight="false" outlineLevel="0" collapsed="false">
      <c r="A270" s="15" t="n">
        <v>43427</v>
      </c>
      <c r="B270" s="37" t="n">
        <v>1695.32</v>
      </c>
      <c r="C270" s="1" t="n">
        <f aca="false">YEAR(A270)</f>
        <v>2018</v>
      </c>
      <c r="D270" s="1" t="n">
        <f aca="false">MONTH(A270)</f>
        <v>11</v>
      </c>
    </row>
    <row r="271" customFormat="false" ht="14.25" hidden="false" customHeight="false" outlineLevel="0" collapsed="false">
      <c r="A271" s="15" t="n">
        <v>43457</v>
      </c>
      <c r="B271" s="37" t="n">
        <v>9445.28</v>
      </c>
      <c r="C271" s="1" t="n">
        <f aca="false">YEAR(A271)</f>
        <v>2018</v>
      </c>
      <c r="D271" s="1" t="n">
        <f aca="false">MONTH(A271)</f>
        <v>12</v>
      </c>
    </row>
    <row r="272" customFormat="false" ht="14.25" hidden="false" customHeight="false" outlineLevel="0" collapsed="false">
      <c r="A272" s="15" t="n">
        <v>43124</v>
      </c>
      <c r="B272" s="37" t="n">
        <v>5813.77</v>
      </c>
      <c r="C272" s="1" t="n">
        <f aca="false">YEAR(A272)</f>
        <v>2018</v>
      </c>
      <c r="D272" s="1" t="n">
        <f aca="false">MONTH(A272)</f>
        <v>1</v>
      </c>
    </row>
    <row r="273" customFormat="false" ht="14.25" hidden="false" customHeight="false" outlineLevel="0" collapsed="false">
      <c r="A273" s="15" t="n">
        <v>43155</v>
      </c>
      <c r="B273" s="37" t="n">
        <v>9001.38</v>
      </c>
      <c r="C273" s="1" t="n">
        <f aca="false">YEAR(A273)</f>
        <v>2018</v>
      </c>
      <c r="D273" s="1" t="n">
        <f aca="false">MONTH(A273)</f>
        <v>2</v>
      </c>
    </row>
    <row r="274" customFormat="false" ht="14.25" hidden="false" customHeight="false" outlineLevel="0" collapsed="false">
      <c r="A274" s="15" t="n">
        <v>43183</v>
      </c>
      <c r="B274" s="37" t="n">
        <v>1299</v>
      </c>
      <c r="C274" s="1" t="n">
        <f aca="false">YEAR(A274)</f>
        <v>2018</v>
      </c>
      <c r="D274" s="1" t="n">
        <f aca="false">MONTH(A274)</f>
        <v>3</v>
      </c>
    </row>
    <row r="275" customFormat="false" ht="14.25" hidden="false" customHeight="false" outlineLevel="0" collapsed="false">
      <c r="A275" s="15" t="n">
        <v>43214</v>
      </c>
      <c r="B275" s="37" t="n">
        <v>6735.67</v>
      </c>
      <c r="C275" s="1" t="n">
        <f aca="false">YEAR(A275)</f>
        <v>2018</v>
      </c>
      <c r="D275" s="1" t="n">
        <f aca="false">MONTH(A275)</f>
        <v>4</v>
      </c>
    </row>
    <row r="276" customFormat="false" ht="14.25" hidden="false" customHeight="false" outlineLevel="0" collapsed="false">
      <c r="A276" s="15" t="n">
        <v>43244</v>
      </c>
      <c r="B276" s="37" t="n">
        <v>37779.1</v>
      </c>
      <c r="C276" s="1" t="n">
        <f aca="false">YEAR(A276)</f>
        <v>2018</v>
      </c>
      <c r="D276" s="1" t="n">
        <f aca="false">MONTH(A276)</f>
        <v>5</v>
      </c>
    </row>
    <row r="277" customFormat="false" ht="14.25" hidden="false" customHeight="false" outlineLevel="0" collapsed="false">
      <c r="A277" s="15" t="n">
        <v>43275</v>
      </c>
      <c r="B277" s="37" t="n">
        <v>5406.08</v>
      </c>
      <c r="C277" s="1" t="n">
        <f aca="false">YEAR(A277)</f>
        <v>2018</v>
      </c>
      <c r="D277" s="1" t="n">
        <f aca="false">MONTH(A277)</f>
        <v>6</v>
      </c>
    </row>
    <row r="278" customFormat="false" ht="14.25" hidden="false" customHeight="false" outlineLevel="0" collapsed="false">
      <c r="A278" s="15" t="n">
        <v>43305</v>
      </c>
      <c r="B278" s="37" t="n">
        <v>15101.51</v>
      </c>
      <c r="C278" s="1" t="n">
        <f aca="false">YEAR(A278)</f>
        <v>2018</v>
      </c>
      <c r="D278" s="1" t="n">
        <f aca="false">MONTH(A278)</f>
        <v>7</v>
      </c>
    </row>
    <row r="279" customFormat="false" ht="14.25" hidden="false" customHeight="false" outlineLevel="0" collapsed="false">
      <c r="A279" s="15" t="n">
        <v>43336</v>
      </c>
      <c r="B279" s="37" t="n">
        <v>19465.6</v>
      </c>
      <c r="C279" s="1" t="n">
        <f aca="false">YEAR(A279)</f>
        <v>2018</v>
      </c>
      <c r="D279" s="1" t="n">
        <f aca="false">MONTH(A279)</f>
        <v>8</v>
      </c>
    </row>
    <row r="280" customFormat="false" ht="14.25" hidden="false" customHeight="false" outlineLevel="0" collapsed="false">
      <c r="A280" s="15" t="n">
        <v>43367</v>
      </c>
      <c r="B280" s="37" t="n">
        <v>16496.57</v>
      </c>
      <c r="C280" s="1" t="n">
        <f aca="false">YEAR(A280)</f>
        <v>2018</v>
      </c>
      <c r="D280" s="1" t="n">
        <f aca="false">MONTH(A280)</f>
        <v>9</v>
      </c>
    </row>
    <row r="281" customFormat="false" ht="14.25" hidden="false" customHeight="false" outlineLevel="0" collapsed="false">
      <c r="A281" s="15" t="n">
        <v>43397</v>
      </c>
      <c r="B281" s="37" t="n">
        <v>20171.21</v>
      </c>
      <c r="C281" s="1" t="n">
        <f aca="false">YEAR(A281)</f>
        <v>2018</v>
      </c>
      <c r="D281" s="1" t="n">
        <f aca="false">MONTH(A281)</f>
        <v>10</v>
      </c>
    </row>
    <row r="282" customFormat="false" ht="14.25" hidden="false" customHeight="false" outlineLevel="0" collapsed="false">
      <c r="A282" s="15" t="n">
        <v>43428</v>
      </c>
      <c r="B282" s="37" t="n">
        <v>29687.86</v>
      </c>
      <c r="C282" s="1" t="n">
        <f aca="false">YEAR(A282)</f>
        <v>2018</v>
      </c>
      <c r="D282" s="1" t="n">
        <f aca="false">MONTH(A282)</f>
        <v>11</v>
      </c>
    </row>
    <row r="283" customFormat="false" ht="14.25" hidden="false" customHeight="false" outlineLevel="0" collapsed="false">
      <c r="A283" s="15" t="n">
        <v>43458</v>
      </c>
      <c r="B283" s="37" t="n">
        <v>12445.16</v>
      </c>
      <c r="C283" s="1" t="n">
        <f aca="false">YEAR(A283)</f>
        <v>2018</v>
      </c>
      <c r="D283" s="1" t="n">
        <f aca="false">MONTH(A283)</f>
        <v>12</v>
      </c>
    </row>
    <row r="284" customFormat="false" ht="14.25" hidden="false" customHeight="false" outlineLevel="0" collapsed="false">
      <c r="A284" s="15" t="n">
        <v>43125</v>
      </c>
      <c r="B284" s="37" t="n">
        <v>12652.31</v>
      </c>
      <c r="C284" s="1" t="n">
        <f aca="false">YEAR(A284)</f>
        <v>2018</v>
      </c>
      <c r="D284" s="1" t="n">
        <f aca="false">MONTH(A284)</f>
        <v>1</v>
      </c>
    </row>
    <row r="285" customFormat="false" ht="14.25" hidden="false" customHeight="false" outlineLevel="0" collapsed="false">
      <c r="A285" s="15" t="n">
        <v>43156</v>
      </c>
      <c r="B285" s="37" t="n">
        <v>9415.91</v>
      </c>
      <c r="C285" s="1" t="n">
        <f aca="false">YEAR(A285)</f>
        <v>2018</v>
      </c>
      <c r="D285" s="1" t="n">
        <f aca="false">MONTH(A285)</f>
        <v>2</v>
      </c>
    </row>
    <row r="286" customFormat="false" ht="14.25" hidden="false" customHeight="false" outlineLevel="0" collapsed="false">
      <c r="A286" s="15" t="n">
        <v>43184</v>
      </c>
      <c r="B286" s="37" t="n">
        <v>36319.24</v>
      </c>
      <c r="C286" s="1" t="n">
        <f aca="false">YEAR(A286)</f>
        <v>2018</v>
      </c>
      <c r="D286" s="1" t="n">
        <f aca="false">MONTH(A286)</f>
        <v>3</v>
      </c>
    </row>
    <row r="287" customFormat="false" ht="14.25" hidden="false" customHeight="false" outlineLevel="0" collapsed="false">
      <c r="A287" s="15" t="n">
        <v>43245</v>
      </c>
      <c r="B287" s="37" t="n">
        <v>1702.91</v>
      </c>
      <c r="C287" s="1" t="n">
        <f aca="false">YEAR(A287)</f>
        <v>2018</v>
      </c>
      <c r="D287" s="1" t="n">
        <f aca="false">MONTH(A287)</f>
        <v>5</v>
      </c>
    </row>
    <row r="288" customFormat="false" ht="14.25" hidden="false" customHeight="false" outlineLevel="0" collapsed="false">
      <c r="A288" s="15" t="n">
        <v>43276</v>
      </c>
      <c r="B288" s="37" t="n">
        <v>1924.17</v>
      </c>
      <c r="C288" s="1" t="n">
        <f aca="false">YEAR(A288)</f>
        <v>2018</v>
      </c>
      <c r="D288" s="1" t="n">
        <f aca="false">MONTH(A288)</f>
        <v>6</v>
      </c>
    </row>
    <row r="289" customFormat="false" ht="14.25" hidden="false" customHeight="false" outlineLevel="0" collapsed="false">
      <c r="A289" s="15" t="n">
        <v>43306</v>
      </c>
      <c r="B289" s="37" t="n">
        <v>3927.84</v>
      </c>
      <c r="C289" s="1" t="n">
        <f aca="false">YEAR(A289)</f>
        <v>2018</v>
      </c>
      <c r="D289" s="1" t="n">
        <f aca="false">MONTH(A289)</f>
        <v>7</v>
      </c>
    </row>
    <row r="290" customFormat="false" ht="14.25" hidden="false" customHeight="false" outlineLevel="0" collapsed="false">
      <c r="A290" s="15" t="n">
        <v>43337</v>
      </c>
      <c r="B290" s="37" t="n">
        <v>10984.69</v>
      </c>
      <c r="C290" s="1" t="n">
        <f aca="false">YEAR(A290)</f>
        <v>2018</v>
      </c>
      <c r="D290" s="1" t="n">
        <f aca="false">MONTH(A290)</f>
        <v>8</v>
      </c>
    </row>
    <row r="291" customFormat="false" ht="14.25" hidden="false" customHeight="false" outlineLevel="0" collapsed="false">
      <c r="A291" s="15" t="n">
        <v>43368</v>
      </c>
      <c r="B291" s="37" t="n">
        <v>1595.26</v>
      </c>
      <c r="C291" s="1" t="n">
        <f aca="false">YEAR(A291)</f>
        <v>2018</v>
      </c>
      <c r="D291" s="1" t="n">
        <f aca="false">MONTH(A291)</f>
        <v>9</v>
      </c>
    </row>
    <row r="292" customFormat="false" ht="14.25" hidden="false" customHeight="false" outlineLevel="0" collapsed="false">
      <c r="A292" s="15" t="n">
        <v>43398</v>
      </c>
      <c r="B292" s="37" t="n">
        <v>927.47</v>
      </c>
      <c r="C292" s="1" t="n">
        <f aca="false">YEAR(A292)</f>
        <v>2018</v>
      </c>
      <c r="D292" s="1" t="n">
        <f aca="false">MONTH(A292)</f>
        <v>10</v>
      </c>
    </row>
    <row r="293" customFormat="false" ht="14.25" hidden="false" customHeight="false" outlineLevel="0" collapsed="false">
      <c r="A293" s="15" t="n">
        <v>43429</v>
      </c>
      <c r="B293" s="37" t="n">
        <v>9640.32</v>
      </c>
      <c r="C293" s="1" t="n">
        <f aca="false">YEAR(A293)</f>
        <v>2018</v>
      </c>
      <c r="D293" s="1" t="n">
        <f aca="false">MONTH(A293)</f>
        <v>11</v>
      </c>
    </row>
    <row r="294" customFormat="false" ht="14.25" hidden="false" customHeight="false" outlineLevel="0" collapsed="false">
      <c r="A294" s="15" t="n">
        <v>43459</v>
      </c>
      <c r="B294" s="37" t="n">
        <v>730.34</v>
      </c>
      <c r="C294" s="1" t="n">
        <f aca="false">YEAR(A294)</f>
        <v>2018</v>
      </c>
      <c r="D294" s="1" t="n">
        <f aca="false">MONTH(A294)</f>
        <v>12</v>
      </c>
    </row>
    <row r="295" customFormat="false" ht="14.25" hidden="false" customHeight="false" outlineLevel="0" collapsed="false">
      <c r="A295" s="15" t="n">
        <v>43126</v>
      </c>
      <c r="B295" s="37" t="n">
        <v>14394.64</v>
      </c>
      <c r="C295" s="1" t="n">
        <f aca="false">YEAR(A295)</f>
        <v>2018</v>
      </c>
      <c r="D295" s="1" t="n">
        <f aca="false">MONTH(A295)</f>
        <v>1</v>
      </c>
    </row>
    <row r="296" customFormat="false" ht="14.25" hidden="false" customHeight="false" outlineLevel="0" collapsed="false">
      <c r="A296" s="15" t="n">
        <v>43157</v>
      </c>
      <c r="B296" s="37" t="n">
        <v>2078.13</v>
      </c>
      <c r="C296" s="1" t="n">
        <f aca="false">YEAR(A296)</f>
        <v>2018</v>
      </c>
      <c r="D296" s="1" t="n">
        <f aca="false">MONTH(A296)</f>
        <v>2</v>
      </c>
    </row>
    <row r="297" customFormat="false" ht="14.25" hidden="false" customHeight="false" outlineLevel="0" collapsed="false">
      <c r="A297" s="15" t="n">
        <v>43185</v>
      </c>
      <c r="B297" s="37" t="n">
        <v>276.34</v>
      </c>
      <c r="C297" s="1" t="n">
        <f aca="false">YEAR(A297)</f>
        <v>2018</v>
      </c>
      <c r="D297" s="1" t="n">
        <f aca="false">MONTH(A297)</f>
        <v>3</v>
      </c>
    </row>
    <row r="298" customFormat="false" ht="14.25" hidden="false" customHeight="false" outlineLevel="0" collapsed="false">
      <c r="A298" s="15" t="n">
        <v>43246</v>
      </c>
      <c r="B298" s="37" t="n">
        <v>4321.78</v>
      </c>
      <c r="C298" s="1" t="n">
        <f aca="false">YEAR(A298)</f>
        <v>2018</v>
      </c>
      <c r="D298" s="1" t="n">
        <f aca="false">MONTH(A298)</f>
        <v>5</v>
      </c>
    </row>
    <row r="299" customFormat="false" ht="14.25" hidden="false" customHeight="false" outlineLevel="0" collapsed="false">
      <c r="A299" s="15" t="n">
        <v>43277</v>
      </c>
      <c r="B299" s="37" t="n">
        <v>5172.6</v>
      </c>
      <c r="C299" s="1" t="n">
        <f aca="false">YEAR(A299)</f>
        <v>2018</v>
      </c>
      <c r="D299" s="1" t="n">
        <f aca="false">MONTH(A299)</f>
        <v>6</v>
      </c>
    </row>
    <row r="300" customFormat="false" ht="14.25" hidden="false" customHeight="false" outlineLevel="0" collapsed="false">
      <c r="A300" s="15" t="n">
        <v>43307</v>
      </c>
      <c r="B300" s="37" t="n">
        <v>11706.83</v>
      </c>
      <c r="C300" s="1" t="n">
        <f aca="false">YEAR(A300)</f>
        <v>2018</v>
      </c>
      <c r="D300" s="1" t="n">
        <f aca="false">MONTH(A300)</f>
        <v>7</v>
      </c>
    </row>
    <row r="301" customFormat="false" ht="14.25" hidden="false" customHeight="false" outlineLevel="0" collapsed="false">
      <c r="A301" s="15" t="n">
        <v>43369</v>
      </c>
      <c r="B301" s="37" t="n">
        <v>7551.4</v>
      </c>
      <c r="C301" s="1" t="n">
        <f aca="false">YEAR(A301)</f>
        <v>2018</v>
      </c>
      <c r="D301" s="1" t="n">
        <f aca="false">MONTH(A301)</f>
        <v>9</v>
      </c>
    </row>
    <row r="302" customFormat="false" ht="14.25" hidden="false" customHeight="false" outlineLevel="0" collapsed="false">
      <c r="A302" s="15" t="n">
        <v>43399</v>
      </c>
      <c r="B302" s="37" t="n">
        <v>223.2</v>
      </c>
      <c r="C302" s="1" t="n">
        <f aca="false">YEAR(A302)</f>
        <v>2018</v>
      </c>
      <c r="D302" s="1" t="n">
        <f aca="false">MONTH(A302)</f>
        <v>10</v>
      </c>
    </row>
    <row r="303" customFormat="false" ht="14.25" hidden="false" customHeight="false" outlineLevel="0" collapsed="false">
      <c r="A303" s="15" t="n">
        <v>43430</v>
      </c>
      <c r="B303" s="37" t="n">
        <v>23538.59</v>
      </c>
      <c r="C303" s="1" t="n">
        <f aca="false">YEAR(A303)</f>
        <v>2018</v>
      </c>
      <c r="D303" s="1" t="n">
        <f aca="false">MONTH(A303)</f>
        <v>11</v>
      </c>
    </row>
    <row r="304" customFormat="false" ht="14.25" hidden="false" customHeight="false" outlineLevel="0" collapsed="false">
      <c r="A304" s="15" t="n">
        <v>43460</v>
      </c>
      <c r="B304" s="37" t="n">
        <v>2378.94</v>
      </c>
      <c r="C304" s="1" t="n">
        <f aca="false">YEAR(A304)</f>
        <v>2018</v>
      </c>
      <c r="D304" s="1" t="n">
        <f aca="false">MONTH(A304)</f>
        <v>12</v>
      </c>
    </row>
    <row r="305" customFormat="false" ht="14.25" hidden="false" customHeight="false" outlineLevel="0" collapsed="false">
      <c r="A305" s="15" t="n">
        <v>43127</v>
      </c>
      <c r="B305" s="37" t="n">
        <v>13597.19</v>
      </c>
      <c r="C305" s="1" t="n">
        <f aca="false">YEAR(A305)</f>
        <v>2018</v>
      </c>
      <c r="D305" s="1" t="n">
        <f aca="false">MONTH(A305)</f>
        <v>1</v>
      </c>
    </row>
    <row r="306" customFormat="false" ht="14.25" hidden="false" customHeight="false" outlineLevel="0" collapsed="false">
      <c r="A306" s="15" t="n">
        <v>43158</v>
      </c>
      <c r="B306" s="37" t="n">
        <v>216.42</v>
      </c>
      <c r="C306" s="1" t="n">
        <f aca="false">YEAR(A306)</f>
        <v>2018</v>
      </c>
      <c r="D306" s="1" t="n">
        <f aca="false">MONTH(A306)</f>
        <v>2</v>
      </c>
    </row>
    <row r="307" customFormat="false" ht="14.25" hidden="false" customHeight="false" outlineLevel="0" collapsed="false">
      <c r="A307" s="15" t="n">
        <v>43186</v>
      </c>
      <c r="B307" s="37" t="n">
        <v>1743.99</v>
      </c>
      <c r="C307" s="1" t="n">
        <f aca="false">YEAR(A307)</f>
        <v>2018</v>
      </c>
      <c r="D307" s="1" t="n">
        <f aca="false">MONTH(A307)</f>
        <v>3</v>
      </c>
    </row>
    <row r="308" customFormat="false" ht="14.25" hidden="false" customHeight="false" outlineLevel="0" collapsed="false">
      <c r="A308" s="15" t="n">
        <v>43217</v>
      </c>
      <c r="B308" s="37" t="n">
        <v>4335.73</v>
      </c>
      <c r="C308" s="1" t="n">
        <f aca="false">YEAR(A308)</f>
        <v>2018</v>
      </c>
      <c r="D308" s="1" t="n">
        <f aca="false">MONTH(A308)</f>
        <v>4</v>
      </c>
    </row>
    <row r="309" customFormat="false" ht="14.25" hidden="false" customHeight="false" outlineLevel="0" collapsed="false">
      <c r="A309" s="15" t="n">
        <v>43247</v>
      </c>
      <c r="B309" s="37" t="n">
        <v>1802.25</v>
      </c>
      <c r="C309" s="1" t="n">
        <f aca="false">YEAR(A309)</f>
        <v>2018</v>
      </c>
      <c r="D309" s="1" t="n">
        <f aca="false">MONTH(A309)</f>
        <v>5</v>
      </c>
    </row>
    <row r="310" customFormat="false" ht="14.25" hidden="false" customHeight="false" outlineLevel="0" collapsed="false">
      <c r="A310" s="15" t="n">
        <v>43278</v>
      </c>
      <c r="B310" s="37" t="n">
        <v>10820.94</v>
      </c>
      <c r="C310" s="1" t="n">
        <f aca="false">YEAR(A310)</f>
        <v>2018</v>
      </c>
      <c r="D310" s="1" t="n">
        <f aca="false">MONTH(A310)</f>
        <v>6</v>
      </c>
    </row>
    <row r="311" customFormat="false" ht="14.25" hidden="false" customHeight="false" outlineLevel="0" collapsed="false">
      <c r="A311" s="15" t="n">
        <v>43308</v>
      </c>
      <c r="B311" s="37" t="n">
        <v>3468.45</v>
      </c>
      <c r="C311" s="1" t="n">
        <f aca="false">YEAR(A311)</f>
        <v>2018</v>
      </c>
      <c r="D311" s="1" t="n">
        <f aca="false">MONTH(A311)</f>
        <v>7</v>
      </c>
    </row>
    <row r="312" customFormat="false" ht="14.25" hidden="false" customHeight="false" outlineLevel="0" collapsed="false">
      <c r="A312" s="15" t="n">
        <v>43339</v>
      </c>
      <c r="B312" s="37" t="n">
        <v>2057.2</v>
      </c>
      <c r="C312" s="1" t="n">
        <f aca="false">YEAR(A312)</f>
        <v>2018</v>
      </c>
      <c r="D312" s="1" t="n">
        <f aca="false">MONTH(A312)</f>
        <v>8</v>
      </c>
    </row>
    <row r="313" customFormat="false" ht="14.25" hidden="false" customHeight="false" outlineLevel="0" collapsed="false">
      <c r="A313" s="15" t="n">
        <v>43370</v>
      </c>
      <c r="B313" s="37" t="n">
        <v>6189.33</v>
      </c>
      <c r="C313" s="1" t="n">
        <f aca="false">YEAR(A313)</f>
        <v>2018</v>
      </c>
      <c r="D313" s="1" t="n">
        <f aca="false">MONTH(A313)</f>
        <v>9</v>
      </c>
    </row>
    <row r="314" customFormat="false" ht="14.25" hidden="false" customHeight="false" outlineLevel="0" collapsed="false">
      <c r="A314" s="15" t="n">
        <v>43400</v>
      </c>
      <c r="B314" s="37" t="n">
        <v>6332.16</v>
      </c>
      <c r="C314" s="1" t="n">
        <f aca="false">YEAR(A314)</f>
        <v>2018</v>
      </c>
      <c r="D314" s="1" t="n">
        <f aca="false">MONTH(A314)</f>
        <v>10</v>
      </c>
    </row>
    <row r="315" customFormat="false" ht="14.25" hidden="false" customHeight="false" outlineLevel="0" collapsed="false">
      <c r="A315" s="15" t="n">
        <v>43431</v>
      </c>
      <c r="B315" s="37" t="n">
        <v>996.16</v>
      </c>
      <c r="C315" s="1" t="n">
        <f aca="false">YEAR(A315)</f>
        <v>2018</v>
      </c>
      <c r="D315" s="1" t="n">
        <f aca="false">MONTH(A315)</f>
        <v>11</v>
      </c>
    </row>
    <row r="316" customFormat="false" ht="14.25" hidden="false" customHeight="false" outlineLevel="0" collapsed="false">
      <c r="A316" s="15" t="n">
        <v>43461</v>
      </c>
      <c r="B316" s="37" t="n">
        <v>1048.67</v>
      </c>
      <c r="C316" s="1" t="n">
        <f aca="false">YEAR(A316)</f>
        <v>2018</v>
      </c>
      <c r="D316" s="1" t="n">
        <f aca="false">MONTH(A316)</f>
        <v>12</v>
      </c>
    </row>
    <row r="317" customFormat="false" ht="14.25" hidden="false" customHeight="false" outlineLevel="0" collapsed="false">
      <c r="A317" s="15" t="n">
        <v>43128</v>
      </c>
      <c r="B317" s="37" t="n">
        <v>3849.86</v>
      </c>
      <c r="C317" s="1" t="n">
        <f aca="false">YEAR(A317)</f>
        <v>2018</v>
      </c>
      <c r="D317" s="1" t="n">
        <f aca="false">MONTH(A317)</f>
        <v>1</v>
      </c>
    </row>
    <row r="318" customFormat="false" ht="14.25" hidden="false" customHeight="false" outlineLevel="0" collapsed="false">
      <c r="A318" s="15" t="n">
        <v>43159</v>
      </c>
      <c r="B318" s="37" t="n">
        <v>5589.18</v>
      </c>
      <c r="C318" s="1" t="n">
        <f aca="false">YEAR(A318)</f>
        <v>2018</v>
      </c>
      <c r="D318" s="1" t="n">
        <f aca="false">MONTH(A318)</f>
        <v>2</v>
      </c>
    </row>
    <row r="319" customFormat="false" ht="14.25" hidden="false" customHeight="false" outlineLevel="0" collapsed="false">
      <c r="A319" s="15" t="n">
        <v>43187</v>
      </c>
      <c r="B319" s="37" t="n">
        <v>3931.82</v>
      </c>
      <c r="C319" s="1" t="n">
        <f aca="false">YEAR(A319)</f>
        <v>2018</v>
      </c>
      <c r="D319" s="1" t="n">
        <f aca="false">MONTH(A319)</f>
        <v>3</v>
      </c>
    </row>
    <row r="320" customFormat="false" ht="14.25" hidden="false" customHeight="false" outlineLevel="0" collapsed="false">
      <c r="A320" s="15" t="n">
        <v>43218</v>
      </c>
      <c r="B320" s="37" t="n">
        <v>38460.97</v>
      </c>
      <c r="C320" s="1" t="n">
        <f aca="false">YEAR(A320)</f>
        <v>2018</v>
      </c>
      <c r="D320" s="1" t="n">
        <f aca="false">MONTH(A320)</f>
        <v>4</v>
      </c>
    </row>
    <row r="321" customFormat="false" ht="14.25" hidden="false" customHeight="false" outlineLevel="0" collapsed="false">
      <c r="A321" s="15" t="n">
        <v>43279</v>
      </c>
      <c r="B321" s="37" t="n">
        <v>7272.67</v>
      </c>
      <c r="C321" s="1" t="n">
        <f aca="false">YEAR(A321)</f>
        <v>2018</v>
      </c>
      <c r="D321" s="1" t="n">
        <f aca="false">MONTH(A321)</f>
        <v>6</v>
      </c>
    </row>
    <row r="322" customFormat="false" ht="14.25" hidden="false" customHeight="false" outlineLevel="0" collapsed="false">
      <c r="A322" s="15" t="n">
        <v>43309</v>
      </c>
      <c r="B322" s="37" t="n">
        <v>5414.09</v>
      </c>
      <c r="C322" s="1" t="n">
        <f aca="false">YEAR(A322)</f>
        <v>2018</v>
      </c>
      <c r="D322" s="1" t="n">
        <f aca="false">MONTH(A322)</f>
        <v>7</v>
      </c>
    </row>
    <row r="323" customFormat="false" ht="14.25" hidden="false" customHeight="false" outlineLevel="0" collapsed="false">
      <c r="A323" s="15" t="n">
        <v>43371</v>
      </c>
      <c r="B323" s="37" t="n">
        <v>3335.43</v>
      </c>
      <c r="C323" s="1" t="n">
        <f aca="false">YEAR(A323)</f>
        <v>2018</v>
      </c>
      <c r="D323" s="1" t="n">
        <f aca="false">MONTH(A323)</f>
        <v>9</v>
      </c>
    </row>
    <row r="324" customFormat="false" ht="14.25" hidden="false" customHeight="false" outlineLevel="0" collapsed="false">
      <c r="A324" s="15" t="n">
        <v>43401</v>
      </c>
      <c r="B324" s="37" t="n">
        <v>2656.93</v>
      </c>
      <c r="C324" s="1" t="n">
        <f aca="false">YEAR(A324)</f>
        <v>2018</v>
      </c>
      <c r="D324" s="1" t="n">
        <f aca="false">MONTH(A324)</f>
        <v>10</v>
      </c>
    </row>
    <row r="325" customFormat="false" ht="14.25" hidden="false" customHeight="false" outlineLevel="0" collapsed="false">
      <c r="A325" s="15" t="n">
        <v>43432</v>
      </c>
      <c r="B325" s="37" t="n">
        <v>11859.95</v>
      </c>
      <c r="C325" s="1" t="n">
        <f aca="false">YEAR(A325)</f>
        <v>2018</v>
      </c>
      <c r="D325" s="1" t="n">
        <f aca="false">MONTH(A325)</f>
        <v>11</v>
      </c>
    </row>
    <row r="326" customFormat="false" ht="14.25" hidden="false" customHeight="false" outlineLevel="0" collapsed="false">
      <c r="A326" s="15" t="n">
        <v>43462</v>
      </c>
      <c r="B326" s="37" t="n">
        <v>4296.45</v>
      </c>
      <c r="C326" s="1" t="n">
        <f aca="false">YEAR(A326)</f>
        <v>2018</v>
      </c>
      <c r="D326" s="1" t="n">
        <f aca="false">MONTH(A326)</f>
        <v>12</v>
      </c>
    </row>
    <row r="327" customFormat="false" ht="14.25" hidden="false" customHeight="false" outlineLevel="0" collapsed="false">
      <c r="A327" s="15" t="n">
        <v>43129</v>
      </c>
      <c r="B327" s="37" t="n">
        <v>76.18</v>
      </c>
      <c r="C327" s="1" t="n">
        <f aca="false">YEAR(A327)</f>
        <v>2018</v>
      </c>
      <c r="D327" s="1" t="n">
        <f aca="false">MONTH(A327)</f>
        <v>1</v>
      </c>
    </row>
    <row r="328" customFormat="false" ht="14.25" hidden="false" customHeight="false" outlineLevel="0" collapsed="false">
      <c r="A328" s="15" t="n">
        <v>43188</v>
      </c>
      <c r="B328" s="37" t="n">
        <v>5691.41</v>
      </c>
      <c r="C328" s="1" t="n">
        <f aca="false">YEAR(A328)</f>
        <v>2018</v>
      </c>
      <c r="D328" s="1" t="n">
        <f aca="false">MONTH(A328)</f>
        <v>3</v>
      </c>
    </row>
    <row r="329" customFormat="false" ht="14.25" hidden="false" customHeight="false" outlineLevel="0" collapsed="false">
      <c r="A329" s="15" t="n">
        <v>43219</v>
      </c>
      <c r="B329" s="37" t="n">
        <v>34181.19</v>
      </c>
      <c r="C329" s="1" t="n">
        <f aca="false">YEAR(A329)</f>
        <v>2018</v>
      </c>
      <c r="D329" s="1" t="n">
        <f aca="false">MONTH(A329)</f>
        <v>4</v>
      </c>
    </row>
    <row r="330" customFormat="false" ht="14.25" hidden="false" customHeight="false" outlineLevel="0" collapsed="false">
      <c r="A330" s="15" t="n">
        <v>43249</v>
      </c>
      <c r="B330" s="37" t="n">
        <v>3313.28</v>
      </c>
      <c r="C330" s="1" t="n">
        <f aca="false">YEAR(A330)</f>
        <v>2018</v>
      </c>
      <c r="D330" s="1" t="n">
        <f aca="false">MONTH(A330)</f>
        <v>5</v>
      </c>
    </row>
    <row r="331" customFormat="false" ht="14.25" hidden="false" customHeight="false" outlineLevel="0" collapsed="false">
      <c r="A331" s="15" t="n">
        <v>43280</v>
      </c>
      <c r="B331" s="37" t="n">
        <v>7633.06</v>
      </c>
      <c r="C331" s="1" t="n">
        <f aca="false">YEAR(A331)</f>
        <v>2018</v>
      </c>
      <c r="D331" s="1" t="n">
        <f aca="false">MONTH(A331)</f>
        <v>6</v>
      </c>
    </row>
    <row r="332" customFormat="false" ht="14.25" hidden="false" customHeight="false" outlineLevel="0" collapsed="false">
      <c r="A332" s="15" t="n">
        <v>43310</v>
      </c>
      <c r="B332" s="37" t="n">
        <v>12541.56</v>
      </c>
      <c r="C332" s="1" t="n">
        <f aca="false">YEAR(A332)</f>
        <v>2018</v>
      </c>
      <c r="D332" s="1" t="n">
        <f aca="false">MONTH(A332)</f>
        <v>7</v>
      </c>
    </row>
    <row r="333" customFormat="false" ht="14.25" hidden="false" customHeight="false" outlineLevel="0" collapsed="false">
      <c r="A333" s="15" t="n">
        <v>43341</v>
      </c>
      <c r="B333" s="37" t="n">
        <v>2364.83</v>
      </c>
      <c r="C333" s="1" t="n">
        <f aca="false">YEAR(A333)</f>
        <v>2018</v>
      </c>
      <c r="D333" s="1" t="n">
        <f aca="false">MONTH(A333)</f>
        <v>8</v>
      </c>
    </row>
    <row r="334" customFormat="false" ht="14.25" hidden="false" customHeight="false" outlineLevel="0" collapsed="false">
      <c r="A334" s="15" t="n">
        <v>43372</v>
      </c>
      <c r="B334" s="37" t="n">
        <v>3393.77</v>
      </c>
      <c r="C334" s="1" t="n">
        <f aca="false">YEAR(A334)</f>
        <v>2018</v>
      </c>
      <c r="D334" s="1" t="n">
        <f aca="false">MONTH(A334)</f>
        <v>9</v>
      </c>
    </row>
    <row r="335" customFormat="false" ht="14.25" hidden="false" customHeight="false" outlineLevel="0" collapsed="false">
      <c r="A335" s="15" t="n">
        <v>43402</v>
      </c>
      <c r="B335" s="37" t="n">
        <v>2874.37</v>
      </c>
      <c r="C335" s="1" t="n">
        <f aca="false">YEAR(A335)</f>
        <v>2018</v>
      </c>
      <c r="D335" s="1" t="n">
        <f aca="false">MONTH(A335)</f>
        <v>10</v>
      </c>
    </row>
    <row r="336" customFormat="false" ht="14.25" hidden="false" customHeight="false" outlineLevel="0" collapsed="false">
      <c r="A336" s="15" t="n">
        <v>43433</v>
      </c>
      <c r="B336" s="37" t="n">
        <v>2642.08</v>
      </c>
      <c r="C336" s="1" t="n">
        <f aca="false">YEAR(A336)</f>
        <v>2018</v>
      </c>
      <c r="D336" s="1" t="n">
        <f aca="false">MONTH(A336)</f>
        <v>11</v>
      </c>
    </row>
    <row r="337" customFormat="false" ht="14.25" hidden="false" customHeight="false" outlineLevel="0" collapsed="false">
      <c r="A337" s="15" t="n">
        <v>43463</v>
      </c>
      <c r="B337" s="37" t="n">
        <v>22995.33</v>
      </c>
      <c r="C337" s="1" t="n">
        <f aca="false">YEAR(A337)</f>
        <v>2018</v>
      </c>
      <c r="D337" s="1" t="n">
        <f aca="false">MONTH(A337)</f>
        <v>12</v>
      </c>
    </row>
    <row r="338" customFormat="false" ht="14.25" hidden="false" customHeight="false" outlineLevel="0" collapsed="false">
      <c r="A338" s="15" t="n">
        <v>43130</v>
      </c>
      <c r="B338" s="37" t="n">
        <v>5448.63</v>
      </c>
      <c r="C338" s="1" t="n">
        <f aca="false">YEAR(A338)</f>
        <v>2018</v>
      </c>
      <c r="D338" s="1" t="n">
        <f aca="false">MONTH(A338)</f>
        <v>1</v>
      </c>
    </row>
    <row r="339" customFormat="false" ht="14.25" hidden="false" customHeight="false" outlineLevel="0" collapsed="false">
      <c r="A339" s="15" t="n">
        <v>43189</v>
      </c>
      <c r="B339" s="37" t="n">
        <v>153.26</v>
      </c>
      <c r="C339" s="1" t="n">
        <f aca="false">YEAR(A339)</f>
        <v>2018</v>
      </c>
      <c r="D339" s="1" t="n">
        <f aca="false">MONTH(A339)</f>
        <v>3</v>
      </c>
    </row>
    <row r="340" customFormat="false" ht="14.25" hidden="false" customHeight="false" outlineLevel="0" collapsed="false">
      <c r="A340" s="15" t="n">
        <v>43220</v>
      </c>
      <c r="B340" s="37" t="n">
        <v>14215.55</v>
      </c>
      <c r="C340" s="1" t="n">
        <f aca="false">YEAR(A340)</f>
        <v>2018</v>
      </c>
      <c r="D340" s="1" t="n">
        <f aca="false">MONTH(A340)</f>
        <v>4</v>
      </c>
    </row>
    <row r="341" customFormat="false" ht="14.25" hidden="false" customHeight="false" outlineLevel="0" collapsed="false">
      <c r="A341" s="15" t="n">
        <v>43250</v>
      </c>
      <c r="B341" s="37" t="n">
        <v>5468.97</v>
      </c>
      <c r="C341" s="1" t="n">
        <f aca="false">YEAR(A341)</f>
        <v>2018</v>
      </c>
      <c r="D341" s="1" t="n">
        <f aca="false">MONTH(A341)</f>
        <v>5</v>
      </c>
    </row>
    <row r="342" customFormat="false" ht="14.25" hidden="false" customHeight="false" outlineLevel="0" collapsed="false">
      <c r="A342" s="15" t="n">
        <v>43281</v>
      </c>
      <c r="B342" s="37" t="n">
        <v>12121</v>
      </c>
      <c r="C342" s="1" t="n">
        <f aca="false">YEAR(A342)</f>
        <v>2018</v>
      </c>
      <c r="D342" s="1" t="n">
        <f aca="false">MONTH(A342)</f>
        <v>6</v>
      </c>
    </row>
    <row r="343" customFormat="false" ht="14.25" hidden="false" customHeight="false" outlineLevel="0" collapsed="false">
      <c r="A343" s="15" t="n">
        <v>43311</v>
      </c>
      <c r="B343" s="37" t="n">
        <v>148.65</v>
      </c>
      <c r="C343" s="1" t="n">
        <f aca="false">YEAR(A343)</f>
        <v>2018</v>
      </c>
      <c r="D343" s="1" t="n">
        <f aca="false">MONTH(A343)</f>
        <v>7</v>
      </c>
    </row>
    <row r="344" customFormat="false" ht="14.25" hidden="false" customHeight="false" outlineLevel="0" collapsed="false">
      <c r="A344" s="15" t="n">
        <v>43342</v>
      </c>
      <c r="B344" s="37" t="n">
        <v>23746.28</v>
      </c>
      <c r="C344" s="1" t="n">
        <f aca="false">YEAR(A344)</f>
        <v>2018</v>
      </c>
      <c r="D344" s="1" t="n">
        <f aca="false">MONTH(A344)</f>
        <v>8</v>
      </c>
    </row>
    <row r="345" customFormat="false" ht="14.25" hidden="false" customHeight="false" outlineLevel="0" collapsed="false">
      <c r="A345" s="15" t="n">
        <v>43373</v>
      </c>
      <c r="B345" s="37" t="n">
        <v>9529.63</v>
      </c>
      <c r="C345" s="1" t="n">
        <f aca="false">YEAR(A345)</f>
        <v>2018</v>
      </c>
      <c r="D345" s="1" t="n">
        <f aca="false">MONTH(A345)</f>
        <v>9</v>
      </c>
    </row>
    <row r="346" customFormat="false" ht="14.25" hidden="false" customHeight="false" outlineLevel="0" collapsed="false">
      <c r="A346" s="15" t="n">
        <v>43403</v>
      </c>
      <c r="B346" s="37" t="n">
        <v>12202.56</v>
      </c>
      <c r="C346" s="1" t="n">
        <f aca="false">YEAR(A346)</f>
        <v>2018</v>
      </c>
      <c r="D346" s="1" t="n">
        <f aca="false">MONTH(A346)</f>
        <v>10</v>
      </c>
    </row>
    <row r="347" customFormat="false" ht="14.25" hidden="false" customHeight="false" outlineLevel="0" collapsed="false">
      <c r="A347" s="15" t="n">
        <v>43434</v>
      </c>
      <c r="B347" s="37" t="n">
        <v>6897.46</v>
      </c>
      <c r="C347" s="1" t="n">
        <f aca="false">YEAR(A347)</f>
        <v>2018</v>
      </c>
      <c r="D347" s="1" t="n">
        <f aca="false">MONTH(A347)</f>
        <v>11</v>
      </c>
    </row>
    <row r="348" customFormat="false" ht="14.25" hidden="false" customHeight="false" outlineLevel="0" collapsed="false">
      <c r="A348" s="15" t="n">
        <v>43464</v>
      </c>
      <c r="B348" s="37" t="n">
        <v>14319.41</v>
      </c>
      <c r="C348" s="1" t="n">
        <f aca="false">YEAR(A348)</f>
        <v>2018</v>
      </c>
      <c r="D348" s="1" t="n">
        <f aca="false">MONTH(A348)</f>
        <v>12</v>
      </c>
    </row>
    <row r="349" customFormat="false" ht="14.25" hidden="false" customHeight="false" outlineLevel="0" collapsed="false">
      <c r="A349" s="15" t="n">
        <v>43131</v>
      </c>
      <c r="B349" s="37" t="n">
        <v>4048.12</v>
      </c>
      <c r="C349" s="1" t="n">
        <f aca="false">YEAR(A349)</f>
        <v>2018</v>
      </c>
      <c r="D349" s="1" t="n">
        <f aca="false">MONTH(A349)</f>
        <v>1</v>
      </c>
    </row>
    <row r="350" customFormat="false" ht="14.25" hidden="false" customHeight="false" outlineLevel="0" collapsed="false">
      <c r="A350" s="15" t="n">
        <v>43190</v>
      </c>
      <c r="B350" s="37" t="n">
        <v>3332.64</v>
      </c>
      <c r="C350" s="1" t="n">
        <f aca="false">YEAR(A350)</f>
        <v>2018</v>
      </c>
      <c r="D350" s="1" t="n">
        <f aca="false">MONTH(A350)</f>
        <v>3</v>
      </c>
    </row>
    <row r="351" customFormat="false" ht="14.25" hidden="false" customHeight="false" outlineLevel="0" collapsed="false">
      <c r="A351" s="15" t="n">
        <v>43251</v>
      </c>
      <c r="B351" s="37" t="n">
        <v>16916.32</v>
      </c>
      <c r="C351" s="1" t="n">
        <f aca="false">YEAR(A351)</f>
        <v>2018</v>
      </c>
      <c r="D351" s="1" t="n">
        <f aca="false">MONTH(A351)</f>
        <v>5</v>
      </c>
    </row>
    <row r="352" customFormat="false" ht="14.25" hidden="false" customHeight="false" outlineLevel="0" collapsed="false">
      <c r="A352" s="15" t="n">
        <v>43312</v>
      </c>
      <c r="B352" s="37" t="n">
        <v>5803.4</v>
      </c>
      <c r="C352" s="1" t="n">
        <f aca="false">YEAR(A352)</f>
        <v>2018</v>
      </c>
      <c r="D352" s="1" t="n">
        <f aca="false">MONTH(A352)</f>
        <v>7</v>
      </c>
    </row>
    <row r="353" customFormat="false" ht="14.25" hidden="false" customHeight="false" outlineLevel="0" collapsed="false">
      <c r="A353" s="15" t="n">
        <v>43343</v>
      </c>
      <c r="B353" s="37" t="n">
        <v>220.78</v>
      </c>
      <c r="C353" s="1" t="n">
        <f aca="false">YEAR(A353)</f>
        <v>2018</v>
      </c>
      <c r="D353" s="1" t="n">
        <f aca="false">MONTH(A353)</f>
        <v>8</v>
      </c>
    </row>
    <row r="354" customFormat="false" ht="14.25" hidden="false" customHeight="false" outlineLevel="0" collapsed="false">
      <c r="A354" s="15" t="n">
        <v>43404</v>
      </c>
      <c r="B354" s="37" t="n">
        <v>17774.77</v>
      </c>
      <c r="C354" s="1" t="n">
        <f aca="false">YEAR(A354)</f>
        <v>2018</v>
      </c>
      <c r="D354" s="1" t="n">
        <f aca="false">MONTH(A354)</f>
        <v>10</v>
      </c>
    </row>
    <row r="355" customFormat="false" ht="14.25" hidden="false" customHeight="false" outlineLevel="0" collapsed="false">
      <c r="A355" s="15" t="n">
        <v>43465</v>
      </c>
      <c r="B355" s="37" t="n">
        <v>2720.67</v>
      </c>
      <c r="C355" s="1" t="n">
        <f aca="false">YEAR(A355)</f>
        <v>2018</v>
      </c>
      <c r="D355" s="1" t="n">
        <f aca="false">MONTH(A355)</f>
        <v>12</v>
      </c>
    </row>
    <row r="356" customFormat="false" ht="14.25" hidden="false" customHeight="false" outlineLevel="0" collapsed="false">
      <c r="A356" s="15" t="s">
        <v>2</v>
      </c>
      <c r="B356" s="38" t="n">
        <v>204070.14</v>
      </c>
      <c r="C356" s="1" t="e">
        <f aca="false">YEAR(A356)</f>
        <v>#VALUE!</v>
      </c>
      <c r="D356" s="1" t="e">
        <f aca="false">MONTH(A356)</f>
        <v>#VALUE!</v>
      </c>
    </row>
    <row r="357" customFormat="false" ht="14.25" hidden="false" customHeight="false" outlineLevel="0" collapsed="false">
      <c r="A357" s="24" t="s">
        <v>7</v>
      </c>
      <c r="B357" s="28" t="n">
        <v>3677748.54</v>
      </c>
      <c r="C357" s="1" t="e">
        <f aca="false">YEAR(A357)</f>
        <v>#VALUE!</v>
      </c>
      <c r="D357" s="1" t="e">
        <f aca="false">MONTH(A357)</f>
        <v>#VALUE!</v>
      </c>
    </row>
    <row r="359" customFormat="false" ht="14.25" hidden="false" customHeight="false" outlineLevel="0" collapsed="false">
      <c r="A359" s="39" t="s">
        <v>16</v>
      </c>
      <c r="B359" s="40" t="s">
        <v>15</v>
      </c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2"/>
    </row>
    <row r="360" customFormat="false" ht="14.25" hidden="false" customHeight="false" outlineLevel="0" collapsed="false">
      <c r="A360" s="43" t="s">
        <v>14</v>
      </c>
      <c r="B360" s="44" t="n">
        <v>1</v>
      </c>
      <c r="C360" s="45" t="n">
        <v>2</v>
      </c>
      <c r="D360" s="45" t="n">
        <v>3</v>
      </c>
      <c r="E360" s="45" t="n">
        <v>4</v>
      </c>
      <c r="F360" s="45" t="n">
        <v>5</v>
      </c>
      <c r="G360" s="45" t="n">
        <v>6</v>
      </c>
      <c r="H360" s="45" t="n">
        <v>7</v>
      </c>
      <c r="I360" s="45" t="n">
        <v>8</v>
      </c>
      <c r="J360" s="45" t="n">
        <v>9</v>
      </c>
      <c r="K360" s="45" t="n">
        <v>10</v>
      </c>
      <c r="L360" s="45" t="n">
        <v>11</v>
      </c>
      <c r="M360" s="45" t="n">
        <v>12</v>
      </c>
      <c r="N360" s="45" t="s">
        <v>17</v>
      </c>
      <c r="O360" s="46" t="s">
        <v>7</v>
      </c>
    </row>
    <row r="361" customFormat="false" ht="14.25" hidden="false" customHeight="false" outlineLevel="0" collapsed="false">
      <c r="A361" s="47" t="n">
        <v>2018</v>
      </c>
      <c r="B361" s="48" t="n">
        <v>267858.22</v>
      </c>
      <c r="C361" s="49" t="n">
        <v>291238.48</v>
      </c>
      <c r="D361" s="49" t="n">
        <v>300730.17</v>
      </c>
      <c r="E361" s="49" t="n">
        <v>308534.72</v>
      </c>
      <c r="F361" s="49" t="n">
        <v>274493.05</v>
      </c>
      <c r="G361" s="49" t="n">
        <v>199184.15</v>
      </c>
      <c r="H361" s="49" t="n">
        <v>300105.36</v>
      </c>
      <c r="I361" s="49" t="n">
        <v>279880.54</v>
      </c>
      <c r="J361" s="49" t="n">
        <v>267275.98</v>
      </c>
      <c r="K361" s="49" t="n">
        <v>315096.61</v>
      </c>
      <c r="L361" s="49" t="n">
        <v>338332.88</v>
      </c>
      <c r="M361" s="49" t="n">
        <v>330948.24</v>
      </c>
      <c r="N361" s="50"/>
      <c r="O361" s="51" t="n">
        <v>3473678.4</v>
      </c>
    </row>
    <row r="362" customFormat="false" ht="14.25" hidden="false" customHeight="false" outlineLevel="0" collapsed="false">
      <c r="A362" s="52" t="s">
        <v>17</v>
      </c>
      <c r="B362" s="53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5" t="n">
        <v>3881818.68</v>
      </c>
      <c r="O362" s="56" t="n">
        <v>3881818.68</v>
      </c>
    </row>
    <row r="363" customFormat="false" ht="14.25" hidden="false" customHeight="false" outlineLevel="0" collapsed="false">
      <c r="A363" s="57" t="s">
        <v>7</v>
      </c>
      <c r="B363" s="58" t="n">
        <v>267858.22</v>
      </c>
      <c r="C363" s="59" t="n">
        <v>291238.48</v>
      </c>
      <c r="D363" s="59" t="n">
        <v>300730.17</v>
      </c>
      <c r="E363" s="59" t="n">
        <v>308534.72</v>
      </c>
      <c r="F363" s="59" t="n">
        <v>274493.05</v>
      </c>
      <c r="G363" s="59" t="n">
        <v>199184.15</v>
      </c>
      <c r="H363" s="59" t="n">
        <v>300105.36</v>
      </c>
      <c r="I363" s="59" t="n">
        <v>279880.54</v>
      </c>
      <c r="J363" s="59" t="n">
        <v>267275.98</v>
      </c>
      <c r="K363" s="59" t="n">
        <v>315096.61</v>
      </c>
      <c r="L363" s="59" t="n">
        <v>338332.88</v>
      </c>
      <c r="M363" s="59" t="n">
        <v>330948.24</v>
      </c>
      <c r="N363" s="60" t="n">
        <v>3881818.68</v>
      </c>
      <c r="O363" s="61" t="n">
        <v>7355497.07999999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625" defaultRowHeight="14.25" customHeight="false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11.67"/>
    <col collapsed="false" customWidth="true" hidden="false" outlineLevel="0" max="4" min="3" style="1" width="14.44"/>
    <col collapsed="false" customWidth="true" hidden="false" outlineLevel="0" max="5" min="5" style="1" width="11"/>
    <col collapsed="false" customWidth="true" hidden="false" outlineLevel="0" max="6" min="6" style="1" width="18.11"/>
    <col collapsed="false" customWidth="true" hidden="false" outlineLevel="0" max="7" min="7" style="1" width="16.33"/>
    <col collapsed="false" customWidth="true" hidden="false" outlineLevel="0" max="8" min="8" style="1" width="30.33"/>
  </cols>
  <sheetData>
    <row r="1" customFormat="false" ht="14.25" hidden="false" customHeight="false" outlineLevel="0" collapsed="false">
      <c r="A1" s="1" t="s">
        <v>8</v>
      </c>
      <c r="B1" s="29" t="s">
        <v>2</v>
      </c>
      <c r="C1" s="29" t="s">
        <v>18</v>
      </c>
      <c r="D1" s="62" t="s">
        <v>11</v>
      </c>
      <c r="E1" s="62" t="s">
        <v>12</v>
      </c>
      <c r="F1" s="62" t="s">
        <v>1</v>
      </c>
      <c r="G1" s="29" t="s">
        <v>19</v>
      </c>
      <c r="H1" s="29" t="s">
        <v>20</v>
      </c>
    </row>
    <row r="2" customFormat="false" ht="14.25" hidden="false" customHeight="false" outlineLevel="0" collapsed="false">
      <c r="A2" s="1" t="n">
        <v>1005</v>
      </c>
      <c r="B2" s="30" t="n">
        <v>43295</v>
      </c>
      <c r="C2" s="29" t="s">
        <v>21</v>
      </c>
      <c r="D2" s="62" t="n">
        <v>26</v>
      </c>
      <c r="E2" s="62" t="n">
        <v>3004.65</v>
      </c>
      <c r="F2" s="62" t="s">
        <v>4</v>
      </c>
      <c r="G2" s="29" t="s">
        <v>22</v>
      </c>
      <c r="H2" s="29" t="s">
        <v>23</v>
      </c>
    </row>
    <row r="3" customFormat="false" ht="14.25" hidden="false" customHeight="false" outlineLevel="0" collapsed="false">
      <c r="A3" s="1" t="n">
        <v>1006</v>
      </c>
      <c r="B3" s="30" t="n">
        <v>43295</v>
      </c>
      <c r="C3" s="29" t="s">
        <v>21</v>
      </c>
      <c r="D3" s="62" t="n">
        <v>23</v>
      </c>
      <c r="E3" s="62" t="n">
        <v>171.45</v>
      </c>
      <c r="F3" s="62" t="s">
        <v>4</v>
      </c>
      <c r="G3" s="29" t="s">
        <v>24</v>
      </c>
      <c r="H3" s="29" t="s">
        <v>25</v>
      </c>
    </row>
    <row r="4" customFormat="false" ht="14.25" hidden="false" customHeight="false" outlineLevel="0" collapsed="false">
      <c r="A4" s="1" t="n">
        <v>1007</v>
      </c>
      <c r="B4" s="30" t="n">
        <v>43295</v>
      </c>
      <c r="C4" s="29" t="s">
        <v>21</v>
      </c>
      <c r="D4" s="62" t="n">
        <v>15</v>
      </c>
      <c r="E4" s="62" t="n">
        <v>150.4</v>
      </c>
      <c r="F4" s="62" t="s">
        <v>4</v>
      </c>
      <c r="G4" s="29" t="s">
        <v>24</v>
      </c>
      <c r="H4" s="29" t="s">
        <v>26</v>
      </c>
    </row>
    <row r="5" customFormat="false" ht="14.25" hidden="false" customHeight="false" outlineLevel="0" collapsed="false">
      <c r="A5" s="1" t="n">
        <v>1008</v>
      </c>
      <c r="B5" s="30" t="n">
        <v>43295</v>
      </c>
      <c r="C5" s="29" t="s">
        <v>21</v>
      </c>
      <c r="D5" s="62" t="n">
        <v>24</v>
      </c>
      <c r="E5" s="62" t="n">
        <v>1884.7</v>
      </c>
      <c r="F5" s="62" t="s">
        <v>4</v>
      </c>
      <c r="G5" s="29" t="s">
        <v>22</v>
      </c>
      <c r="H5" s="29" t="s">
        <v>27</v>
      </c>
    </row>
    <row r="6" customFormat="false" ht="14.25" hidden="false" customHeight="false" outlineLevel="0" collapsed="false">
      <c r="A6" s="1" t="n">
        <v>1009</v>
      </c>
      <c r="B6" s="30" t="n">
        <v>43394</v>
      </c>
      <c r="C6" s="29" t="s">
        <v>28</v>
      </c>
      <c r="D6" s="62" t="n">
        <v>30</v>
      </c>
      <c r="E6" s="62" t="n">
        <v>308.76</v>
      </c>
      <c r="F6" s="62" t="s">
        <v>4</v>
      </c>
      <c r="G6" s="29" t="s">
        <v>29</v>
      </c>
      <c r="H6" s="29" t="s">
        <v>30</v>
      </c>
    </row>
    <row r="7" customFormat="false" ht="14.25" hidden="false" customHeight="false" outlineLevel="0" collapsed="false">
      <c r="A7" s="1" t="n">
        <v>1010</v>
      </c>
      <c r="B7" s="30" t="n">
        <v>43394</v>
      </c>
      <c r="C7" s="29" t="s">
        <v>28</v>
      </c>
      <c r="D7" s="62" t="n">
        <v>14</v>
      </c>
      <c r="E7" s="62" t="n">
        <v>2025.35</v>
      </c>
      <c r="F7" s="62" t="s">
        <v>4</v>
      </c>
      <c r="G7" s="29" t="s">
        <v>24</v>
      </c>
      <c r="H7" s="29" t="s">
        <v>25</v>
      </c>
    </row>
    <row r="8" customFormat="false" ht="14.25" hidden="false" customHeight="false" outlineLevel="0" collapsed="false">
      <c r="A8" s="1" t="n">
        <v>1011</v>
      </c>
      <c r="B8" s="30" t="n">
        <v>43405</v>
      </c>
      <c r="C8" s="29" t="s">
        <v>31</v>
      </c>
      <c r="D8" s="62" t="n">
        <v>46</v>
      </c>
      <c r="E8" s="62" t="n">
        <v>2658.68</v>
      </c>
      <c r="F8" s="62" t="s">
        <v>5</v>
      </c>
      <c r="G8" s="29" t="s">
        <v>24</v>
      </c>
      <c r="H8" s="29" t="s">
        <v>25</v>
      </c>
    </row>
    <row r="9" customFormat="false" ht="14.25" hidden="false" customHeight="false" outlineLevel="0" collapsed="false">
      <c r="A9" s="1" t="n">
        <v>1012</v>
      </c>
      <c r="B9" s="30" t="n">
        <v>43175</v>
      </c>
      <c r="C9" s="29" t="s">
        <v>31</v>
      </c>
      <c r="D9" s="62" t="n">
        <v>32</v>
      </c>
      <c r="E9" s="62" t="n">
        <v>4079.62</v>
      </c>
      <c r="F9" s="62" t="s">
        <v>4</v>
      </c>
      <c r="G9" s="29" t="s">
        <v>24</v>
      </c>
      <c r="H9" s="29" t="s">
        <v>26</v>
      </c>
    </row>
    <row r="10" customFormat="false" ht="14.25" hidden="false" customHeight="false" outlineLevel="0" collapsed="false">
      <c r="A10" s="1" t="n">
        <v>1013</v>
      </c>
      <c r="B10" s="30" t="n">
        <v>43392</v>
      </c>
      <c r="C10" s="29" t="s">
        <v>28</v>
      </c>
      <c r="D10" s="62" t="n">
        <v>25</v>
      </c>
      <c r="E10" s="62" t="n">
        <v>134.66</v>
      </c>
      <c r="F10" s="62" t="s">
        <v>3</v>
      </c>
      <c r="G10" s="29" t="s">
        <v>24</v>
      </c>
      <c r="H10" s="29" t="s">
        <v>26</v>
      </c>
    </row>
    <row r="11" customFormat="false" ht="14.25" hidden="false" customHeight="false" outlineLevel="0" collapsed="false">
      <c r="A11" s="1" t="n">
        <v>1014</v>
      </c>
      <c r="B11" s="30" t="n">
        <v>43353</v>
      </c>
      <c r="C11" s="29" t="s">
        <v>21</v>
      </c>
      <c r="D11" s="62" t="n">
        <v>10</v>
      </c>
      <c r="E11" s="62" t="n">
        <v>607.69</v>
      </c>
      <c r="F11" s="62" t="s">
        <v>3</v>
      </c>
      <c r="G11" s="29" t="s">
        <v>24</v>
      </c>
      <c r="H11" s="29" t="s">
        <v>25</v>
      </c>
    </row>
    <row r="12" customFormat="false" ht="14.25" hidden="false" customHeight="false" outlineLevel="0" collapsed="false">
      <c r="A12" s="1" t="n">
        <v>1015</v>
      </c>
      <c r="B12" s="30" t="n">
        <v>43195</v>
      </c>
      <c r="C12" s="29" t="s">
        <v>21</v>
      </c>
      <c r="D12" s="62" t="n">
        <v>23</v>
      </c>
      <c r="E12" s="62" t="n">
        <v>332.26</v>
      </c>
      <c r="F12" s="62" t="s">
        <v>5</v>
      </c>
      <c r="G12" s="29" t="s">
        <v>29</v>
      </c>
      <c r="H12" s="29" t="s">
        <v>32</v>
      </c>
    </row>
    <row r="13" customFormat="false" ht="14.25" hidden="false" customHeight="false" outlineLevel="0" collapsed="false">
      <c r="A13" s="1" t="n">
        <v>1016</v>
      </c>
      <c r="B13" s="30" t="n">
        <v>43243</v>
      </c>
      <c r="C13" s="29" t="s">
        <v>31</v>
      </c>
      <c r="D13" s="62" t="n">
        <v>1</v>
      </c>
      <c r="E13" s="62" t="n">
        <v>25.36</v>
      </c>
      <c r="F13" s="62" t="s">
        <v>5</v>
      </c>
      <c r="G13" s="29" t="s">
        <v>29</v>
      </c>
      <c r="H13" s="29" t="s">
        <v>30</v>
      </c>
    </row>
    <row r="14" customFormat="false" ht="14.25" hidden="false" customHeight="false" outlineLevel="0" collapsed="false">
      <c r="A14" s="1" t="n">
        <v>1017</v>
      </c>
      <c r="B14" s="30" t="n">
        <v>43243</v>
      </c>
      <c r="C14" s="29" t="s">
        <v>31</v>
      </c>
      <c r="D14" s="62" t="n">
        <v>24</v>
      </c>
      <c r="E14" s="62" t="n">
        <v>135.44</v>
      </c>
      <c r="F14" s="62" t="s">
        <v>5</v>
      </c>
      <c r="G14" s="29" t="s">
        <v>29</v>
      </c>
      <c r="H14" s="29" t="s">
        <v>30</v>
      </c>
    </row>
    <row r="15" customFormat="false" ht="14.25" hidden="false" customHeight="false" outlineLevel="0" collapsed="false">
      <c r="A15" s="1" t="n">
        <v>1018</v>
      </c>
      <c r="B15" s="30" t="n">
        <v>43253</v>
      </c>
      <c r="C15" s="29" t="s">
        <v>21</v>
      </c>
      <c r="D15" s="62" t="n">
        <v>17</v>
      </c>
      <c r="E15" s="62" t="n">
        <v>108.02</v>
      </c>
      <c r="F15" s="62" t="s">
        <v>3</v>
      </c>
      <c r="G15" s="29" t="s">
        <v>29</v>
      </c>
      <c r="H15" s="29" t="s">
        <v>33</v>
      </c>
    </row>
    <row r="16" customFormat="false" ht="14.25" hidden="false" customHeight="false" outlineLevel="0" collapsed="false">
      <c r="A16" s="1" t="n">
        <v>1019</v>
      </c>
      <c r="B16" s="30" t="n">
        <v>43253</v>
      </c>
      <c r="C16" s="29" t="s">
        <v>21</v>
      </c>
      <c r="D16" s="62" t="n">
        <v>34</v>
      </c>
      <c r="E16" s="62" t="n">
        <v>233.55</v>
      </c>
      <c r="F16" s="62" t="s">
        <v>3</v>
      </c>
      <c r="G16" s="29" t="s">
        <v>29</v>
      </c>
      <c r="H16" s="29" t="s">
        <v>34</v>
      </c>
    </row>
    <row r="17" customFormat="false" ht="14.25" hidden="false" customHeight="false" outlineLevel="0" collapsed="false">
      <c r="A17" s="1" t="n">
        <v>1020</v>
      </c>
      <c r="B17" s="30" t="n">
        <v>43123</v>
      </c>
      <c r="C17" s="29" t="s">
        <v>21</v>
      </c>
      <c r="D17" s="62" t="n">
        <v>4</v>
      </c>
      <c r="E17" s="62" t="n">
        <v>16.01</v>
      </c>
      <c r="F17" s="62" t="s">
        <v>4</v>
      </c>
      <c r="G17" s="29" t="s">
        <v>29</v>
      </c>
      <c r="H17" s="29" t="s">
        <v>35</v>
      </c>
    </row>
    <row r="18" customFormat="false" ht="14.25" hidden="false" customHeight="false" outlineLevel="0" collapsed="false">
      <c r="A18" s="1" t="n">
        <v>1021</v>
      </c>
      <c r="B18" s="30" t="n">
        <v>43123</v>
      </c>
      <c r="C18" s="29" t="s">
        <v>21</v>
      </c>
      <c r="D18" s="62" t="n">
        <v>4</v>
      </c>
      <c r="E18" s="62" t="n">
        <v>16.79</v>
      </c>
      <c r="F18" s="62" t="s">
        <v>4</v>
      </c>
      <c r="G18" s="29" t="s">
        <v>29</v>
      </c>
      <c r="H18" s="29" t="s">
        <v>30</v>
      </c>
    </row>
    <row r="19" customFormat="false" ht="14.25" hidden="false" customHeight="false" outlineLevel="0" collapsed="false">
      <c r="A19" s="1" t="n">
        <v>1022</v>
      </c>
      <c r="B19" s="30" t="n">
        <v>43402</v>
      </c>
      <c r="C19" s="29" t="s">
        <v>28</v>
      </c>
      <c r="D19" s="62" t="n">
        <v>6</v>
      </c>
      <c r="E19" s="62" t="n">
        <v>44.62</v>
      </c>
      <c r="F19" s="62" t="s">
        <v>6</v>
      </c>
      <c r="G19" s="29" t="s">
        <v>29</v>
      </c>
      <c r="H19" s="29" t="s">
        <v>36</v>
      </c>
    </row>
    <row r="20" customFormat="false" ht="14.25" hidden="false" customHeight="false" outlineLevel="0" collapsed="false">
      <c r="A20" s="1" t="n">
        <v>1023</v>
      </c>
      <c r="B20" s="30" t="n">
        <v>43402</v>
      </c>
      <c r="C20" s="29" t="s">
        <v>28</v>
      </c>
      <c r="D20" s="62" t="n">
        <v>8</v>
      </c>
      <c r="E20" s="62" t="n">
        <v>46.32</v>
      </c>
      <c r="F20" s="62" t="s">
        <v>6</v>
      </c>
      <c r="G20" s="29" t="s">
        <v>29</v>
      </c>
      <c r="H20" s="29" t="s">
        <v>36</v>
      </c>
    </row>
    <row r="21" customFormat="false" ht="14.25" hidden="false" customHeight="false" outlineLevel="0" collapsed="false">
      <c r="A21" s="1" t="n">
        <v>1024</v>
      </c>
      <c r="B21" s="30" t="n">
        <v>43331</v>
      </c>
      <c r="C21" s="29" t="s">
        <v>37</v>
      </c>
      <c r="D21" s="62" t="n">
        <v>22</v>
      </c>
      <c r="E21" s="62" t="n">
        <v>1243.77</v>
      </c>
      <c r="F21" s="62" t="s">
        <v>4</v>
      </c>
      <c r="G21" s="29" t="s">
        <v>24</v>
      </c>
      <c r="H21" s="29" t="s">
        <v>25</v>
      </c>
    </row>
    <row r="22" customFormat="false" ht="14.25" hidden="false" customHeight="false" outlineLevel="0" collapsed="false">
      <c r="A22" s="1" t="n">
        <v>1025</v>
      </c>
      <c r="B22" s="30" t="n">
        <v>43299</v>
      </c>
      <c r="C22" s="29" t="s">
        <v>21</v>
      </c>
      <c r="D22" s="62" t="n">
        <v>45</v>
      </c>
      <c r="E22" s="62" t="n">
        <v>381.67</v>
      </c>
      <c r="F22" s="62" t="s">
        <v>4</v>
      </c>
      <c r="G22" s="29" t="s">
        <v>22</v>
      </c>
      <c r="H22" s="29" t="s">
        <v>23</v>
      </c>
    </row>
    <row r="23" customFormat="false" ht="14.25" hidden="false" customHeight="false" outlineLevel="0" collapsed="false">
      <c r="A23" s="1" t="n">
        <v>1026</v>
      </c>
      <c r="B23" s="30" t="n">
        <v>43162</v>
      </c>
      <c r="C23" s="29" t="s">
        <v>28</v>
      </c>
      <c r="D23" s="62" t="n">
        <v>35</v>
      </c>
      <c r="E23" s="62" t="n">
        <v>581.78</v>
      </c>
      <c r="F23" s="62" t="s">
        <v>3</v>
      </c>
      <c r="G23" s="29" t="s">
        <v>29</v>
      </c>
      <c r="H23" s="29" t="s">
        <v>38</v>
      </c>
    </row>
    <row r="24" customFormat="false" ht="14.25" hidden="false" customHeight="false" outlineLevel="0" collapsed="false">
      <c r="A24" s="1" t="n">
        <v>1027</v>
      </c>
      <c r="B24" s="30" t="n">
        <v>43162</v>
      </c>
      <c r="C24" s="29" t="s">
        <v>28</v>
      </c>
      <c r="D24" s="62" t="n">
        <v>29</v>
      </c>
      <c r="E24" s="62" t="n">
        <v>1070.83</v>
      </c>
      <c r="F24" s="62" t="s">
        <v>3</v>
      </c>
      <c r="G24" s="29" t="s">
        <v>29</v>
      </c>
      <c r="H24" s="29" t="s">
        <v>30</v>
      </c>
    </row>
    <row r="25" customFormat="false" ht="14.25" hidden="false" customHeight="false" outlineLevel="0" collapsed="false">
      <c r="A25" s="1" t="n">
        <v>1028</v>
      </c>
      <c r="B25" s="30" t="n">
        <v>43459</v>
      </c>
      <c r="C25" s="29" t="s">
        <v>39</v>
      </c>
      <c r="D25" s="62" t="n">
        <v>42</v>
      </c>
      <c r="E25" s="62" t="n">
        <v>250.59</v>
      </c>
      <c r="F25" s="62" t="s">
        <v>6</v>
      </c>
      <c r="G25" s="29" t="s">
        <v>29</v>
      </c>
      <c r="H25" s="29" t="s">
        <v>33</v>
      </c>
    </row>
    <row r="26" customFormat="false" ht="14.25" hidden="false" customHeight="false" outlineLevel="0" collapsed="false">
      <c r="A26" s="1" t="n">
        <v>1029</v>
      </c>
      <c r="B26" s="30" t="n">
        <v>43290</v>
      </c>
      <c r="C26" s="29" t="s">
        <v>21</v>
      </c>
      <c r="D26" s="62" t="n">
        <v>30</v>
      </c>
      <c r="E26" s="62" t="n">
        <v>5313.36</v>
      </c>
      <c r="F26" s="62" t="s">
        <v>4</v>
      </c>
      <c r="G26" s="29" t="s">
        <v>24</v>
      </c>
      <c r="H26" s="29" t="s">
        <v>25</v>
      </c>
    </row>
    <row r="27" customFormat="false" ht="14.25" hidden="false" customHeight="false" outlineLevel="0" collapsed="false">
      <c r="A27" s="1" t="n">
        <v>1030</v>
      </c>
      <c r="B27" s="30" t="n">
        <v>43238</v>
      </c>
      <c r="C27" s="29" t="s">
        <v>39</v>
      </c>
      <c r="D27" s="62" t="n">
        <v>6</v>
      </c>
      <c r="E27" s="62" t="n">
        <v>1401.2</v>
      </c>
      <c r="F27" s="62" t="s">
        <v>5</v>
      </c>
      <c r="G27" s="29" t="s">
        <v>22</v>
      </c>
      <c r="H27" s="29" t="s">
        <v>40</v>
      </c>
    </row>
    <row r="28" customFormat="false" ht="14.25" hidden="false" customHeight="false" outlineLevel="0" collapsed="false">
      <c r="A28" s="1" t="n">
        <v>1031</v>
      </c>
      <c r="B28" s="30" t="n">
        <v>43238</v>
      </c>
      <c r="C28" s="29" t="s">
        <v>39</v>
      </c>
      <c r="D28" s="62" t="n">
        <v>48</v>
      </c>
      <c r="E28" s="62" t="n">
        <v>862.82</v>
      </c>
      <c r="F28" s="62" t="s">
        <v>5</v>
      </c>
      <c r="G28" s="29" t="s">
        <v>29</v>
      </c>
      <c r="H28" s="29" t="s">
        <v>38</v>
      </c>
    </row>
    <row r="29" customFormat="false" ht="14.25" hidden="false" customHeight="false" outlineLevel="0" collapsed="false">
      <c r="A29" s="1" t="n">
        <v>1032</v>
      </c>
      <c r="B29" s="30" t="n">
        <v>43219</v>
      </c>
      <c r="C29" s="29" t="s">
        <v>21</v>
      </c>
      <c r="D29" s="62" t="n">
        <v>33</v>
      </c>
      <c r="E29" s="62" t="n">
        <v>5818.57</v>
      </c>
      <c r="F29" s="62" t="s">
        <v>5</v>
      </c>
      <c r="G29" s="29" t="s">
        <v>22</v>
      </c>
      <c r="H29" s="29" t="s">
        <v>40</v>
      </c>
    </row>
    <row r="30" customFormat="false" ht="14.25" hidden="false" customHeight="false" outlineLevel="0" collapsed="false">
      <c r="A30" s="1" t="n">
        <v>1033</v>
      </c>
      <c r="B30" s="30" t="n">
        <v>43312</v>
      </c>
      <c r="C30" s="29" t="s">
        <v>31</v>
      </c>
      <c r="D30" s="62" t="n">
        <v>38</v>
      </c>
      <c r="E30" s="62" t="n">
        <v>303.51</v>
      </c>
      <c r="F30" s="62" t="s">
        <v>5</v>
      </c>
      <c r="G30" s="29" t="s">
        <v>29</v>
      </c>
      <c r="H30" s="29" t="s">
        <v>36</v>
      </c>
    </row>
    <row r="31" customFormat="false" ht="14.25" hidden="false" customHeight="false" outlineLevel="0" collapsed="false">
      <c r="A31" s="1" t="n">
        <v>1034</v>
      </c>
      <c r="B31" s="30" t="n">
        <v>43267</v>
      </c>
      <c r="C31" s="29" t="s">
        <v>21</v>
      </c>
      <c r="D31" s="62" t="n">
        <v>22</v>
      </c>
      <c r="E31" s="62" t="n">
        <v>968.44</v>
      </c>
      <c r="F31" s="62" t="s">
        <v>4</v>
      </c>
      <c r="G31" s="29" t="s">
        <v>29</v>
      </c>
      <c r="H31" s="29" t="s">
        <v>38</v>
      </c>
    </row>
    <row r="32" customFormat="false" ht="14.25" hidden="false" customHeight="false" outlineLevel="0" collapsed="false">
      <c r="A32" s="1" t="n">
        <v>1035</v>
      </c>
      <c r="B32" s="30" t="n">
        <v>43267</v>
      </c>
      <c r="C32" s="29" t="s">
        <v>21</v>
      </c>
      <c r="D32" s="62" t="n">
        <v>12</v>
      </c>
      <c r="E32" s="62" t="n">
        <v>100.09</v>
      </c>
      <c r="F32" s="62" t="s">
        <v>4</v>
      </c>
      <c r="G32" s="29" t="s">
        <v>29</v>
      </c>
      <c r="H32" s="29" t="s">
        <v>34</v>
      </c>
    </row>
    <row r="33" customFormat="false" ht="14.25" hidden="false" customHeight="false" outlineLevel="0" collapsed="false">
      <c r="A33" s="1" t="n">
        <v>1036</v>
      </c>
      <c r="B33" s="30" t="n">
        <v>43182</v>
      </c>
      <c r="C33" s="29" t="s">
        <v>21</v>
      </c>
      <c r="D33" s="62" t="n">
        <v>21</v>
      </c>
      <c r="E33" s="62" t="n">
        <v>2976.55</v>
      </c>
      <c r="F33" s="62" t="s">
        <v>4</v>
      </c>
      <c r="G33" s="29" t="s">
        <v>29</v>
      </c>
      <c r="H33" s="29" t="s">
        <v>38</v>
      </c>
    </row>
    <row r="34" customFormat="false" ht="14.25" hidden="false" customHeight="false" outlineLevel="0" collapsed="false">
      <c r="A34" s="1" t="n">
        <v>1037</v>
      </c>
      <c r="B34" s="30" t="n">
        <v>43350</v>
      </c>
      <c r="C34" s="29" t="s">
        <v>31</v>
      </c>
      <c r="D34" s="62" t="n">
        <v>42</v>
      </c>
      <c r="E34" s="62" t="n">
        <v>80.4</v>
      </c>
      <c r="F34" s="62" t="s">
        <v>3</v>
      </c>
      <c r="G34" s="29" t="s">
        <v>29</v>
      </c>
      <c r="H34" s="29" t="s">
        <v>30</v>
      </c>
    </row>
    <row r="35" customFormat="false" ht="14.25" hidden="false" customHeight="false" outlineLevel="0" collapsed="false">
      <c r="A35" s="1" t="n">
        <v>1038</v>
      </c>
      <c r="B35" s="30" t="n">
        <v>43295</v>
      </c>
      <c r="C35" s="29" t="s">
        <v>37</v>
      </c>
      <c r="D35" s="62" t="n">
        <v>6</v>
      </c>
      <c r="E35" s="62" t="n">
        <v>29.97</v>
      </c>
      <c r="F35" s="62" t="s">
        <v>4</v>
      </c>
      <c r="G35" s="29" t="s">
        <v>29</v>
      </c>
      <c r="H35" s="29" t="s">
        <v>35</v>
      </c>
    </row>
    <row r="36" customFormat="false" ht="14.25" hidden="false" customHeight="false" outlineLevel="0" collapsed="false">
      <c r="A36" s="1" t="n">
        <v>1039</v>
      </c>
      <c r="B36" s="30" t="n">
        <v>43266</v>
      </c>
      <c r="C36" s="29" t="s">
        <v>31</v>
      </c>
      <c r="D36" s="62" t="n">
        <v>18</v>
      </c>
      <c r="E36" s="62" t="n">
        <v>95.06</v>
      </c>
      <c r="F36" s="62" t="s">
        <v>5</v>
      </c>
      <c r="G36" s="29" t="s">
        <v>29</v>
      </c>
      <c r="H36" s="29" t="s">
        <v>36</v>
      </c>
    </row>
    <row r="37" customFormat="false" ht="14.25" hidden="false" customHeight="false" outlineLevel="0" collapsed="false">
      <c r="A37" s="1" t="n">
        <v>1040</v>
      </c>
      <c r="B37" s="30" t="n">
        <v>43436</v>
      </c>
      <c r="C37" s="29" t="s">
        <v>31</v>
      </c>
      <c r="D37" s="62" t="n">
        <v>17</v>
      </c>
      <c r="E37" s="62" t="n">
        <v>135.43</v>
      </c>
      <c r="F37" s="62" t="s">
        <v>6</v>
      </c>
      <c r="G37" s="29" t="s">
        <v>29</v>
      </c>
      <c r="H37" s="29" t="s">
        <v>41</v>
      </c>
    </row>
    <row r="38" customFormat="false" ht="14.25" hidden="false" customHeight="false" outlineLevel="0" collapsed="false">
      <c r="A38" s="1" t="n">
        <v>1041</v>
      </c>
      <c r="B38" s="30" t="n">
        <v>43175</v>
      </c>
      <c r="C38" s="29" t="s">
        <v>31</v>
      </c>
      <c r="D38" s="62" t="n">
        <v>35</v>
      </c>
      <c r="E38" s="62" t="n">
        <v>46.62</v>
      </c>
      <c r="F38" s="62" t="s">
        <v>6</v>
      </c>
      <c r="G38" s="29" t="s">
        <v>29</v>
      </c>
      <c r="H38" s="29" t="s">
        <v>33</v>
      </c>
    </row>
    <row r="39" customFormat="false" ht="14.25" hidden="false" customHeight="false" outlineLevel="0" collapsed="false">
      <c r="A39" s="1" t="n">
        <v>1042</v>
      </c>
      <c r="B39" s="30" t="n">
        <v>43175</v>
      </c>
      <c r="C39" s="29" t="s">
        <v>31</v>
      </c>
      <c r="D39" s="62" t="n">
        <v>8</v>
      </c>
      <c r="E39" s="62" t="n">
        <v>34.1</v>
      </c>
      <c r="F39" s="62" t="s">
        <v>6</v>
      </c>
      <c r="G39" s="29" t="s">
        <v>29</v>
      </c>
      <c r="H39" s="29" t="s">
        <v>30</v>
      </c>
    </row>
    <row r="40" customFormat="false" ht="14.25" hidden="false" customHeight="false" outlineLevel="0" collapsed="false">
      <c r="A40" s="1" t="n">
        <v>1043</v>
      </c>
      <c r="B40" s="30" t="n">
        <v>43103</v>
      </c>
      <c r="C40" s="29" t="s">
        <v>31</v>
      </c>
      <c r="D40" s="62" t="n">
        <v>2</v>
      </c>
      <c r="E40" s="62" t="n">
        <v>41.2</v>
      </c>
      <c r="F40" s="62" t="s">
        <v>4</v>
      </c>
      <c r="G40" s="29" t="s">
        <v>24</v>
      </c>
      <c r="H40" s="29" t="s">
        <v>42</v>
      </c>
    </row>
    <row r="41" customFormat="false" ht="14.25" hidden="false" customHeight="false" outlineLevel="0" collapsed="false">
      <c r="A41" s="1" t="n">
        <v>1044</v>
      </c>
      <c r="B41" s="30" t="n">
        <v>43103</v>
      </c>
      <c r="C41" s="29" t="s">
        <v>31</v>
      </c>
      <c r="D41" s="62" t="n">
        <v>33</v>
      </c>
      <c r="E41" s="62" t="n">
        <v>405.1</v>
      </c>
      <c r="F41" s="62" t="s">
        <v>4</v>
      </c>
      <c r="G41" s="29" t="s">
        <v>29</v>
      </c>
      <c r="H41" s="29" t="s">
        <v>34</v>
      </c>
    </row>
    <row r="42" customFormat="false" ht="14.25" hidden="false" customHeight="false" outlineLevel="0" collapsed="false">
      <c r="A42" s="1" t="n">
        <v>1045</v>
      </c>
      <c r="B42" s="30" t="n">
        <v>43284</v>
      </c>
      <c r="C42" s="29" t="s">
        <v>28</v>
      </c>
      <c r="D42" s="62" t="n">
        <v>39</v>
      </c>
      <c r="E42" s="62" t="n">
        <v>211.39</v>
      </c>
      <c r="F42" s="62" t="s">
        <v>6</v>
      </c>
      <c r="G42" s="29" t="s">
        <v>22</v>
      </c>
      <c r="H42" s="29" t="s">
        <v>23</v>
      </c>
    </row>
    <row r="43" customFormat="false" ht="14.25" hidden="false" customHeight="false" outlineLevel="0" collapsed="false">
      <c r="A43" s="1" t="n">
        <v>1046</v>
      </c>
      <c r="B43" s="30" t="n">
        <v>43379</v>
      </c>
      <c r="C43" s="29" t="s">
        <v>28</v>
      </c>
      <c r="D43" s="62" t="n">
        <v>18</v>
      </c>
      <c r="E43" s="62" t="n">
        <v>133.92</v>
      </c>
      <c r="F43" s="62" t="s">
        <v>6</v>
      </c>
      <c r="G43" s="29" t="s">
        <v>29</v>
      </c>
      <c r="H43" s="29" t="s">
        <v>36</v>
      </c>
    </row>
    <row r="44" customFormat="false" ht="14.25" hidden="false" customHeight="false" outlineLevel="0" collapsed="false">
      <c r="A44" s="1" t="n">
        <v>1047</v>
      </c>
      <c r="B44" s="30" t="n">
        <v>43417</v>
      </c>
      <c r="C44" s="29" t="s">
        <v>39</v>
      </c>
      <c r="D44" s="62" t="n">
        <v>17</v>
      </c>
      <c r="E44" s="62" t="n">
        <v>112.29</v>
      </c>
      <c r="F44" s="62" t="s">
        <v>5</v>
      </c>
      <c r="G44" s="29" t="s">
        <v>22</v>
      </c>
      <c r="H44" s="29" t="s">
        <v>23</v>
      </c>
    </row>
    <row r="45" customFormat="false" ht="14.25" hidden="false" customHeight="false" outlineLevel="0" collapsed="false">
      <c r="A45" s="1" t="n">
        <v>1048</v>
      </c>
      <c r="B45" s="30" t="n">
        <v>43159</v>
      </c>
      <c r="C45" s="29" t="s">
        <v>39</v>
      </c>
      <c r="D45" s="62" t="n">
        <v>26</v>
      </c>
      <c r="E45" s="62" t="n">
        <v>417.51</v>
      </c>
      <c r="F45" s="62" t="s">
        <v>3</v>
      </c>
      <c r="G45" s="29" t="s">
        <v>22</v>
      </c>
      <c r="H45" s="29" t="s">
        <v>23</v>
      </c>
    </row>
    <row r="46" customFormat="false" ht="14.25" hidden="false" customHeight="false" outlineLevel="0" collapsed="false">
      <c r="A46" s="1" t="n">
        <v>1049</v>
      </c>
      <c r="B46" s="30" t="n">
        <v>43159</v>
      </c>
      <c r="C46" s="29" t="s">
        <v>39</v>
      </c>
      <c r="D46" s="62" t="n">
        <v>21</v>
      </c>
      <c r="E46" s="62" t="n">
        <v>1308.27</v>
      </c>
      <c r="F46" s="62" t="s">
        <v>3</v>
      </c>
      <c r="G46" s="29" t="s">
        <v>29</v>
      </c>
      <c r="H46" s="29" t="s">
        <v>41</v>
      </c>
    </row>
    <row r="47" customFormat="false" ht="14.25" hidden="false" customHeight="false" outlineLevel="0" collapsed="false">
      <c r="A47" s="1" t="n">
        <v>1050</v>
      </c>
      <c r="B47" s="30" t="n">
        <v>43238</v>
      </c>
      <c r="C47" s="29" t="s">
        <v>37</v>
      </c>
      <c r="D47" s="62" t="n">
        <v>4</v>
      </c>
      <c r="E47" s="62" t="n">
        <v>42.82</v>
      </c>
      <c r="F47" s="62" t="s">
        <v>4</v>
      </c>
      <c r="G47" s="29" t="s">
        <v>29</v>
      </c>
      <c r="H47" s="29" t="s">
        <v>30</v>
      </c>
    </row>
    <row r="48" customFormat="false" ht="14.25" hidden="false" customHeight="false" outlineLevel="0" collapsed="false">
      <c r="A48" s="1" t="n">
        <v>1051</v>
      </c>
      <c r="B48" s="30" t="n">
        <v>43238</v>
      </c>
      <c r="C48" s="29" t="s">
        <v>37</v>
      </c>
      <c r="D48" s="62" t="n">
        <v>50</v>
      </c>
      <c r="E48" s="62" t="n">
        <v>337.07</v>
      </c>
      <c r="F48" s="62" t="s">
        <v>4</v>
      </c>
      <c r="G48" s="29" t="s">
        <v>29</v>
      </c>
      <c r="H48" s="29" t="s">
        <v>34</v>
      </c>
    </row>
    <row r="49" customFormat="false" ht="14.25" hidden="false" customHeight="false" outlineLevel="0" collapsed="false">
      <c r="A49" s="1" t="n">
        <v>1052</v>
      </c>
      <c r="B49" s="30" t="n">
        <v>43233</v>
      </c>
      <c r="C49" s="29" t="s">
        <v>39</v>
      </c>
      <c r="D49" s="62" t="n">
        <v>42</v>
      </c>
      <c r="E49" s="62" t="n">
        <v>12016.37</v>
      </c>
      <c r="F49" s="62" t="s">
        <v>4</v>
      </c>
      <c r="G49" s="29" t="s">
        <v>22</v>
      </c>
      <c r="H49" s="29" t="s">
        <v>27</v>
      </c>
    </row>
    <row r="50" customFormat="false" ht="14.25" hidden="false" customHeight="false" outlineLevel="0" collapsed="false">
      <c r="A50" s="1" t="n">
        <v>1053</v>
      </c>
      <c r="B50" s="30" t="n">
        <v>43249</v>
      </c>
      <c r="C50" s="29" t="s">
        <v>37</v>
      </c>
      <c r="D50" s="62" t="n">
        <v>46</v>
      </c>
      <c r="E50" s="62" t="n">
        <v>1942.57</v>
      </c>
      <c r="F50" s="62" t="s">
        <v>5</v>
      </c>
      <c r="G50" s="29" t="s">
        <v>22</v>
      </c>
      <c r="H50" s="29" t="s">
        <v>23</v>
      </c>
    </row>
    <row r="51" customFormat="false" ht="14.25" hidden="false" customHeight="false" outlineLevel="0" collapsed="false">
      <c r="A51" s="1" t="n">
        <v>1054</v>
      </c>
      <c r="B51" s="30" t="n">
        <v>43332</v>
      </c>
      <c r="C51" s="29" t="s">
        <v>37</v>
      </c>
      <c r="D51" s="62" t="n">
        <v>28</v>
      </c>
      <c r="E51" s="62" t="n">
        <v>152.13</v>
      </c>
      <c r="F51" s="62" t="s">
        <v>3</v>
      </c>
      <c r="G51" s="29" t="s">
        <v>29</v>
      </c>
      <c r="H51" s="29" t="s">
        <v>36</v>
      </c>
    </row>
    <row r="52" customFormat="false" ht="14.25" hidden="false" customHeight="false" outlineLevel="0" collapsed="false">
      <c r="A52" s="1" t="n">
        <v>1055</v>
      </c>
      <c r="B52" s="30" t="n">
        <v>43360</v>
      </c>
      <c r="C52" s="29" t="s">
        <v>28</v>
      </c>
      <c r="D52" s="62" t="n">
        <v>48</v>
      </c>
      <c r="E52" s="62" t="n">
        <v>5714.34</v>
      </c>
      <c r="F52" s="62" t="s">
        <v>3</v>
      </c>
      <c r="G52" s="29" t="s">
        <v>22</v>
      </c>
      <c r="H52" s="29" t="s">
        <v>23</v>
      </c>
    </row>
    <row r="53" customFormat="false" ht="14.25" hidden="false" customHeight="false" outlineLevel="0" collapsed="false">
      <c r="A53" s="1" t="n">
        <v>1056</v>
      </c>
      <c r="B53" s="30" t="n">
        <v>43409</v>
      </c>
      <c r="C53" s="29" t="s">
        <v>37</v>
      </c>
      <c r="D53" s="62" t="n">
        <v>35</v>
      </c>
      <c r="E53" s="62" t="n">
        <v>3780.27</v>
      </c>
      <c r="F53" s="62" t="s">
        <v>5</v>
      </c>
      <c r="G53" s="29" t="s">
        <v>22</v>
      </c>
      <c r="H53" s="29" t="s">
        <v>27</v>
      </c>
    </row>
    <row r="54" customFormat="false" ht="14.25" hidden="false" customHeight="false" outlineLevel="0" collapsed="false">
      <c r="A54" s="1" t="n">
        <v>1057</v>
      </c>
      <c r="B54" s="30" t="n">
        <v>43237</v>
      </c>
      <c r="C54" s="29" t="s">
        <v>21</v>
      </c>
      <c r="D54" s="62" t="n">
        <v>44</v>
      </c>
      <c r="E54" s="62" t="n">
        <v>560.06</v>
      </c>
      <c r="F54" s="62" t="s">
        <v>3</v>
      </c>
      <c r="G54" s="29" t="s">
        <v>29</v>
      </c>
      <c r="H54" s="29" t="s">
        <v>34</v>
      </c>
    </row>
    <row r="55" customFormat="false" ht="14.25" hidden="false" customHeight="false" outlineLevel="0" collapsed="false">
      <c r="A55" s="1" t="n">
        <v>1058</v>
      </c>
      <c r="B55" s="30" t="n">
        <v>43237</v>
      </c>
      <c r="C55" s="29" t="s">
        <v>21</v>
      </c>
      <c r="D55" s="62" t="n">
        <v>29</v>
      </c>
      <c r="E55" s="62" t="n">
        <v>167.67</v>
      </c>
      <c r="F55" s="62" t="s">
        <v>3</v>
      </c>
      <c r="G55" s="29" t="s">
        <v>29</v>
      </c>
      <c r="H55" s="29" t="s">
        <v>36</v>
      </c>
    </row>
    <row r="56" customFormat="false" ht="14.25" hidden="false" customHeight="false" outlineLevel="0" collapsed="false">
      <c r="A56" s="1" t="n">
        <v>1059</v>
      </c>
      <c r="B56" s="30" t="n">
        <v>43237</v>
      </c>
      <c r="C56" s="29" t="s">
        <v>21</v>
      </c>
      <c r="D56" s="62" t="n">
        <v>40</v>
      </c>
      <c r="E56" s="62" t="n">
        <v>206.02</v>
      </c>
      <c r="F56" s="62" t="s">
        <v>3</v>
      </c>
      <c r="G56" s="29" t="s">
        <v>29</v>
      </c>
      <c r="H56" s="29" t="s">
        <v>36</v>
      </c>
    </row>
    <row r="57" customFormat="false" ht="14.25" hidden="false" customHeight="false" outlineLevel="0" collapsed="false">
      <c r="A57" s="1" t="n">
        <v>1060</v>
      </c>
      <c r="B57" s="30" t="n">
        <v>43326</v>
      </c>
      <c r="C57" s="29" t="s">
        <v>31</v>
      </c>
      <c r="D57" s="62" t="n">
        <v>44</v>
      </c>
      <c r="E57" s="62" t="n">
        <v>4848.13</v>
      </c>
      <c r="F57" s="62" t="s">
        <v>6</v>
      </c>
      <c r="G57" s="29" t="s">
        <v>22</v>
      </c>
      <c r="H57" s="29" t="s">
        <v>27</v>
      </c>
    </row>
    <row r="58" customFormat="false" ht="14.25" hidden="false" customHeight="false" outlineLevel="0" collapsed="false">
      <c r="A58" s="1" t="n">
        <v>1061</v>
      </c>
      <c r="B58" s="30" t="n">
        <v>43320</v>
      </c>
      <c r="C58" s="29" t="s">
        <v>39</v>
      </c>
      <c r="D58" s="62" t="n">
        <v>41</v>
      </c>
      <c r="E58" s="62" t="n">
        <v>777.06</v>
      </c>
      <c r="F58" s="62" t="s">
        <v>6</v>
      </c>
      <c r="G58" s="29" t="s">
        <v>22</v>
      </c>
      <c r="H58" s="29" t="s">
        <v>23</v>
      </c>
    </row>
    <row r="59" customFormat="false" ht="14.25" hidden="false" customHeight="false" outlineLevel="0" collapsed="false">
      <c r="A59" s="1" t="n">
        <v>1062</v>
      </c>
      <c r="B59" s="30" t="n">
        <v>43108</v>
      </c>
      <c r="C59" s="29" t="s">
        <v>37</v>
      </c>
      <c r="D59" s="62" t="n">
        <v>3</v>
      </c>
      <c r="E59" s="62" t="n">
        <v>1418.92</v>
      </c>
      <c r="F59" s="62" t="s">
        <v>4</v>
      </c>
      <c r="G59" s="29" t="s">
        <v>29</v>
      </c>
      <c r="H59" s="29" t="s">
        <v>34</v>
      </c>
    </row>
    <row r="60" customFormat="false" ht="14.25" hidden="false" customHeight="false" outlineLevel="0" collapsed="false">
      <c r="A60" s="1" t="n">
        <v>1063</v>
      </c>
      <c r="B60" s="30" t="n">
        <v>43108</v>
      </c>
      <c r="C60" s="29" t="s">
        <v>37</v>
      </c>
      <c r="D60" s="62" t="n">
        <v>30</v>
      </c>
      <c r="E60" s="62" t="n">
        <v>363.25</v>
      </c>
      <c r="F60" s="62" t="s">
        <v>4</v>
      </c>
      <c r="G60" s="29" t="s">
        <v>29</v>
      </c>
      <c r="H60" s="29" t="s">
        <v>30</v>
      </c>
    </row>
    <row r="61" customFormat="false" ht="14.25" hidden="false" customHeight="false" outlineLevel="0" collapsed="false">
      <c r="A61" s="1" t="n">
        <v>1064</v>
      </c>
      <c r="B61" s="30" t="n">
        <v>43267</v>
      </c>
      <c r="C61" s="29" t="s">
        <v>28</v>
      </c>
      <c r="D61" s="62" t="n">
        <v>15</v>
      </c>
      <c r="E61" s="62" t="n">
        <v>1388.12</v>
      </c>
      <c r="F61" s="62" t="s">
        <v>4</v>
      </c>
      <c r="G61" s="29" t="s">
        <v>24</v>
      </c>
      <c r="H61" s="29" t="s">
        <v>25</v>
      </c>
    </row>
    <row r="62" customFormat="false" ht="14.25" hidden="false" customHeight="false" outlineLevel="0" collapsed="false">
      <c r="A62" s="1" t="n">
        <v>1065</v>
      </c>
      <c r="B62" s="30" t="n">
        <v>43167</v>
      </c>
      <c r="C62" s="29" t="s">
        <v>39</v>
      </c>
      <c r="D62" s="62" t="n">
        <v>38</v>
      </c>
      <c r="E62" s="62" t="n">
        <v>197.94</v>
      </c>
      <c r="F62" s="62" t="s">
        <v>4</v>
      </c>
      <c r="G62" s="29" t="s">
        <v>24</v>
      </c>
      <c r="H62" s="29" t="s">
        <v>26</v>
      </c>
    </row>
    <row r="63" customFormat="false" ht="14.25" hidden="false" customHeight="false" outlineLevel="0" collapsed="false">
      <c r="A63" s="1" t="n">
        <v>1066</v>
      </c>
      <c r="B63" s="30" t="n">
        <v>43167</v>
      </c>
      <c r="C63" s="29" t="s">
        <v>39</v>
      </c>
      <c r="D63" s="62" t="n">
        <v>33</v>
      </c>
      <c r="E63" s="62" t="n">
        <v>547.66</v>
      </c>
      <c r="F63" s="62" t="s">
        <v>4</v>
      </c>
      <c r="G63" s="29" t="s">
        <v>29</v>
      </c>
      <c r="H63" s="29" t="s">
        <v>34</v>
      </c>
    </row>
    <row r="64" customFormat="false" ht="14.25" hidden="false" customHeight="false" outlineLevel="0" collapsed="false">
      <c r="A64" s="1" t="n">
        <v>1067</v>
      </c>
      <c r="B64" s="30" t="n">
        <v>43354</v>
      </c>
      <c r="C64" s="29" t="s">
        <v>37</v>
      </c>
      <c r="D64" s="62" t="n">
        <v>26</v>
      </c>
      <c r="E64" s="62" t="n">
        <v>143.01</v>
      </c>
      <c r="F64" s="62" t="s">
        <v>6</v>
      </c>
      <c r="G64" s="29" t="s">
        <v>29</v>
      </c>
      <c r="H64" s="29" t="s">
        <v>36</v>
      </c>
    </row>
    <row r="65" customFormat="false" ht="14.25" hidden="false" customHeight="false" outlineLevel="0" collapsed="false">
      <c r="A65" s="1" t="n">
        <v>1068</v>
      </c>
      <c r="B65" s="30" t="n">
        <v>43354</v>
      </c>
      <c r="C65" s="29" t="s">
        <v>37</v>
      </c>
      <c r="D65" s="62" t="n">
        <v>10</v>
      </c>
      <c r="E65" s="62" t="n">
        <v>562.47</v>
      </c>
      <c r="F65" s="62" t="s">
        <v>6</v>
      </c>
      <c r="G65" s="29" t="s">
        <v>24</v>
      </c>
      <c r="H65" s="29" t="s">
        <v>25</v>
      </c>
    </row>
    <row r="66" customFormat="false" ht="14.25" hidden="false" customHeight="false" outlineLevel="0" collapsed="false">
      <c r="A66" s="1" t="n">
        <v>1069</v>
      </c>
      <c r="B66" s="30" t="n">
        <v>43137</v>
      </c>
      <c r="C66" s="29" t="s">
        <v>28</v>
      </c>
      <c r="D66" s="62" t="n">
        <v>10</v>
      </c>
      <c r="E66" s="62" t="n">
        <v>1095.99</v>
      </c>
      <c r="F66" s="62" t="s">
        <v>4</v>
      </c>
      <c r="G66" s="29" t="s">
        <v>24</v>
      </c>
      <c r="H66" s="29" t="s">
        <v>26</v>
      </c>
    </row>
    <row r="67" customFormat="false" ht="14.25" hidden="false" customHeight="false" outlineLevel="0" collapsed="false">
      <c r="A67" s="1" t="n">
        <v>1070</v>
      </c>
      <c r="B67" s="30" t="n">
        <v>43137</v>
      </c>
      <c r="C67" s="29" t="s">
        <v>28</v>
      </c>
      <c r="D67" s="62" t="n">
        <v>36</v>
      </c>
      <c r="E67" s="62" t="n">
        <v>1311.31</v>
      </c>
      <c r="F67" s="62" t="s">
        <v>4</v>
      </c>
      <c r="G67" s="29" t="s">
        <v>29</v>
      </c>
      <c r="H67" s="29" t="s">
        <v>38</v>
      </c>
    </row>
    <row r="68" customFormat="false" ht="14.25" hidden="false" customHeight="false" outlineLevel="0" collapsed="false">
      <c r="A68" s="1" t="n">
        <v>1071</v>
      </c>
      <c r="B68" s="30" t="n">
        <v>43137</v>
      </c>
      <c r="C68" s="29" t="s">
        <v>28</v>
      </c>
      <c r="D68" s="62" t="n">
        <v>47</v>
      </c>
      <c r="E68" s="62" t="n">
        <v>1442.97</v>
      </c>
      <c r="F68" s="62" t="s">
        <v>4</v>
      </c>
      <c r="G68" s="29" t="s">
        <v>29</v>
      </c>
      <c r="H68" s="29" t="s">
        <v>30</v>
      </c>
    </row>
    <row r="69" customFormat="false" ht="14.25" hidden="false" customHeight="false" outlineLevel="0" collapsed="false">
      <c r="A69" s="1" t="n">
        <v>1072</v>
      </c>
      <c r="B69" s="30" t="n">
        <v>43330</v>
      </c>
      <c r="C69" s="29" t="s">
        <v>28</v>
      </c>
      <c r="D69" s="62" t="n">
        <v>24</v>
      </c>
      <c r="E69" s="62" t="n">
        <v>174.56</v>
      </c>
      <c r="F69" s="62" t="s">
        <v>5</v>
      </c>
      <c r="G69" s="29" t="s">
        <v>29</v>
      </c>
      <c r="H69" s="29" t="s">
        <v>36</v>
      </c>
    </row>
    <row r="70" customFormat="false" ht="14.25" hidden="false" customHeight="false" outlineLevel="0" collapsed="false">
      <c r="A70" s="1" t="n">
        <v>1073</v>
      </c>
      <c r="B70" s="30" t="n">
        <v>43389</v>
      </c>
      <c r="C70" s="29" t="s">
        <v>31</v>
      </c>
      <c r="D70" s="62" t="n">
        <v>19</v>
      </c>
      <c r="E70" s="62" t="n">
        <v>6037.13</v>
      </c>
      <c r="F70" s="62" t="s">
        <v>4</v>
      </c>
      <c r="G70" s="29" t="s">
        <v>29</v>
      </c>
      <c r="H70" s="29" t="s">
        <v>34</v>
      </c>
    </row>
    <row r="71" customFormat="false" ht="14.25" hidden="false" customHeight="false" outlineLevel="0" collapsed="false">
      <c r="A71" s="1" t="n">
        <v>1074</v>
      </c>
      <c r="B71" s="30" t="n">
        <v>43225</v>
      </c>
      <c r="C71" s="29" t="s">
        <v>21</v>
      </c>
      <c r="D71" s="62" t="n">
        <v>23</v>
      </c>
      <c r="E71" s="62" t="n">
        <v>71.95</v>
      </c>
      <c r="F71" s="62" t="s">
        <v>5</v>
      </c>
      <c r="G71" s="29" t="s">
        <v>29</v>
      </c>
      <c r="H71" s="29" t="s">
        <v>30</v>
      </c>
    </row>
    <row r="72" customFormat="false" ht="14.25" hidden="false" customHeight="false" outlineLevel="0" collapsed="false">
      <c r="A72" s="1" t="n">
        <v>1075</v>
      </c>
      <c r="B72" s="30" t="n">
        <v>43171</v>
      </c>
      <c r="C72" s="29" t="s">
        <v>21</v>
      </c>
      <c r="D72" s="62" t="n">
        <v>10</v>
      </c>
      <c r="E72" s="62" t="n">
        <v>49.58</v>
      </c>
      <c r="F72" s="62" t="s">
        <v>4</v>
      </c>
      <c r="G72" s="29" t="s">
        <v>29</v>
      </c>
      <c r="H72" s="29" t="s">
        <v>33</v>
      </c>
    </row>
    <row r="73" customFormat="false" ht="14.25" hidden="false" customHeight="false" outlineLevel="0" collapsed="false">
      <c r="A73" s="1" t="n">
        <v>1076</v>
      </c>
      <c r="B73" s="30" t="n">
        <v>43377</v>
      </c>
      <c r="C73" s="29" t="s">
        <v>28</v>
      </c>
      <c r="D73" s="62" t="n">
        <v>9</v>
      </c>
      <c r="E73" s="62" t="n">
        <v>130.69</v>
      </c>
      <c r="F73" s="62" t="s">
        <v>4</v>
      </c>
      <c r="G73" s="29" t="s">
        <v>29</v>
      </c>
      <c r="H73" s="29" t="s">
        <v>38</v>
      </c>
    </row>
    <row r="74" customFormat="false" ht="14.25" hidden="false" customHeight="false" outlineLevel="0" collapsed="false">
      <c r="A74" s="1" t="n">
        <v>1077</v>
      </c>
      <c r="B74" s="30" t="n">
        <v>43136</v>
      </c>
      <c r="C74" s="29" t="s">
        <v>31</v>
      </c>
      <c r="D74" s="62" t="n">
        <v>39</v>
      </c>
      <c r="E74" s="62" t="n">
        <v>20696.84</v>
      </c>
      <c r="F74" s="62" t="s">
        <v>3</v>
      </c>
      <c r="G74" s="29" t="s">
        <v>22</v>
      </c>
      <c r="H74" s="29" t="s">
        <v>40</v>
      </c>
    </row>
    <row r="75" customFormat="false" ht="14.25" hidden="false" customHeight="false" outlineLevel="0" collapsed="false">
      <c r="A75" s="1" t="n">
        <v>1078</v>
      </c>
      <c r="B75" s="30" t="n">
        <v>43136</v>
      </c>
      <c r="C75" s="29" t="s">
        <v>31</v>
      </c>
      <c r="D75" s="62" t="n">
        <v>7</v>
      </c>
      <c r="E75" s="62" t="n">
        <v>825.81</v>
      </c>
      <c r="F75" s="62" t="s">
        <v>3</v>
      </c>
      <c r="G75" s="29" t="s">
        <v>24</v>
      </c>
      <c r="H75" s="29" t="s">
        <v>25</v>
      </c>
    </row>
    <row r="76" customFormat="false" ht="14.25" hidden="false" customHeight="false" outlineLevel="0" collapsed="false">
      <c r="A76" s="1" t="n">
        <v>1079</v>
      </c>
      <c r="B76" s="30" t="n">
        <v>43354</v>
      </c>
      <c r="C76" s="29" t="s">
        <v>37</v>
      </c>
      <c r="D76" s="62" t="n">
        <v>40</v>
      </c>
      <c r="E76" s="62" t="n">
        <v>109.74</v>
      </c>
      <c r="F76" s="62" t="s">
        <v>5</v>
      </c>
      <c r="G76" s="29" t="s">
        <v>29</v>
      </c>
      <c r="H76" s="29" t="s">
        <v>35</v>
      </c>
    </row>
    <row r="77" customFormat="false" ht="14.25" hidden="false" customHeight="false" outlineLevel="0" collapsed="false">
      <c r="A77" s="1" t="n">
        <v>1080</v>
      </c>
      <c r="B77" s="30" t="n">
        <v>43354</v>
      </c>
      <c r="C77" s="29" t="s">
        <v>37</v>
      </c>
      <c r="D77" s="62" t="n">
        <v>3</v>
      </c>
      <c r="E77" s="62" t="n">
        <v>16.98</v>
      </c>
      <c r="F77" s="62" t="s">
        <v>5</v>
      </c>
      <c r="G77" s="29" t="s">
        <v>29</v>
      </c>
      <c r="H77" s="29" t="s">
        <v>33</v>
      </c>
    </row>
    <row r="78" customFormat="false" ht="14.25" hidden="false" customHeight="false" outlineLevel="0" collapsed="false">
      <c r="A78" s="1" t="n">
        <v>1081</v>
      </c>
      <c r="B78" s="30" t="n">
        <v>43219</v>
      </c>
      <c r="C78" s="29" t="s">
        <v>28</v>
      </c>
      <c r="D78" s="62" t="n">
        <v>41</v>
      </c>
      <c r="E78" s="62" t="n">
        <v>24910.72</v>
      </c>
      <c r="F78" s="62" t="s">
        <v>5</v>
      </c>
      <c r="G78" s="29" t="s">
        <v>24</v>
      </c>
      <c r="H78" s="29" t="s">
        <v>43</v>
      </c>
    </row>
    <row r="79" customFormat="false" ht="14.25" hidden="false" customHeight="false" outlineLevel="0" collapsed="false">
      <c r="A79" s="1" t="n">
        <v>1082</v>
      </c>
      <c r="B79" s="30" t="n">
        <v>43219</v>
      </c>
      <c r="C79" s="29" t="s">
        <v>28</v>
      </c>
      <c r="D79" s="62" t="n">
        <v>7</v>
      </c>
      <c r="E79" s="62" t="n">
        <v>87.8</v>
      </c>
      <c r="F79" s="62" t="s">
        <v>5</v>
      </c>
      <c r="G79" s="29" t="s">
        <v>29</v>
      </c>
      <c r="H79" s="29" t="s">
        <v>34</v>
      </c>
    </row>
    <row r="80" customFormat="false" ht="14.25" hidden="false" customHeight="false" outlineLevel="0" collapsed="false">
      <c r="A80" s="1" t="n">
        <v>1083</v>
      </c>
      <c r="B80" s="30" t="n">
        <v>43305</v>
      </c>
      <c r="C80" s="29" t="s">
        <v>21</v>
      </c>
      <c r="D80" s="62" t="n">
        <v>15</v>
      </c>
      <c r="E80" s="62" t="n">
        <v>121.45</v>
      </c>
      <c r="F80" s="62" t="s">
        <v>4</v>
      </c>
      <c r="G80" s="29" t="s">
        <v>29</v>
      </c>
      <c r="H80" s="29" t="s">
        <v>34</v>
      </c>
    </row>
    <row r="81" customFormat="false" ht="14.25" hidden="false" customHeight="false" outlineLevel="0" collapsed="false">
      <c r="A81" s="1" t="n">
        <v>1084</v>
      </c>
      <c r="B81" s="30" t="n">
        <v>43345</v>
      </c>
      <c r="C81" s="29" t="s">
        <v>39</v>
      </c>
      <c r="D81" s="62" t="n">
        <v>7</v>
      </c>
      <c r="E81" s="62" t="n">
        <v>28.9</v>
      </c>
      <c r="F81" s="62" t="s">
        <v>3</v>
      </c>
      <c r="G81" s="29" t="s">
        <v>29</v>
      </c>
      <c r="H81" s="29" t="s">
        <v>34</v>
      </c>
    </row>
    <row r="82" customFormat="false" ht="14.25" hidden="false" customHeight="false" outlineLevel="0" collapsed="false">
      <c r="A82" s="1" t="n">
        <v>1085</v>
      </c>
      <c r="B82" s="30" t="n">
        <v>43220</v>
      </c>
      <c r="C82" s="29" t="s">
        <v>21</v>
      </c>
      <c r="D82" s="62" t="n">
        <v>31</v>
      </c>
      <c r="E82" s="62" t="n">
        <v>1416.78</v>
      </c>
      <c r="F82" s="62" t="s">
        <v>5</v>
      </c>
      <c r="G82" s="29" t="s">
        <v>22</v>
      </c>
      <c r="H82" s="29" t="s">
        <v>23</v>
      </c>
    </row>
    <row r="83" customFormat="false" ht="14.25" hidden="false" customHeight="false" outlineLevel="0" collapsed="false">
      <c r="A83" s="1" t="n">
        <v>1086</v>
      </c>
      <c r="B83" s="30" t="n">
        <v>43352</v>
      </c>
      <c r="C83" s="29" t="s">
        <v>28</v>
      </c>
      <c r="D83" s="62" t="n">
        <v>14</v>
      </c>
      <c r="E83" s="62" t="n">
        <v>353.32</v>
      </c>
      <c r="F83" s="62" t="s">
        <v>4</v>
      </c>
      <c r="G83" s="29" t="s">
        <v>29</v>
      </c>
      <c r="H83" s="29" t="s">
        <v>36</v>
      </c>
    </row>
    <row r="84" customFormat="false" ht="14.25" hidden="false" customHeight="false" outlineLevel="0" collapsed="false">
      <c r="A84" s="1" t="n">
        <v>1087</v>
      </c>
      <c r="B84" s="30" t="n">
        <v>43273</v>
      </c>
      <c r="C84" s="29" t="s">
        <v>31</v>
      </c>
      <c r="D84" s="62" t="n">
        <v>28</v>
      </c>
      <c r="E84" s="62" t="n">
        <v>1158.22</v>
      </c>
      <c r="F84" s="62" t="s">
        <v>3</v>
      </c>
      <c r="G84" s="29" t="s">
        <v>24</v>
      </c>
      <c r="H84" s="29" t="s">
        <v>26</v>
      </c>
    </row>
    <row r="85" customFormat="false" ht="14.25" hidden="false" customHeight="false" outlineLevel="0" collapsed="false">
      <c r="A85" s="1" t="n">
        <v>1088</v>
      </c>
      <c r="B85" s="30" t="n">
        <v>43295</v>
      </c>
      <c r="C85" s="29" t="s">
        <v>28</v>
      </c>
      <c r="D85" s="62" t="n">
        <v>30</v>
      </c>
      <c r="E85" s="62" t="n">
        <v>4437.79</v>
      </c>
      <c r="F85" s="62" t="s">
        <v>4</v>
      </c>
      <c r="G85" s="29" t="s">
        <v>24</v>
      </c>
      <c r="H85" s="29" t="s">
        <v>42</v>
      </c>
    </row>
    <row r="86" customFormat="false" ht="14.25" hidden="false" customHeight="false" outlineLevel="0" collapsed="false">
      <c r="A86" s="1" t="n">
        <v>1089</v>
      </c>
      <c r="B86" s="30" t="n">
        <v>43382</v>
      </c>
      <c r="C86" s="29" t="s">
        <v>21</v>
      </c>
      <c r="D86" s="62" t="n">
        <v>39</v>
      </c>
      <c r="E86" s="62" t="n">
        <v>301.81</v>
      </c>
      <c r="F86" s="62" t="s">
        <v>4</v>
      </c>
      <c r="G86" s="29" t="s">
        <v>29</v>
      </c>
      <c r="H86" s="29" t="s">
        <v>35</v>
      </c>
    </row>
    <row r="87" customFormat="false" ht="14.25" hidden="false" customHeight="false" outlineLevel="0" collapsed="false">
      <c r="A87" s="1" t="n">
        <v>1090</v>
      </c>
      <c r="B87" s="30" t="n">
        <v>43382</v>
      </c>
      <c r="C87" s="29" t="s">
        <v>21</v>
      </c>
      <c r="D87" s="62" t="n">
        <v>24</v>
      </c>
      <c r="E87" s="62" t="n">
        <v>455.86</v>
      </c>
      <c r="F87" s="62" t="s">
        <v>4</v>
      </c>
      <c r="G87" s="29" t="s">
        <v>24</v>
      </c>
      <c r="H87" s="29" t="s">
        <v>25</v>
      </c>
    </row>
    <row r="88" customFormat="false" ht="14.25" hidden="false" customHeight="false" outlineLevel="0" collapsed="false">
      <c r="A88" s="1" t="n">
        <v>1091</v>
      </c>
      <c r="B88" s="30" t="n">
        <v>43446</v>
      </c>
      <c r="C88" s="29" t="s">
        <v>28</v>
      </c>
      <c r="D88" s="62" t="n">
        <v>4</v>
      </c>
      <c r="E88" s="62" t="n">
        <v>26.93</v>
      </c>
      <c r="F88" s="62" t="s">
        <v>4</v>
      </c>
      <c r="G88" s="29" t="s">
        <v>22</v>
      </c>
      <c r="H88" s="29" t="s">
        <v>23</v>
      </c>
    </row>
    <row r="89" customFormat="false" ht="14.25" hidden="false" customHeight="false" outlineLevel="0" collapsed="false">
      <c r="A89" s="1" t="n">
        <v>1092</v>
      </c>
      <c r="B89" s="30" t="n">
        <v>43446</v>
      </c>
      <c r="C89" s="29" t="s">
        <v>28</v>
      </c>
      <c r="D89" s="62" t="n">
        <v>13</v>
      </c>
      <c r="E89" s="62" t="n">
        <v>12587.75</v>
      </c>
      <c r="F89" s="62" t="s">
        <v>4</v>
      </c>
      <c r="G89" s="29" t="s">
        <v>22</v>
      </c>
      <c r="H89" s="29" t="s">
        <v>44</v>
      </c>
    </row>
    <row r="90" customFormat="false" ht="14.25" hidden="false" customHeight="false" outlineLevel="0" collapsed="false">
      <c r="A90" s="1" t="n">
        <v>1093</v>
      </c>
      <c r="B90" s="30" t="n">
        <v>43446</v>
      </c>
      <c r="C90" s="29" t="s">
        <v>28</v>
      </c>
      <c r="D90" s="62" t="n">
        <v>29</v>
      </c>
      <c r="E90" s="62" t="n">
        <v>223.06</v>
      </c>
      <c r="F90" s="62" t="s">
        <v>4</v>
      </c>
      <c r="G90" s="29" t="s">
        <v>29</v>
      </c>
      <c r="H90" s="29" t="s">
        <v>36</v>
      </c>
    </row>
    <row r="91" customFormat="false" ht="14.25" hidden="false" customHeight="false" outlineLevel="0" collapsed="false">
      <c r="A91" s="1" t="n">
        <v>1094</v>
      </c>
      <c r="B91" s="30" t="n">
        <v>43349</v>
      </c>
      <c r="C91" s="29" t="s">
        <v>28</v>
      </c>
      <c r="D91" s="62" t="n">
        <v>16</v>
      </c>
      <c r="E91" s="62" t="n">
        <v>51.76</v>
      </c>
      <c r="F91" s="62" t="s">
        <v>6</v>
      </c>
      <c r="G91" s="29" t="s">
        <v>29</v>
      </c>
      <c r="H91" s="29" t="s">
        <v>35</v>
      </c>
    </row>
    <row r="92" customFormat="false" ht="14.25" hidden="false" customHeight="false" outlineLevel="0" collapsed="false">
      <c r="A92" s="1" t="n">
        <v>1095</v>
      </c>
      <c r="B92" s="30" t="n">
        <v>43388</v>
      </c>
      <c r="C92" s="29" t="s">
        <v>21</v>
      </c>
      <c r="D92" s="62" t="n">
        <v>37</v>
      </c>
      <c r="E92" s="62" t="n">
        <v>2293.24</v>
      </c>
      <c r="F92" s="62" t="s">
        <v>5</v>
      </c>
      <c r="G92" s="29" t="s">
        <v>24</v>
      </c>
      <c r="H92" s="29" t="s">
        <v>25</v>
      </c>
    </row>
    <row r="93" customFormat="false" ht="14.25" hidden="false" customHeight="false" outlineLevel="0" collapsed="false">
      <c r="A93" s="1" t="n">
        <v>1096</v>
      </c>
      <c r="B93" s="30" t="n">
        <v>43388</v>
      </c>
      <c r="C93" s="29" t="s">
        <v>21</v>
      </c>
      <c r="D93" s="62" t="n">
        <v>30</v>
      </c>
      <c r="E93" s="62" t="n">
        <v>8898.93</v>
      </c>
      <c r="F93" s="62" t="s">
        <v>5</v>
      </c>
      <c r="G93" s="29" t="s">
        <v>29</v>
      </c>
      <c r="H93" s="29" t="s">
        <v>41</v>
      </c>
    </row>
    <row r="94" customFormat="false" ht="14.25" hidden="false" customHeight="false" outlineLevel="0" collapsed="false">
      <c r="A94" s="1" t="n">
        <v>1097</v>
      </c>
      <c r="B94" s="30" t="n">
        <v>43364</v>
      </c>
      <c r="C94" s="29" t="s">
        <v>37</v>
      </c>
      <c r="D94" s="62" t="n">
        <v>34</v>
      </c>
      <c r="E94" s="62" t="n">
        <v>245.58</v>
      </c>
      <c r="F94" s="62" t="s">
        <v>6</v>
      </c>
      <c r="G94" s="29" t="s">
        <v>29</v>
      </c>
      <c r="H94" s="29" t="s">
        <v>36</v>
      </c>
    </row>
    <row r="95" customFormat="false" ht="14.25" hidden="false" customHeight="false" outlineLevel="0" collapsed="false">
      <c r="A95" s="1" t="n">
        <v>1098</v>
      </c>
      <c r="B95" s="30" t="n">
        <v>43364</v>
      </c>
      <c r="C95" s="29" t="s">
        <v>37</v>
      </c>
      <c r="D95" s="62" t="n">
        <v>32</v>
      </c>
      <c r="E95" s="62" t="n">
        <v>506.11</v>
      </c>
      <c r="F95" s="62" t="s">
        <v>6</v>
      </c>
      <c r="G95" s="29" t="s">
        <v>29</v>
      </c>
      <c r="H95" s="29" t="s">
        <v>38</v>
      </c>
    </row>
    <row r="96" customFormat="false" ht="14.25" hidden="false" customHeight="false" outlineLevel="0" collapsed="false">
      <c r="A96" s="1" t="n">
        <v>1099</v>
      </c>
      <c r="B96" s="30" t="n">
        <v>43299</v>
      </c>
      <c r="C96" s="29" t="s">
        <v>21</v>
      </c>
      <c r="D96" s="62" t="n">
        <v>42</v>
      </c>
      <c r="E96" s="62" t="n">
        <v>609.17</v>
      </c>
      <c r="F96" s="62" t="s">
        <v>4</v>
      </c>
      <c r="G96" s="29" t="s">
        <v>29</v>
      </c>
      <c r="H96" s="29" t="s">
        <v>32</v>
      </c>
    </row>
    <row r="97" customFormat="false" ht="14.25" hidden="false" customHeight="false" outlineLevel="0" collapsed="false">
      <c r="A97" s="1" t="n">
        <v>1100</v>
      </c>
      <c r="B97" s="30" t="n">
        <v>43299</v>
      </c>
      <c r="C97" s="29" t="s">
        <v>31</v>
      </c>
      <c r="D97" s="62" t="n">
        <v>39</v>
      </c>
      <c r="E97" s="62" t="n">
        <v>3803.27</v>
      </c>
      <c r="F97" s="62" t="s">
        <v>4</v>
      </c>
      <c r="G97" s="29" t="s">
        <v>22</v>
      </c>
      <c r="H97" s="29" t="s">
        <v>40</v>
      </c>
    </row>
    <row r="98" customFormat="false" ht="14.25" hidden="false" customHeight="false" outlineLevel="0" collapsed="false">
      <c r="A98" s="1" t="n">
        <v>1101</v>
      </c>
      <c r="B98" s="30" t="n">
        <v>43350</v>
      </c>
      <c r="C98" s="29" t="s">
        <v>21</v>
      </c>
      <c r="D98" s="62" t="n">
        <v>17</v>
      </c>
      <c r="E98" s="62" t="n">
        <v>382.45</v>
      </c>
      <c r="F98" s="62" t="s">
        <v>5</v>
      </c>
      <c r="G98" s="29" t="s">
        <v>24</v>
      </c>
      <c r="H98" s="29" t="s">
        <v>26</v>
      </c>
    </row>
    <row r="99" customFormat="false" ht="14.25" hidden="false" customHeight="false" outlineLevel="0" collapsed="false">
      <c r="A99" s="1" t="n">
        <v>1102</v>
      </c>
      <c r="B99" s="30" t="n">
        <v>43350</v>
      </c>
      <c r="C99" s="29" t="s">
        <v>21</v>
      </c>
      <c r="D99" s="62" t="n">
        <v>21</v>
      </c>
      <c r="E99" s="62" t="n">
        <v>5086.87</v>
      </c>
      <c r="F99" s="62" t="s">
        <v>5</v>
      </c>
      <c r="G99" s="29" t="s">
        <v>29</v>
      </c>
      <c r="H99" s="29" t="s">
        <v>38</v>
      </c>
    </row>
    <row r="100" customFormat="false" ht="14.25" hidden="false" customHeight="false" outlineLevel="0" collapsed="false">
      <c r="A100" s="1" t="n">
        <v>1103</v>
      </c>
      <c r="B100" s="30" t="n">
        <v>43332</v>
      </c>
      <c r="C100" s="29" t="s">
        <v>21</v>
      </c>
      <c r="D100" s="62" t="n">
        <v>23</v>
      </c>
      <c r="E100" s="62" t="n">
        <v>4143.97</v>
      </c>
      <c r="F100" s="62" t="s">
        <v>3</v>
      </c>
      <c r="G100" s="29" t="s">
        <v>22</v>
      </c>
      <c r="H100" s="29" t="s">
        <v>40</v>
      </c>
    </row>
    <row r="101" customFormat="false" ht="14.25" hidden="false" customHeight="false" outlineLevel="0" collapsed="false">
      <c r="A101" s="1" t="n">
        <v>1104</v>
      </c>
      <c r="B101" s="30" t="n">
        <v>43332</v>
      </c>
      <c r="C101" s="29" t="s">
        <v>21</v>
      </c>
      <c r="D101" s="62" t="n">
        <v>9</v>
      </c>
      <c r="E101" s="62" t="n">
        <v>381.69</v>
      </c>
      <c r="F101" s="62" t="s">
        <v>3</v>
      </c>
      <c r="G101" s="29" t="s">
        <v>24</v>
      </c>
      <c r="H101" s="29" t="s">
        <v>26</v>
      </c>
    </row>
    <row r="102" customFormat="false" ht="14.25" hidden="false" customHeight="false" outlineLevel="0" collapsed="false">
      <c r="A102" s="1" t="n">
        <v>1105</v>
      </c>
      <c r="B102" s="30" t="n">
        <v>43121</v>
      </c>
      <c r="C102" s="29" t="s">
        <v>39</v>
      </c>
      <c r="D102" s="62" t="n">
        <v>34</v>
      </c>
      <c r="E102" s="62" t="n">
        <v>2305.14</v>
      </c>
      <c r="F102" s="62" t="s">
        <v>3</v>
      </c>
      <c r="G102" s="29" t="s">
        <v>29</v>
      </c>
      <c r="H102" s="29" t="s">
        <v>38</v>
      </c>
    </row>
    <row r="103" customFormat="false" ht="14.25" hidden="false" customHeight="false" outlineLevel="0" collapsed="false">
      <c r="A103" s="1" t="n">
        <v>1106</v>
      </c>
      <c r="B103" s="30" t="n">
        <v>43214</v>
      </c>
      <c r="C103" s="29" t="s">
        <v>31</v>
      </c>
      <c r="D103" s="62" t="n">
        <v>8</v>
      </c>
      <c r="E103" s="62" t="n">
        <v>61.03</v>
      </c>
      <c r="F103" s="62" t="s">
        <v>3</v>
      </c>
      <c r="G103" s="29" t="s">
        <v>29</v>
      </c>
      <c r="H103" s="29" t="s">
        <v>36</v>
      </c>
    </row>
    <row r="104" customFormat="false" ht="14.25" hidden="false" customHeight="false" outlineLevel="0" collapsed="false">
      <c r="A104" s="1" t="n">
        <v>1107</v>
      </c>
      <c r="B104" s="30" t="n">
        <v>43221</v>
      </c>
      <c r="C104" s="29" t="s">
        <v>31</v>
      </c>
      <c r="D104" s="62" t="n">
        <v>34</v>
      </c>
      <c r="E104" s="62" t="n">
        <v>6702.68</v>
      </c>
      <c r="F104" s="62" t="s">
        <v>4</v>
      </c>
      <c r="G104" s="29" t="s">
        <v>24</v>
      </c>
      <c r="H104" s="29" t="s">
        <v>25</v>
      </c>
    </row>
    <row r="105" customFormat="false" ht="14.25" hidden="false" customHeight="false" outlineLevel="0" collapsed="false">
      <c r="A105" s="1" t="n">
        <v>1108</v>
      </c>
      <c r="B105" s="30" t="n">
        <v>43221</v>
      </c>
      <c r="C105" s="29" t="s">
        <v>31</v>
      </c>
      <c r="D105" s="62" t="n">
        <v>36</v>
      </c>
      <c r="E105" s="62" t="n">
        <v>5789.72</v>
      </c>
      <c r="F105" s="62" t="s">
        <v>4</v>
      </c>
      <c r="G105" s="29" t="s">
        <v>29</v>
      </c>
      <c r="H105" s="29" t="s">
        <v>45</v>
      </c>
    </row>
    <row r="106" customFormat="false" ht="14.25" hidden="false" customHeight="false" outlineLevel="0" collapsed="false">
      <c r="A106" s="1" t="n">
        <v>1109</v>
      </c>
      <c r="B106" s="30" t="n">
        <v>43221</v>
      </c>
      <c r="C106" s="29" t="s">
        <v>31</v>
      </c>
      <c r="D106" s="62" t="n">
        <v>28</v>
      </c>
      <c r="E106" s="62" t="n">
        <v>4998.13</v>
      </c>
      <c r="F106" s="62" t="s">
        <v>4</v>
      </c>
      <c r="G106" s="29" t="s">
        <v>24</v>
      </c>
      <c r="H106" s="29" t="s">
        <v>25</v>
      </c>
    </row>
    <row r="107" customFormat="false" ht="14.25" hidden="false" customHeight="false" outlineLevel="0" collapsed="false">
      <c r="A107" s="1" t="n">
        <v>1110</v>
      </c>
      <c r="B107" s="30" t="n">
        <v>43410</v>
      </c>
      <c r="C107" s="29" t="s">
        <v>37</v>
      </c>
      <c r="D107" s="62" t="n">
        <v>41</v>
      </c>
      <c r="E107" s="62" t="n">
        <v>7309.94</v>
      </c>
      <c r="F107" s="62" t="s">
        <v>3</v>
      </c>
      <c r="G107" s="29" t="s">
        <v>29</v>
      </c>
      <c r="H107" s="29" t="s">
        <v>45</v>
      </c>
    </row>
    <row r="108" customFormat="false" ht="14.25" hidden="false" customHeight="false" outlineLevel="0" collapsed="false">
      <c r="A108" s="1" t="n">
        <v>1111</v>
      </c>
      <c r="B108" s="30" t="n">
        <v>43432</v>
      </c>
      <c r="C108" s="29" t="s">
        <v>21</v>
      </c>
      <c r="D108" s="62" t="n">
        <v>24</v>
      </c>
      <c r="E108" s="62" t="n">
        <v>10801.04</v>
      </c>
      <c r="F108" s="62" t="s">
        <v>6</v>
      </c>
      <c r="G108" s="29" t="s">
        <v>29</v>
      </c>
      <c r="H108" s="29" t="s">
        <v>34</v>
      </c>
    </row>
    <row r="109" customFormat="false" ht="14.25" hidden="false" customHeight="false" outlineLevel="0" collapsed="false">
      <c r="A109" s="1" t="n">
        <v>1112</v>
      </c>
      <c r="B109" s="30" t="n">
        <v>43412</v>
      </c>
      <c r="C109" s="29" t="s">
        <v>31</v>
      </c>
      <c r="D109" s="62" t="n">
        <v>30</v>
      </c>
      <c r="E109" s="62" t="n">
        <v>572.41</v>
      </c>
      <c r="F109" s="62" t="s">
        <v>5</v>
      </c>
      <c r="G109" s="29" t="s">
        <v>24</v>
      </c>
      <c r="H109" s="29" t="s">
        <v>26</v>
      </c>
    </row>
    <row r="110" customFormat="false" ht="14.25" hidden="false" customHeight="false" outlineLevel="0" collapsed="false">
      <c r="A110" s="1" t="n">
        <v>1113</v>
      </c>
      <c r="B110" s="30" t="n">
        <v>43417</v>
      </c>
      <c r="C110" s="29" t="s">
        <v>39</v>
      </c>
      <c r="D110" s="62" t="n">
        <v>31</v>
      </c>
      <c r="E110" s="62" t="n">
        <v>152.98</v>
      </c>
      <c r="F110" s="62" t="s">
        <v>4</v>
      </c>
      <c r="G110" s="29" t="s">
        <v>29</v>
      </c>
      <c r="H110" s="29" t="s">
        <v>33</v>
      </c>
    </row>
    <row r="111" customFormat="false" ht="14.25" hidden="false" customHeight="false" outlineLevel="0" collapsed="false">
      <c r="A111" s="1" t="n">
        <v>1114</v>
      </c>
      <c r="B111" s="30" t="n">
        <v>43174</v>
      </c>
      <c r="C111" s="29" t="s">
        <v>39</v>
      </c>
      <c r="D111" s="62" t="n">
        <v>4</v>
      </c>
      <c r="E111" s="62" t="n">
        <v>18.32</v>
      </c>
      <c r="F111" s="62" t="s">
        <v>4</v>
      </c>
      <c r="G111" s="29" t="s">
        <v>29</v>
      </c>
      <c r="H111" s="29" t="s">
        <v>34</v>
      </c>
    </row>
    <row r="112" customFormat="false" ht="14.25" hidden="false" customHeight="false" outlineLevel="0" collapsed="false">
      <c r="A112" s="1" t="n">
        <v>1115</v>
      </c>
      <c r="B112" s="30" t="n">
        <v>43464</v>
      </c>
      <c r="C112" s="29" t="s">
        <v>31</v>
      </c>
      <c r="D112" s="62" t="n">
        <v>18</v>
      </c>
      <c r="E112" s="62" t="n">
        <v>156.33</v>
      </c>
      <c r="F112" s="62" t="s">
        <v>5</v>
      </c>
      <c r="G112" s="29" t="s">
        <v>29</v>
      </c>
      <c r="H112" s="29" t="s">
        <v>36</v>
      </c>
    </row>
    <row r="113" customFormat="false" ht="14.25" hidden="false" customHeight="false" outlineLevel="0" collapsed="false">
      <c r="A113" s="1" t="n">
        <v>1116</v>
      </c>
      <c r="B113" s="30" t="n">
        <v>43464</v>
      </c>
      <c r="C113" s="29" t="s">
        <v>31</v>
      </c>
      <c r="D113" s="62" t="n">
        <v>45</v>
      </c>
      <c r="E113" s="62" t="n">
        <v>12340.3</v>
      </c>
      <c r="F113" s="62" t="s">
        <v>5</v>
      </c>
      <c r="G113" s="29" t="s">
        <v>24</v>
      </c>
      <c r="H113" s="29" t="s">
        <v>42</v>
      </c>
    </row>
    <row r="114" customFormat="false" ht="14.25" hidden="false" customHeight="false" outlineLevel="0" collapsed="false">
      <c r="A114" s="1" t="n">
        <v>1117</v>
      </c>
      <c r="B114" s="30" t="n">
        <v>43294</v>
      </c>
      <c r="C114" s="29" t="s">
        <v>39</v>
      </c>
      <c r="D114" s="62" t="n">
        <v>6</v>
      </c>
      <c r="E114" s="62" t="n">
        <v>98.46</v>
      </c>
      <c r="F114" s="62" t="s">
        <v>5</v>
      </c>
      <c r="G114" s="29" t="s">
        <v>24</v>
      </c>
      <c r="H114" s="29" t="s">
        <v>26</v>
      </c>
    </row>
    <row r="115" customFormat="false" ht="14.25" hidden="false" customHeight="false" outlineLevel="0" collapsed="false">
      <c r="A115" s="1" t="n">
        <v>1118</v>
      </c>
      <c r="B115" s="30" t="n">
        <v>43308</v>
      </c>
      <c r="C115" s="29" t="s">
        <v>39</v>
      </c>
      <c r="D115" s="62" t="n">
        <v>50</v>
      </c>
      <c r="E115" s="62" t="n">
        <v>814.11</v>
      </c>
      <c r="F115" s="62" t="s">
        <v>6</v>
      </c>
      <c r="G115" s="29" t="s">
        <v>29</v>
      </c>
      <c r="H115" s="29" t="s">
        <v>38</v>
      </c>
    </row>
    <row r="116" customFormat="false" ht="14.25" hidden="false" customHeight="false" outlineLevel="0" collapsed="false">
      <c r="A116" s="1" t="n">
        <v>1119</v>
      </c>
      <c r="B116" s="30" t="n">
        <v>43308</v>
      </c>
      <c r="C116" s="29" t="s">
        <v>39</v>
      </c>
      <c r="D116" s="62" t="n">
        <v>40</v>
      </c>
      <c r="E116" s="62" t="n">
        <v>1818.49</v>
      </c>
      <c r="F116" s="62" t="s">
        <v>6</v>
      </c>
      <c r="G116" s="29" t="s">
        <v>24</v>
      </c>
      <c r="H116" s="29" t="s">
        <v>26</v>
      </c>
    </row>
    <row r="117" customFormat="false" ht="14.25" hidden="false" customHeight="false" outlineLevel="0" collapsed="false">
      <c r="A117" s="1" t="n">
        <v>1120</v>
      </c>
      <c r="B117" s="30" t="n">
        <v>43364</v>
      </c>
      <c r="C117" s="29" t="s">
        <v>21</v>
      </c>
      <c r="D117" s="62" t="n">
        <v>21</v>
      </c>
      <c r="E117" s="62" t="n">
        <v>8758.9</v>
      </c>
      <c r="F117" s="62" t="s">
        <v>5</v>
      </c>
      <c r="G117" s="29" t="s">
        <v>29</v>
      </c>
      <c r="H117" s="29" t="s">
        <v>38</v>
      </c>
    </row>
    <row r="118" customFormat="false" ht="14.25" hidden="false" customHeight="false" outlineLevel="0" collapsed="false">
      <c r="A118" s="1" t="n">
        <v>1121</v>
      </c>
      <c r="B118" s="30" t="n">
        <v>43283</v>
      </c>
      <c r="C118" s="29" t="s">
        <v>21</v>
      </c>
      <c r="D118" s="62" t="n">
        <v>33</v>
      </c>
      <c r="E118" s="62" t="n">
        <v>348.73</v>
      </c>
      <c r="F118" s="62" t="s">
        <v>3</v>
      </c>
      <c r="G118" s="29" t="s">
        <v>22</v>
      </c>
      <c r="H118" s="29" t="s">
        <v>23</v>
      </c>
    </row>
    <row r="119" customFormat="false" ht="14.25" hidden="false" customHeight="false" outlineLevel="0" collapsed="false">
      <c r="A119" s="1" t="n">
        <v>1122</v>
      </c>
      <c r="B119" s="30" t="n">
        <v>43283</v>
      </c>
      <c r="C119" s="29" t="s">
        <v>21</v>
      </c>
      <c r="D119" s="62" t="n">
        <v>7</v>
      </c>
      <c r="E119" s="62" t="n">
        <v>136.68</v>
      </c>
      <c r="F119" s="62" t="s">
        <v>3</v>
      </c>
      <c r="G119" s="29" t="s">
        <v>24</v>
      </c>
      <c r="H119" s="29" t="s">
        <v>26</v>
      </c>
    </row>
    <row r="120" customFormat="false" ht="14.25" hidden="false" customHeight="false" outlineLevel="0" collapsed="false">
      <c r="A120" s="1" t="n">
        <v>1123</v>
      </c>
      <c r="B120" s="30" t="n">
        <v>43374</v>
      </c>
      <c r="C120" s="29" t="s">
        <v>21</v>
      </c>
      <c r="D120" s="62" t="n">
        <v>27</v>
      </c>
      <c r="E120" s="62" t="n">
        <v>163.96</v>
      </c>
      <c r="F120" s="62" t="s">
        <v>3</v>
      </c>
      <c r="G120" s="29" t="s">
        <v>29</v>
      </c>
      <c r="H120" s="29" t="s">
        <v>38</v>
      </c>
    </row>
    <row r="121" customFormat="false" ht="14.25" hidden="false" customHeight="false" outlineLevel="0" collapsed="false">
      <c r="A121" s="1" t="n">
        <v>1124</v>
      </c>
      <c r="B121" s="30" t="n">
        <v>43106</v>
      </c>
      <c r="C121" s="29" t="s">
        <v>37</v>
      </c>
      <c r="D121" s="62" t="n">
        <v>6</v>
      </c>
      <c r="E121" s="62" t="n">
        <v>142.74</v>
      </c>
      <c r="F121" s="62" t="s">
        <v>5</v>
      </c>
      <c r="G121" s="29" t="s">
        <v>29</v>
      </c>
      <c r="H121" s="29" t="s">
        <v>30</v>
      </c>
    </row>
    <row r="122" customFormat="false" ht="14.25" hidden="false" customHeight="false" outlineLevel="0" collapsed="false">
      <c r="A122" s="1" t="n">
        <v>1125</v>
      </c>
      <c r="B122" s="30" t="n">
        <v>43106</v>
      </c>
      <c r="C122" s="29" t="s">
        <v>37</v>
      </c>
      <c r="D122" s="62" t="n">
        <v>39</v>
      </c>
      <c r="E122" s="62" t="n">
        <v>4996.03</v>
      </c>
      <c r="F122" s="62" t="s">
        <v>5</v>
      </c>
      <c r="G122" s="29" t="s">
        <v>22</v>
      </c>
      <c r="H122" s="29" t="s">
        <v>40</v>
      </c>
    </row>
    <row r="123" customFormat="false" ht="14.25" hidden="false" customHeight="false" outlineLevel="0" collapsed="false">
      <c r="A123" s="1" t="n">
        <v>1126</v>
      </c>
      <c r="B123" s="30" t="n">
        <v>43454</v>
      </c>
      <c r="C123" s="29" t="s">
        <v>28</v>
      </c>
      <c r="D123" s="62" t="n">
        <v>38</v>
      </c>
      <c r="E123" s="62" t="n">
        <v>123.51</v>
      </c>
      <c r="F123" s="62" t="s">
        <v>5</v>
      </c>
      <c r="G123" s="29" t="s">
        <v>29</v>
      </c>
      <c r="H123" s="29" t="s">
        <v>30</v>
      </c>
    </row>
    <row r="124" customFormat="false" ht="14.25" hidden="false" customHeight="false" outlineLevel="0" collapsed="false">
      <c r="A124" s="1" t="n">
        <v>1127</v>
      </c>
      <c r="B124" s="30" t="n">
        <v>43173</v>
      </c>
      <c r="C124" s="29" t="s">
        <v>39</v>
      </c>
      <c r="D124" s="62" t="n">
        <v>20</v>
      </c>
      <c r="E124" s="62" t="n">
        <v>263.28</v>
      </c>
      <c r="F124" s="62" t="s">
        <v>6</v>
      </c>
      <c r="G124" s="29" t="s">
        <v>22</v>
      </c>
      <c r="H124" s="29" t="s">
        <v>23</v>
      </c>
    </row>
    <row r="125" customFormat="false" ht="14.25" hidden="false" customHeight="false" outlineLevel="0" collapsed="false">
      <c r="A125" s="1" t="n">
        <v>1128</v>
      </c>
      <c r="B125" s="30" t="n">
        <v>43266</v>
      </c>
      <c r="C125" s="29" t="s">
        <v>39</v>
      </c>
      <c r="D125" s="62" t="n">
        <v>25</v>
      </c>
      <c r="E125" s="62" t="n">
        <v>309.13</v>
      </c>
      <c r="F125" s="62" t="s">
        <v>4</v>
      </c>
      <c r="G125" s="29" t="s">
        <v>29</v>
      </c>
      <c r="H125" s="29" t="s">
        <v>36</v>
      </c>
    </row>
    <row r="126" customFormat="false" ht="14.25" hidden="false" customHeight="false" outlineLevel="0" collapsed="false">
      <c r="A126" s="1" t="n">
        <v>1129</v>
      </c>
      <c r="B126" s="30" t="n">
        <v>43176</v>
      </c>
      <c r="C126" s="29" t="s">
        <v>28</v>
      </c>
      <c r="D126" s="62" t="n">
        <v>14</v>
      </c>
      <c r="E126" s="62" t="n">
        <v>438.99</v>
      </c>
      <c r="F126" s="62" t="s">
        <v>5</v>
      </c>
      <c r="G126" s="29" t="s">
        <v>22</v>
      </c>
      <c r="H126" s="29" t="s">
        <v>23</v>
      </c>
    </row>
    <row r="127" customFormat="false" ht="14.25" hidden="false" customHeight="false" outlineLevel="0" collapsed="false">
      <c r="A127" s="1" t="n">
        <v>1130</v>
      </c>
      <c r="B127" s="30" t="n">
        <v>43176</v>
      </c>
      <c r="C127" s="29" t="s">
        <v>28</v>
      </c>
      <c r="D127" s="62" t="n">
        <v>18</v>
      </c>
      <c r="E127" s="62" t="n">
        <v>1639.17</v>
      </c>
      <c r="F127" s="62" t="s">
        <v>5</v>
      </c>
      <c r="G127" s="29" t="s">
        <v>24</v>
      </c>
      <c r="H127" s="29" t="s">
        <v>42</v>
      </c>
    </row>
    <row r="128" customFormat="false" ht="14.25" hidden="false" customHeight="false" outlineLevel="0" collapsed="false">
      <c r="A128" s="1" t="n">
        <v>1131</v>
      </c>
      <c r="B128" s="30" t="n">
        <v>43176</v>
      </c>
      <c r="C128" s="29" t="s">
        <v>28</v>
      </c>
      <c r="D128" s="62" t="n">
        <v>21</v>
      </c>
      <c r="E128" s="62" t="n">
        <v>1666.44</v>
      </c>
      <c r="F128" s="62" t="s">
        <v>5</v>
      </c>
      <c r="G128" s="29" t="s">
        <v>24</v>
      </c>
      <c r="H128" s="29" t="s">
        <v>26</v>
      </c>
    </row>
    <row r="129" customFormat="false" ht="14.25" hidden="false" customHeight="false" outlineLevel="0" collapsed="false">
      <c r="A129" s="1" t="n">
        <v>1132</v>
      </c>
      <c r="B129" s="30" t="n">
        <v>43176</v>
      </c>
      <c r="C129" s="29" t="s">
        <v>28</v>
      </c>
      <c r="D129" s="62" t="n">
        <v>42</v>
      </c>
      <c r="E129" s="62" t="n">
        <v>400.59</v>
      </c>
      <c r="F129" s="62" t="s">
        <v>5</v>
      </c>
      <c r="G129" s="29" t="s">
        <v>29</v>
      </c>
      <c r="H129" s="29" t="s">
        <v>41</v>
      </c>
    </row>
    <row r="130" customFormat="false" ht="14.25" hidden="false" customHeight="false" outlineLevel="0" collapsed="false">
      <c r="A130" s="1" t="n">
        <v>1133</v>
      </c>
      <c r="B130" s="30" t="n">
        <v>43429</v>
      </c>
      <c r="C130" s="29" t="s">
        <v>39</v>
      </c>
      <c r="D130" s="62" t="n">
        <v>16</v>
      </c>
      <c r="E130" s="62" t="n">
        <v>81.96</v>
      </c>
      <c r="F130" s="62" t="s">
        <v>3</v>
      </c>
      <c r="G130" s="29" t="s">
        <v>29</v>
      </c>
      <c r="H130" s="29" t="s">
        <v>34</v>
      </c>
    </row>
    <row r="131" customFormat="false" ht="14.25" hidden="false" customHeight="false" outlineLevel="0" collapsed="false">
      <c r="A131" s="1" t="n">
        <v>1134</v>
      </c>
      <c r="B131" s="30" t="n">
        <v>43153</v>
      </c>
      <c r="C131" s="29" t="s">
        <v>37</v>
      </c>
      <c r="D131" s="62" t="n">
        <v>27</v>
      </c>
      <c r="E131" s="62" t="n">
        <v>378.37</v>
      </c>
      <c r="F131" s="62" t="s">
        <v>3</v>
      </c>
      <c r="G131" s="29" t="s">
        <v>29</v>
      </c>
      <c r="H131" s="29" t="s">
        <v>34</v>
      </c>
    </row>
    <row r="132" customFormat="false" ht="14.25" hidden="false" customHeight="false" outlineLevel="0" collapsed="false">
      <c r="A132" s="1" t="n">
        <v>1135</v>
      </c>
      <c r="B132" s="30" t="n">
        <v>43218</v>
      </c>
      <c r="C132" s="29" t="s">
        <v>37</v>
      </c>
      <c r="D132" s="62" t="n">
        <v>12</v>
      </c>
      <c r="E132" s="62" t="n">
        <v>81.49</v>
      </c>
      <c r="F132" s="62" t="s">
        <v>6</v>
      </c>
      <c r="G132" s="29" t="s">
        <v>29</v>
      </c>
      <c r="H132" s="29" t="s">
        <v>36</v>
      </c>
    </row>
    <row r="133" customFormat="false" ht="14.25" hidden="false" customHeight="false" outlineLevel="0" collapsed="false">
      <c r="A133" s="1" t="n">
        <v>1136</v>
      </c>
      <c r="B133" s="30" t="n">
        <v>43151</v>
      </c>
      <c r="C133" s="29" t="s">
        <v>39</v>
      </c>
      <c r="D133" s="62" t="n">
        <v>43</v>
      </c>
      <c r="E133" s="62" t="n">
        <v>1311.19</v>
      </c>
      <c r="F133" s="62" t="s">
        <v>3</v>
      </c>
      <c r="G133" s="29" t="s">
        <v>29</v>
      </c>
      <c r="H133" s="29" t="s">
        <v>38</v>
      </c>
    </row>
    <row r="134" customFormat="false" ht="14.25" hidden="false" customHeight="false" outlineLevel="0" collapsed="false">
      <c r="A134" s="1" t="n">
        <v>1137</v>
      </c>
      <c r="B134" s="30" t="n">
        <v>43174</v>
      </c>
      <c r="C134" s="29" t="s">
        <v>28</v>
      </c>
      <c r="D134" s="62" t="n">
        <v>24</v>
      </c>
      <c r="E134" s="62" t="n">
        <v>396.67</v>
      </c>
      <c r="F134" s="62" t="s">
        <v>6</v>
      </c>
      <c r="G134" s="29" t="s">
        <v>29</v>
      </c>
      <c r="H134" s="29" t="s">
        <v>38</v>
      </c>
    </row>
    <row r="135" customFormat="false" ht="14.25" hidden="false" customHeight="false" outlineLevel="0" collapsed="false">
      <c r="A135" s="1" t="n">
        <v>1138</v>
      </c>
      <c r="B135" s="30" t="n">
        <v>43102</v>
      </c>
      <c r="C135" s="29" t="s">
        <v>37</v>
      </c>
      <c r="D135" s="62" t="n">
        <v>38</v>
      </c>
      <c r="E135" s="62" t="n">
        <v>1542.52</v>
      </c>
      <c r="F135" s="62" t="s">
        <v>4</v>
      </c>
      <c r="G135" s="29" t="s">
        <v>29</v>
      </c>
      <c r="H135" s="29" t="s">
        <v>36</v>
      </c>
    </row>
    <row r="136" customFormat="false" ht="14.25" hidden="false" customHeight="false" outlineLevel="0" collapsed="false">
      <c r="A136" s="1" t="n">
        <v>1139</v>
      </c>
      <c r="B136" s="30" t="n">
        <v>43261</v>
      </c>
      <c r="C136" s="29" t="s">
        <v>21</v>
      </c>
      <c r="D136" s="62" t="n">
        <v>22</v>
      </c>
      <c r="E136" s="62" t="n">
        <v>691.29</v>
      </c>
      <c r="F136" s="62" t="s">
        <v>5</v>
      </c>
      <c r="G136" s="29" t="s">
        <v>24</v>
      </c>
      <c r="H136" s="29" t="s">
        <v>26</v>
      </c>
    </row>
    <row r="137" customFormat="false" ht="14.25" hidden="false" customHeight="false" outlineLevel="0" collapsed="false">
      <c r="A137" s="1" t="n">
        <v>1140</v>
      </c>
      <c r="B137" s="30" t="n">
        <v>43378</v>
      </c>
      <c r="C137" s="29" t="s">
        <v>28</v>
      </c>
      <c r="D137" s="62" t="n">
        <v>38</v>
      </c>
      <c r="E137" s="62" t="n">
        <v>418.82</v>
      </c>
      <c r="F137" s="62" t="s">
        <v>3</v>
      </c>
      <c r="G137" s="29" t="s">
        <v>29</v>
      </c>
      <c r="H137" s="29" t="s">
        <v>36</v>
      </c>
    </row>
    <row r="138" customFormat="false" ht="14.25" hidden="false" customHeight="false" outlineLevel="0" collapsed="false">
      <c r="A138" s="1" t="n">
        <v>1141</v>
      </c>
      <c r="B138" s="30" t="n">
        <v>43247</v>
      </c>
      <c r="C138" s="29" t="s">
        <v>28</v>
      </c>
      <c r="D138" s="62" t="n">
        <v>5</v>
      </c>
      <c r="E138" s="62" t="n">
        <v>15.79</v>
      </c>
      <c r="F138" s="62" t="s">
        <v>4</v>
      </c>
      <c r="G138" s="29" t="s">
        <v>29</v>
      </c>
      <c r="H138" s="29" t="s">
        <v>35</v>
      </c>
    </row>
    <row r="139" customFormat="false" ht="14.25" hidden="false" customHeight="false" outlineLevel="0" collapsed="false">
      <c r="A139" s="1" t="n">
        <v>1142</v>
      </c>
      <c r="B139" s="30" t="n">
        <v>43110</v>
      </c>
      <c r="C139" s="29" t="s">
        <v>31</v>
      </c>
      <c r="D139" s="62" t="n">
        <v>48</v>
      </c>
      <c r="E139" s="62" t="n">
        <v>6851.63</v>
      </c>
      <c r="F139" s="62" t="s">
        <v>6</v>
      </c>
      <c r="G139" s="29" t="s">
        <v>22</v>
      </c>
      <c r="H139" s="29" t="s">
        <v>44</v>
      </c>
    </row>
    <row r="140" customFormat="false" ht="14.25" hidden="false" customHeight="false" outlineLevel="0" collapsed="false">
      <c r="A140" s="1" t="n">
        <v>1143</v>
      </c>
      <c r="B140" s="30" t="n">
        <v>43110</v>
      </c>
      <c r="C140" s="29" t="s">
        <v>31</v>
      </c>
      <c r="D140" s="62" t="n">
        <v>23</v>
      </c>
      <c r="E140" s="62" t="n">
        <v>810.96</v>
      </c>
      <c r="F140" s="62" t="s">
        <v>6</v>
      </c>
      <c r="G140" s="29" t="s">
        <v>24</v>
      </c>
      <c r="H140" s="29" t="s">
        <v>26</v>
      </c>
    </row>
    <row r="141" customFormat="false" ht="14.25" hidden="false" customHeight="false" outlineLevel="0" collapsed="false">
      <c r="A141" s="1" t="n">
        <v>1144</v>
      </c>
      <c r="B141" s="30" t="n">
        <v>43182</v>
      </c>
      <c r="C141" s="29" t="s">
        <v>37</v>
      </c>
      <c r="D141" s="62" t="n">
        <v>45</v>
      </c>
      <c r="E141" s="62" t="n">
        <v>271.66</v>
      </c>
      <c r="F141" s="62" t="s">
        <v>3</v>
      </c>
      <c r="G141" s="29" t="s">
        <v>29</v>
      </c>
      <c r="H141" s="29" t="s">
        <v>45</v>
      </c>
    </row>
    <row r="142" customFormat="false" ht="14.25" hidden="false" customHeight="false" outlineLevel="0" collapsed="false">
      <c r="A142" s="1" t="n">
        <v>1145</v>
      </c>
      <c r="B142" s="30" t="n">
        <v>43296</v>
      </c>
      <c r="C142" s="29" t="s">
        <v>31</v>
      </c>
      <c r="D142" s="62" t="n">
        <v>28</v>
      </c>
      <c r="E142" s="62" t="n">
        <v>1246.9</v>
      </c>
      <c r="F142" s="62" t="s">
        <v>6</v>
      </c>
      <c r="G142" s="29" t="s">
        <v>29</v>
      </c>
      <c r="H142" s="29" t="s">
        <v>30</v>
      </c>
    </row>
    <row r="143" customFormat="false" ht="14.25" hidden="false" customHeight="false" outlineLevel="0" collapsed="false">
      <c r="A143" s="1" t="n">
        <v>1146</v>
      </c>
      <c r="B143" s="30" t="n">
        <v>43394</v>
      </c>
      <c r="C143" s="29" t="s">
        <v>31</v>
      </c>
      <c r="D143" s="62" t="n">
        <v>4</v>
      </c>
      <c r="E143" s="62" t="n">
        <v>685.02</v>
      </c>
      <c r="F143" s="62" t="s">
        <v>4</v>
      </c>
      <c r="G143" s="29" t="s">
        <v>22</v>
      </c>
      <c r="H143" s="29" t="s">
        <v>27</v>
      </c>
    </row>
    <row r="144" customFormat="false" ht="14.25" hidden="false" customHeight="false" outlineLevel="0" collapsed="false">
      <c r="A144" s="1" t="n">
        <v>1147</v>
      </c>
      <c r="B144" s="30" t="n">
        <v>43240</v>
      </c>
      <c r="C144" s="29" t="s">
        <v>37</v>
      </c>
      <c r="D144" s="62" t="n">
        <v>17</v>
      </c>
      <c r="E144" s="62" t="n">
        <v>417.42</v>
      </c>
      <c r="F144" s="62" t="s">
        <v>3</v>
      </c>
      <c r="G144" s="29" t="s">
        <v>29</v>
      </c>
      <c r="H144" s="29" t="s">
        <v>30</v>
      </c>
    </row>
    <row r="145" customFormat="false" ht="14.25" hidden="false" customHeight="false" outlineLevel="0" collapsed="false">
      <c r="A145" s="1" t="n">
        <v>1148</v>
      </c>
      <c r="B145" s="30" t="n">
        <v>43240</v>
      </c>
      <c r="C145" s="29" t="s">
        <v>37</v>
      </c>
      <c r="D145" s="62" t="n">
        <v>12</v>
      </c>
      <c r="E145" s="62" t="n">
        <v>335.37</v>
      </c>
      <c r="F145" s="62" t="s">
        <v>3</v>
      </c>
      <c r="G145" s="29" t="s">
        <v>22</v>
      </c>
      <c r="H145" s="29" t="s">
        <v>23</v>
      </c>
    </row>
    <row r="146" customFormat="false" ht="14.25" hidden="false" customHeight="false" outlineLevel="0" collapsed="false">
      <c r="A146" s="1" t="n">
        <v>1149</v>
      </c>
      <c r="B146" s="30" t="n">
        <v>43396</v>
      </c>
      <c r="C146" s="29" t="s">
        <v>39</v>
      </c>
      <c r="D146" s="62" t="n">
        <v>43</v>
      </c>
      <c r="E146" s="62" t="n">
        <v>6502.51</v>
      </c>
      <c r="F146" s="62" t="s">
        <v>5</v>
      </c>
      <c r="G146" s="29" t="s">
        <v>22</v>
      </c>
      <c r="H146" s="29" t="s">
        <v>27</v>
      </c>
    </row>
    <row r="147" customFormat="false" ht="14.25" hidden="false" customHeight="false" outlineLevel="0" collapsed="false">
      <c r="A147" s="1" t="n">
        <v>1150</v>
      </c>
      <c r="B147" s="30" t="n">
        <v>43433</v>
      </c>
      <c r="C147" s="29" t="s">
        <v>21</v>
      </c>
      <c r="D147" s="62" t="n">
        <v>40</v>
      </c>
      <c r="E147" s="62" t="n">
        <v>1888.6</v>
      </c>
      <c r="F147" s="62" t="s">
        <v>6</v>
      </c>
      <c r="G147" s="29" t="s">
        <v>29</v>
      </c>
      <c r="H147" s="29" t="s">
        <v>34</v>
      </c>
    </row>
    <row r="148" customFormat="false" ht="14.25" hidden="false" customHeight="false" outlineLevel="0" collapsed="false">
      <c r="A148" s="1" t="n">
        <v>1151</v>
      </c>
      <c r="B148" s="30" t="n">
        <v>43156</v>
      </c>
      <c r="C148" s="29" t="s">
        <v>31</v>
      </c>
      <c r="D148" s="62" t="n">
        <v>21</v>
      </c>
      <c r="E148" s="62" t="n">
        <v>331.29</v>
      </c>
      <c r="F148" s="62" t="s">
        <v>4</v>
      </c>
      <c r="G148" s="29" t="s">
        <v>29</v>
      </c>
      <c r="H148" s="29" t="s">
        <v>38</v>
      </c>
    </row>
    <row r="149" customFormat="false" ht="14.25" hidden="false" customHeight="false" outlineLevel="0" collapsed="false">
      <c r="A149" s="1" t="n">
        <v>1152</v>
      </c>
      <c r="B149" s="30" t="n">
        <v>43156</v>
      </c>
      <c r="C149" s="29" t="s">
        <v>31</v>
      </c>
      <c r="D149" s="62" t="n">
        <v>9</v>
      </c>
      <c r="E149" s="62" t="n">
        <v>70.2</v>
      </c>
      <c r="F149" s="62" t="s">
        <v>4</v>
      </c>
      <c r="G149" s="29" t="s">
        <v>24</v>
      </c>
      <c r="H149" s="29" t="s">
        <v>26</v>
      </c>
    </row>
    <row r="150" customFormat="false" ht="14.25" hidden="false" customHeight="false" outlineLevel="0" collapsed="false">
      <c r="A150" s="1" t="n">
        <v>1153</v>
      </c>
      <c r="B150" s="30" t="n">
        <v>43409</v>
      </c>
      <c r="C150" s="29" t="s">
        <v>31</v>
      </c>
      <c r="D150" s="62" t="n">
        <v>20</v>
      </c>
      <c r="E150" s="62" t="n">
        <v>163.11</v>
      </c>
      <c r="F150" s="62" t="s">
        <v>4</v>
      </c>
      <c r="G150" s="29" t="s">
        <v>22</v>
      </c>
      <c r="H150" s="29" t="s">
        <v>23</v>
      </c>
    </row>
    <row r="151" customFormat="false" ht="14.25" hidden="false" customHeight="false" outlineLevel="0" collapsed="false">
      <c r="A151" s="1" t="n">
        <v>1154</v>
      </c>
      <c r="B151" s="30" t="n">
        <v>43342</v>
      </c>
      <c r="C151" s="29" t="s">
        <v>21</v>
      </c>
      <c r="D151" s="62" t="n">
        <v>11</v>
      </c>
      <c r="E151" s="62" t="n">
        <v>1294.76</v>
      </c>
      <c r="F151" s="62" t="s">
        <v>5</v>
      </c>
      <c r="G151" s="29" t="s">
        <v>24</v>
      </c>
      <c r="H151" s="29" t="s">
        <v>25</v>
      </c>
    </row>
    <row r="152" customFormat="false" ht="14.25" hidden="false" customHeight="false" outlineLevel="0" collapsed="false">
      <c r="A152" s="1" t="n">
        <v>1155</v>
      </c>
      <c r="B152" s="30" t="n">
        <v>43342</v>
      </c>
      <c r="C152" s="29" t="s">
        <v>21</v>
      </c>
      <c r="D152" s="62" t="n">
        <v>30</v>
      </c>
      <c r="E152" s="62" t="n">
        <v>4550.72</v>
      </c>
      <c r="F152" s="62" t="s">
        <v>5</v>
      </c>
      <c r="G152" s="29" t="s">
        <v>24</v>
      </c>
      <c r="H152" s="29" t="s">
        <v>25</v>
      </c>
    </row>
    <row r="153" customFormat="false" ht="14.25" hidden="false" customHeight="false" outlineLevel="0" collapsed="false">
      <c r="A153" s="1" t="n">
        <v>1156</v>
      </c>
      <c r="B153" s="30" t="n">
        <v>43342</v>
      </c>
      <c r="C153" s="29" t="s">
        <v>21</v>
      </c>
      <c r="D153" s="62" t="n">
        <v>50</v>
      </c>
      <c r="E153" s="62" t="n">
        <v>200.98</v>
      </c>
      <c r="F153" s="62" t="s">
        <v>5</v>
      </c>
      <c r="G153" s="29" t="s">
        <v>29</v>
      </c>
      <c r="H153" s="29" t="s">
        <v>35</v>
      </c>
    </row>
    <row r="154" customFormat="false" ht="14.25" hidden="false" customHeight="false" outlineLevel="0" collapsed="false">
      <c r="A154" s="1" t="n">
        <v>1157</v>
      </c>
      <c r="B154" s="30" t="n">
        <v>43342</v>
      </c>
      <c r="C154" s="29" t="s">
        <v>21</v>
      </c>
      <c r="D154" s="62" t="n">
        <v>3</v>
      </c>
      <c r="E154" s="62" t="n">
        <v>53.06</v>
      </c>
      <c r="F154" s="62" t="s">
        <v>5</v>
      </c>
      <c r="G154" s="29" t="s">
        <v>29</v>
      </c>
      <c r="H154" s="29" t="s">
        <v>36</v>
      </c>
    </row>
    <row r="155" customFormat="false" ht="14.25" hidden="false" customHeight="false" outlineLevel="0" collapsed="false">
      <c r="A155" s="1" t="n">
        <v>1158</v>
      </c>
      <c r="B155" s="30" t="n">
        <v>43202</v>
      </c>
      <c r="C155" s="29" t="s">
        <v>28</v>
      </c>
      <c r="D155" s="62" t="n">
        <v>41</v>
      </c>
      <c r="E155" s="62" t="n">
        <v>125.62</v>
      </c>
      <c r="F155" s="62" t="s">
        <v>5</v>
      </c>
      <c r="G155" s="29" t="s">
        <v>29</v>
      </c>
      <c r="H155" s="29" t="s">
        <v>35</v>
      </c>
    </row>
    <row r="156" customFormat="false" ht="14.25" hidden="false" customHeight="false" outlineLevel="0" collapsed="false">
      <c r="A156" s="1" t="n">
        <v>1159</v>
      </c>
      <c r="B156" s="30" t="n">
        <v>43455</v>
      </c>
      <c r="C156" s="29" t="s">
        <v>31</v>
      </c>
      <c r="D156" s="62" t="n">
        <v>48</v>
      </c>
      <c r="E156" s="62" t="n">
        <v>7218.55</v>
      </c>
      <c r="F156" s="62" t="s">
        <v>5</v>
      </c>
      <c r="G156" s="29" t="s">
        <v>22</v>
      </c>
      <c r="H156" s="29" t="s">
        <v>27</v>
      </c>
    </row>
    <row r="157" customFormat="false" ht="14.25" hidden="false" customHeight="false" outlineLevel="0" collapsed="false">
      <c r="A157" s="1" t="n">
        <v>1160</v>
      </c>
      <c r="B157" s="30" t="n">
        <v>43455</v>
      </c>
      <c r="C157" s="29" t="s">
        <v>31</v>
      </c>
      <c r="D157" s="62" t="n">
        <v>26</v>
      </c>
      <c r="E157" s="62" t="n">
        <v>333.18</v>
      </c>
      <c r="F157" s="62" t="s">
        <v>5</v>
      </c>
      <c r="G157" s="29" t="s">
        <v>29</v>
      </c>
      <c r="H157" s="29" t="s">
        <v>45</v>
      </c>
    </row>
    <row r="158" customFormat="false" ht="14.25" hidden="false" customHeight="false" outlineLevel="0" collapsed="false">
      <c r="A158" s="1" t="n">
        <v>1161</v>
      </c>
      <c r="B158" s="30" t="n">
        <v>43261</v>
      </c>
      <c r="C158" s="29" t="s">
        <v>31</v>
      </c>
      <c r="D158" s="62" t="n">
        <v>8</v>
      </c>
      <c r="E158" s="62" t="n">
        <v>830.04</v>
      </c>
      <c r="F158" s="62" t="s">
        <v>3</v>
      </c>
      <c r="G158" s="29" t="s">
        <v>22</v>
      </c>
      <c r="H158" s="29" t="s">
        <v>40</v>
      </c>
    </row>
    <row r="159" customFormat="false" ht="14.25" hidden="false" customHeight="false" outlineLevel="0" collapsed="false">
      <c r="A159" s="1" t="n">
        <v>1162</v>
      </c>
      <c r="B159" s="30" t="n">
        <v>43261</v>
      </c>
      <c r="C159" s="29" t="s">
        <v>31</v>
      </c>
      <c r="D159" s="62" t="n">
        <v>26</v>
      </c>
      <c r="E159" s="62" t="n">
        <v>255.02</v>
      </c>
      <c r="F159" s="62" t="s">
        <v>3</v>
      </c>
      <c r="G159" s="29" t="s">
        <v>29</v>
      </c>
      <c r="H159" s="29" t="s">
        <v>32</v>
      </c>
    </row>
    <row r="160" customFormat="false" ht="14.25" hidden="false" customHeight="false" outlineLevel="0" collapsed="false">
      <c r="A160" s="1" t="n">
        <v>1163</v>
      </c>
      <c r="B160" s="30" t="n">
        <v>43155</v>
      </c>
      <c r="C160" s="29" t="s">
        <v>39</v>
      </c>
      <c r="D160" s="62" t="n">
        <v>4</v>
      </c>
      <c r="E160" s="62" t="n">
        <v>43.73</v>
      </c>
      <c r="F160" s="62" t="s">
        <v>4</v>
      </c>
      <c r="G160" s="29" t="s">
        <v>29</v>
      </c>
      <c r="H160" s="29" t="s">
        <v>36</v>
      </c>
    </row>
    <row r="161" customFormat="false" ht="14.25" hidden="false" customHeight="false" outlineLevel="0" collapsed="false">
      <c r="A161" s="1" t="n">
        <v>1164</v>
      </c>
      <c r="B161" s="30" t="n">
        <v>43155</v>
      </c>
      <c r="C161" s="29" t="s">
        <v>39</v>
      </c>
      <c r="D161" s="62" t="n">
        <v>30</v>
      </c>
      <c r="E161" s="62" t="n">
        <v>8949.11</v>
      </c>
      <c r="F161" s="62" t="s">
        <v>4</v>
      </c>
      <c r="G161" s="29" t="s">
        <v>22</v>
      </c>
      <c r="H161" s="29" t="s">
        <v>40</v>
      </c>
    </row>
    <row r="162" customFormat="false" ht="14.25" hidden="false" customHeight="false" outlineLevel="0" collapsed="false">
      <c r="A162" s="1" t="n">
        <v>1165</v>
      </c>
      <c r="B162" s="30" t="n">
        <v>43401</v>
      </c>
      <c r="C162" s="29" t="s">
        <v>39</v>
      </c>
      <c r="D162" s="62" t="n">
        <v>25</v>
      </c>
      <c r="E162" s="62" t="n">
        <v>1047.28</v>
      </c>
      <c r="F162" s="62" t="s">
        <v>3</v>
      </c>
      <c r="G162" s="29" t="s">
        <v>29</v>
      </c>
      <c r="H162" s="29" t="s">
        <v>36</v>
      </c>
    </row>
    <row r="163" customFormat="false" ht="14.25" hidden="false" customHeight="false" outlineLevel="0" collapsed="false">
      <c r="A163" s="1" t="n">
        <v>1166</v>
      </c>
      <c r="B163" s="30" t="n">
        <v>43401</v>
      </c>
      <c r="C163" s="29" t="s">
        <v>39</v>
      </c>
      <c r="D163" s="62" t="n">
        <v>3</v>
      </c>
      <c r="E163" s="62" t="n">
        <v>758.67</v>
      </c>
      <c r="F163" s="62" t="s">
        <v>3</v>
      </c>
      <c r="G163" s="29" t="s">
        <v>22</v>
      </c>
      <c r="H163" s="29" t="s">
        <v>44</v>
      </c>
    </row>
    <row r="164" customFormat="false" ht="14.25" hidden="false" customHeight="false" outlineLevel="0" collapsed="false">
      <c r="A164" s="1" t="n">
        <v>1167</v>
      </c>
      <c r="B164" s="30" t="n">
        <v>43336</v>
      </c>
      <c r="C164" s="29" t="s">
        <v>31</v>
      </c>
      <c r="D164" s="62" t="n">
        <v>37</v>
      </c>
      <c r="E164" s="62" t="n">
        <v>5239.72</v>
      </c>
      <c r="F164" s="62" t="s">
        <v>5</v>
      </c>
      <c r="G164" s="29" t="s">
        <v>22</v>
      </c>
      <c r="H164" s="29" t="s">
        <v>40</v>
      </c>
    </row>
    <row r="165" customFormat="false" ht="14.25" hidden="false" customHeight="false" outlineLevel="0" collapsed="false">
      <c r="A165" s="1" t="n">
        <v>1168</v>
      </c>
      <c r="B165" s="30" t="n">
        <v>43159</v>
      </c>
      <c r="C165" s="29" t="s">
        <v>28</v>
      </c>
      <c r="D165" s="62" t="n">
        <v>24</v>
      </c>
      <c r="E165" s="62" t="n">
        <v>206.3</v>
      </c>
      <c r="F165" s="62" t="s">
        <v>6</v>
      </c>
      <c r="G165" s="29" t="s">
        <v>29</v>
      </c>
      <c r="H165" s="29" t="s">
        <v>36</v>
      </c>
    </row>
    <row r="166" customFormat="false" ht="14.25" hidden="false" customHeight="false" outlineLevel="0" collapsed="false">
      <c r="A166" s="1" t="n">
        <v>1169</v>
      </c>
      <c r="B166" s="30" t="n">
        <v>43384</v>
      </c>
      <c r="C166" s="29" t="s">
        <v>21</v>
      </c>
      <c r="D166" s="62" t="n">
        <v>8</v>
      </c>
      <c r="E166" s="62" t="n">
        <v>363.1</v>
      </c>
      <c r="F166" s="62" t="s">
        <v>5</v>
      </c>
      <c r="G166" s="29" t="s">
        <v>29</v>
      </c>
      <c r="H166" s="29" t="s">
        <v>41</v>
      </c>
    </row>
    <row r="167" customFormat="false" ht="14.25" hidden="false" customHeight="false" outlineLevel="0" collapsed="false">
      <c r="A167" s="1" t="n">
        <v>1170</v>
      </c>
      <c r="B167" s="30" t="n">
        <v>43384</v>
      </c>
      <c r="C167" s="29" t="s">
        <v>21</v>
      </c>
      <c r="D167" s="62" t="n">
        <v>11</v>
      </c>
      <c r="E167" s="62" t="n">
        <v>36.03</v>
      </c>
      <c r="F167" s="62" t="s">
        <v>5</v>
      </c>
      <c r="G167" s="29" t="s">
        <v>29</v>
      </c>
      <c r="H167" s="29" t="s">
        <v>35</v>
      </c>
    </row>
    <row r="168" customFormat="false" ht="14.25" hidden="false" customHeight="false" outlineLevel="0" collapsed="false">
      <c r="A168" s="1" t="n">
        <v>1171</v>
      </c>
      <c r="B168" s="30" t="n">
        <v>43258</v>
      </c>
      <c r="C168" s="29" t="s">
        <v>28</v>
      </c>
      <c r="D168" s="62" t="n">
        <v>48</v>
      </c>
      <c r="E168" s="62" t="n">
        <v>1441.96</v>
      </c>
      <c r="F168" s="62" t="s">
        <v>4</v>
      </c>
      <c r="G168" s="29" t="s">
        <v>24</v>
      </c>
      <c r="H168" s="29" t="s">
        <v>26</v>
      </c>
    </row>
    <row r="169" customFormat="false" ht="14.25" hidden="false" customHeight="false" outlineLevel="0" collapsed="false">
      <c r="A169" s="1" t="n">
        <v>1172</v>
      </c>
      <c r="B169" s="30" t="n">
        <v>43200</v>
      </c>
      <c r="C169" s="29" t="s">
        <v>37</v>
      </c>
      <c r="D169" s="62" t="n">
        <v>38</v>
      </c>
      <c r="E169" s="62" t="n">
        <v>4088.51</v>
      </c>
      <c r="F169" s="62" t="s">
        <v>4</v>
      </c>
      <c r="G169" s="29" t="s">
        <v>24</v>
      </c>
      <c r="H169" s="29" t="s">
        <v>25</v>
      </c>
    </row>
    <row r="170" customFormat="false" ht="14.25" hidden="false" customHeight="false" outlineLevel="0" collapsed="false">
      <c r="A170" s="1" t="n">
        <v>1173</v>
      </c>
      <c r="B170" s="30" t="n">
        <v>43404</v>
      </c>
      <c r="C170" s="29" t="s">
        <v>21</v>
      </c>
      <c r="D170" s="62" t="n">
        <v>36</v>
      </c>
      <c r="E170" s="62" t="n">
        <v>5065.06</v>
      </c>
      <c r="F170" s="62" t="s">
        <v>3</v>
      </c>
      <c r="G170" s="29" t="s">
        <v>22</v>
      </c>
      <c r="H170" s="29" t="s">
        <v>40</v>
      </c>
    </row>
    <row r="171" customFormat="false" ht="14.25" hidden="false" customHeight="false" outlineLevel="0" collapsed="false">
      <c r="A171" s="1" t="n">
        <v>1174</v>
      </c>
      <c r="B171" s="30" t="n">
        <v>43404</v>
      </c>
      <c r="C171" s="29" t="s">
        <v>21</v>
      </c>
      <c r="D171" s="62" t="n">
        <v>14</v>
      </c>
      <c r="E171" s="62" t="n">
        <v>2908.33</v>
      </c>
      <c r="F171" s="62" t="s">
        <v>3</v>
      </c>
      <c r="G171" s="29" t="s">
        <v>22</v>
      </c>
      <c r="H171" s="29" t="s">
        <v>23</v>
      </c>
    </row>
    <row r="172" customFormat="false" ht="14.25" hidden="false" customHeight="false" outlineLevel="0" collapsed="false">
      <c r="A172" s="1" t="n">
        <v>1175</v>
      </c>
      <c r="B172" s="30" t="n">
        <v>43288</v>
      </c>
      <c r="C172" s="29" t="s">
        <v>28</v>
      </c>
      <c r="D172" s="62" t="n">
        <v>7</v>
      </c>
      <c r="E172" s="62" t="n">
        <v>63.54</v>
      </c>
      <c r="F172" s="62" t="s">
        <v>5</v>
      </c>
      <c r="G172" s="29" t="s">
        <v>29</v>
      </c>
      <c r="H172" s="29" t="s">
        <v>34</v>
      </c>
    </row>
    <row r="173" customFormat="false" ht="14.25" hidden="false" customHeight="false" outlineLevel="0" collapsed="false">
      <c r="A173" s="1" t="n">
        <v>1176</v>
      </c>
      <c r="B173" s="30" t="n">
        <v>43151</v>
      </c>
      <c r="C173" s="29" t="s">
        <v>37</v>
      </c>
      <c r="D173" s="62" t="n">
        <v>39</v>
      </c>
      <c r="E173" s="62" t="n">
        <v>295.35</v>
      </c>
      <c r="F173" s="62" t="s">
        <v>4</v>
      </c>
      <c r="G173" s="29" t="s">
        <v>24</v>
      </c>
      <c r="H173" s="29" t="s">
        <v>25</v>
      </c>
    </row>
    <row r="174" customFormat="false" ht="14.25" hidden="false" customHeight="false" outlineLevel="0" collapsed="false">
      <c r="A174" s="1" t="n">
        <v>1177</v>
      </c>
      <c r="B174" s="30" t="n">
        <v>43151</v>
      </c>
      <c r="C174" s="29" t="s">
        <v>37</v>
      </c>
      <c r="D174" s="62" t="n">
        <v>1</v>
      </c>
      <c r="E174" s="62" t="n">
        <v>200.31</v>
      </c>
      <c r="F174" s="62" t="s">
        <v>4</v>
      </c>
      <c r="G174" s="29" t="s">
        <v>24</v>
      </c>
      <c r="H174" s="29" t="s">
        <v>25</v>
      </c>
    </row>
    <row r="175" customFormat="false" ht="14.25" hidden="false" customHeight="false" outlineLevel="0" collapsed="false">
      <c r="A175" s="1" t="n">
        <v>1178</v>
      </c>
      <c r="B175" s="30" t="n">
        <v>43151</v>
      </c>
      <c r="C175" s="29" t="s">
        <v>37</v>
      </c>
      <c r="D175" s="62" t="n">
        <v>7</v>
      </c>
      <c r="E175" s="62" t="n">
        <v>562.34</v>
      </c>
      <c r="F175" s="62" t="s">
        <v>4</v>
      </c>
      <c r="G175" s="29" t="s">
        <v>24</v>
      </c>
      <c r="H175" s="29" t="s">
        <v>25</v>
      </c>
    </row>
    <row r="176" customFormat="false" ht="14.25" hidden="false" customHeight="false" outlineLevel="0" collapsed="false">
      <c r="A176" s="1" t="n">
        <v>1179</v>
      </c>
      <c r="B176" s="30" t="n">
        <v>43175</v>
      </c>
      <c r="C176" s="29" t="s">
        <v>31</v>
      </c>
      <c r="D176" s="62" t="n">
        <v>2</v>
      </c>
      <c r="E176" s="62" t="n">
        <v>947.96</v>
      </c>
      <c r="F176" s="62" t="s">
        <v>6</v>
      </c>
      <c r="G176" s="29" t="s">
        <v>24</v>
      </c>
      <c r="H176" s="29" t="s">
        <v>43</v>
      </c>
    </row>
    <row r="177" customFormat="false" ht="14.25" hidden="false" customHeight="false" outlineLevel="0" collapsed="false">
      <c r="A177" s="1" t="n">
        <v>1180</v>
      </c>
      <c r="B177" s="30" t="n">
        <v>43256</v>
      </c>
      <c r="C177" s="29" t="s">
        <v>37</v>
      </c>
      <c r="D177" s="62" t="n">
        <v>8</v>
      </c>
      <c r="E177" s="62" t="n">
        <v>128.64</v>
      </c>
      <c r="F177" s="62" t="s">
        <v>5</v>
      </c>
      <c r="G177" s="29" t="s">
        <v>22</v>
      </c>
      <c r="H177" s="29" t="s">
        <v>23</v>
      </c>
    </row>
    <row r="178" customFormat="false" ht="14.25" hidden="false" customHeight="false" outlineLevel="0" collapsed="false">
      <c r="A178" s="1" t="n">
        <v>1181</v>
      </c>
      <c r="B178" s="30" t="n">
        <v>43303</v>
      </c>
      <c r="C178" s="29" t="s">
        <v>39</v>
      </c>
      <c r="D178" s="62" t="n">
        <v>41</v>
      </c>
      <c r="E178" s="62" t="n">
        <v>272.52</v>
      </c>
      <c r="F178" s="62" t="s">
        <v>4</v>
      </c>
      <c r="G178" s="29" t="s">
        <v>29</v>
      </c>
      <c r="H178" s="29" t="s">
        <v>36</v>
      </c>
    </row>
    <row r="179" customFormat="false" ht="14.25" hidden="false" customHeight="false" outlineLevel="0" collapsed="false">
      <c r="A179" s="1" t="n">
        <v>1182</v>
      </c>
      <c r="B179" s="30" t="n">
        <v>43464</v>
      </c>
      <c r="C179" s="29" t="s">
        <v>28</v>
      </c>
      <c r="D179" s="62" t="n">
        <v>8</v>
      </c>
      <c r="E179" s="62" t="n">
        <v>66.2</v>
      </c>
      <c r="F179" s="62" t="s">
        <v>5</v>
      </c>
      <c r="G179" s="29" t="s">
        <v>24</v>
      </c>
      <c r="H179" s="29" t="s">
        <v>25</v>
      </c>
    </row>
    <row r="180" customFormat="false" ht="14.25" hidden="false" customHeight="false" outlineLevel="0" collapsed="false">
      <c r="A180" s="1" t="n">
        <v>1183</v>
      </c>
      <c r="B180" s="30" t="n">
        <v>43145</v>
      </c>
      <c r="C180" s="29" t="s">
        <v>37</v>
      </c>
      <c r="D180" s="62" t="n">
        <v>23</v>
      </c>
      <c r="E180" s="62" t="n">
        <v>147.84</v>
      </c>
      <c r="F180" s="62" t="s">
        <v>6</v>
      </c>
      <c r="G180" s="29" t="s">
        <v>29</v>
      </c>
      <c r="H180" s="29" t="s">
        <v>30</v>
      </c>
    </row>
    <row r="181" customFormat="false" ht="14.25" hidden="false" customHeight="false" outlineLevel="0" collapsed="false">
      <c r="A181" s="1" t="n">
        <v>1184</v>
      </c>
      <c r="B181" s="30" t="n">
        <v>43222</v>
      </c>
      <c r="C181" s="29" t="s">
        <v>31</v>
      </c>
      <c r="D181" s="62" t="n">
        <v>4</v>
      </c>
      <c r="E181" s="62" t="n">
        <v>2360.6</v>
      </c>
      <c r="F181" s="62" t="s">
        <v>3</v>
      </c>
      <c r="G181" s="29" t="s">
        <v>29</v>
      </c>
      <c r="H181" s="29" t="s">
        <v>34</v>
      </c>
    </row>
    <row r="182" customFormat="false" ht="14.25" hidden="false" customHeight="false" outlineLevel="0" collapsed="false">
      <c r="A182" s="1" t="n">
        <v>1185</v>
      </c>
      <c r="B182" s="30" t="n">
        <v>43222</v>
      </c>
      <c r="C182" s="29" t="s">
        <v>31</v>
      </c>
      <c r="D182" s="62" t="n">
        <v>31</v>
      </c>
      <c r="E182" s="62" t="n">
        <v>188.23</v>
      </c>
      <c r="F182" s="62" t="s">
        <v>3</v>
      </c>
      <c r="G182" s="29" t="s">
        <v>24</v>
      </c>
      <c r="H182" s="29" t="s">
        <v>26</v>
      </c>
    </row>
    <row r="183" customFormat="false" ht="14.25" hidden="false" customHeight="false" outlineLevel="0" collapsed="false">
      <c r="A183" s="1" t="n">
        <v>1186</v>
      </c>
      <c r="B183" s="30" t="n">
        <v>43222</v>
      </c>
      <c r="C183" s="29" t="s">
        <v>31</v>
      </c>
      <c r="D183" s="62" t="n">
        <v>40</v>
      </c>
      <c r="E183" s="62" t="n">
        <v>664.6</v>
      </c>
      <c r="F183" s="62" t="s">
        <v>3</v>
      </c>
      <c r="G183" s="29" t="s">
        <v>29</v>
      </c>
      <c r="H183" s="29" t="s">
        <v>34</v>
      </c>
    </row>
    <row r="184" customFormat="false" ht="14.25" hidden="false" customHeight="false" outlineLevel="0" collapsed="false">
      <c r="A184" s="1" t="n">
        <v>1187</v>
      </c>
      <c r="B184" s="30" t="n">
        <v>43313</v>
      </c>
      <c r="C184" s="29" t="s">
        <v>31</v>
      </c>
      <c r="D184" s="62" t="n">
        <v>34</v>
      </c>
      <c r="E184" s="62" t="n">
        <v>10300.74</v>
      </c>
      <c r="F184" s="62" t="s">
        <v>6</v>
      </c>
      <c r="G184" s="29" t="s">
        <v>29</v>
      </c>
      <c r="H184" s="29" t="s">
        <v>41</v>
      </c>
    </row>
    <row r="185" customFormat="false" ht="14.25" hidden="false" customHeight="false" outlineLevel="0" collapsed="false">
      <c r="A185" s="1" t="n">
        <v>1188</v>
      </c>
      <c r="B185" s="30" t="n">
        <v>43415</v>
      </c>
      <c r="C185" s="29" t="s">
        <v>39</v>
      </c>
      <c r="D185" s="62" t="n">
        <v>44</v>
      </c>
      <c r="E185" s="62" t="n">
        <v>4196.99</v>
      </c>
      <c r="F185" s="62" t="s">
        <v>5</v>
      </c>
      <c r="G185" s="29" t="s">
        <v>22</v>
      </c>
      <c r="H185" s="29" t="s">
        <v>23</v>
      </c>
    </row>
    <row r="186" customFormat="false" ht="14.25" hidden="false" customHeight="false" outlineLevel="0" collapsed="false">
      <c r="A186" s="1" t="n">
        <v>1189</v>
      </c>
      <c r="B186" s="30" t="n">
        <v>43415</v>
      </c>
      <c r="C186" s="29" t="s">
        <v>39</v>
      </c>
      <c r="D186" s="62" t="n">
        <v>25</v>
      </c>
      <c r="E186" s="62" t="n">
        <v>1854.7</v>
      </c>
      <c r="F186" s="62" t="s">
        <v>5</v>
      </c>
      <c r="G186" s="29" t="s">
        <v>24</v>
      </c>
      <c r="H186" s="29" t="s">
        <v>25</v>
      </c>
    </row>
    <row r="187" customFormat="false" ht="14.25" hidden="false" customHeight="false" outlineLevel="0" collapsed="false">
      <c r="A187" s="1" t="n">
        <v>1190</v>
      </c>
      <c r="B187" s="30" t="n">
        <v>43357</v>
      </c>
      <c r="C187" s="29" t="s">
        <v>37</v>
      </c>
      <c r="D187" s="62" t="n">
        <v>3</v>
      </c>
      <c r="E187" s="62" t="n">
        <v>2179.56</v>
      </c>
      <c r="F187" s="62" t="s">
        <v>6</v>
      </c>
      <c r="G187" s="29" t="s">
        <v>24</v>
      </c>
      <c r="H187" s="29" t="s">
        <v>43</v>
      </c>
    </row>
    <row r="188" customFormat="false" ht="14.25" hidden="false" customHeight="false" outlineLevel="0" collapsed="false">
      <c r="A188" s="1" t="n">
        <v>1191</v>
      </c>
      <c r="B188" s="30" t="n">
        <v>43357</v>
      </c>
      <c r="C188" s="29" t="s">
        <v>37</v>
      </c>
      <c r="D188" s="62" t="n">
        <v>21</v>
      </c>
      <c r="E188" s="62" t="n">
        <v>2813.74</v>
      </c>
      <c r="F188" s="62" t="s">
        <v>6</v>
      </c>
      <c r="G188" s="29" t="s">
        <v>22</v>
      </c>
      <c r="H188" s="29" t="s">
        <v>27</v>
      </c>
    </row>
    <row r="189" customFormat="false" ht="14.25" hidden="false" customHeight="false" outlineLevel="0" collapsed="false">
      <c r="A189" s="1" t="n">
        <v>1192</v>
      </c>
      <c r="B189" s="30" t="n">
        <v>43386</v>
      </c>
      <c r="C189" s="29" t="s">
        <v>37</v>
      </c>
      <c r="D189" s="62" t="n">
        <v>6</v>
      </c>
      <c r="E189" s="62" t="n">
        <v>166.36</v>
      </c>
      <c r="F189" s="62" t="s">
        <v>4</v>
      </c>
      <c r="G189" s="29" t="s">
        <v>29</v>
      </c>
      <c r="H189" s="29" t="s">
        <v>41</v>
      </c>
    </row>
    <row r="190" customFormat="false" ht="14.25" hidden="false" customHeight="false" outlineLevel="0" collapsed="false">
      <c r="A190" s="1" t="n">
        <v>1193</v>
      </c>
      <c r="B190" s="30" t="n">
        <v>43386</v>
      </c>
      <c r="C190" s="29" t="s">
        <v>37</v>
      </c>
      <c r="D190" s="62" t="n">
        <v>21</v>
      </c>
      <c r="E190" s="62" t="n">
        <v>60.74</v>
      </c>
      <c r="F190" s="62" t="s">
        <v>4</v>
      </c>
      <c r="G190" s="29" t="s">
        <v>29</v>
      </c>
      <c r="H190" s="29" t="s">
        <v>30</v>
      </c>
    </row>
    <row r="191" customFormat="false" ht="14.25" hidden="false" customHeight="false" outlineLevel="0" collapsed="false">
      <c r="A191" s="1" t="n">
        <v>1194</v>
      </c>
      <c r="B191" s="30" t="n">
        <v>43350</v>
      </c>
      <c r="C191" s="29" t="s">
        <v>39</v>
      </c>
      <c r="D191" s="62" t="n">
        <v>6</v>
      </c>
      <c r="E191" s="62" t="n">
        <v>29.23</v>
      </c>
      <c r="F191" s="62" t="s">
        <v>4</v>
      </c>
      <c r="G191" s="29" t="s">
        <v>22</v>
      </c>
      <c r="H191" s="29" t="s">
        <v>23</v>
      </c>
    </row>
    <row r="192" customFormat="false" ht="14.25" hidden="false" customHeight="false" outlineLevel="0" collapsed="false">
      <c r="A192" s="1" t="n">
        <v>1195</v>
      </c>
      <c r="B192" s="30" t="n">
        <v>43350</v>
      </c>
      <c r="C192" s="29" t="s">
        <v>39</v>
      </c>
      <c r="D192" s="62" t="n">
        <v>43</v>
      </c>
      <c r="E192" s="62" t="n">
        <v>688.34</v>
      </c>
      <c r="F192" s="62" t="s">
        <v>4</v>
      </c>
      <c r="G192" s="29" t="s">
        <v>29</v>
      </c>
      <c r="H192" s="29" t="s">
        <v>38</v>
      </c>
    </row>
    <row r="193" customFormat="false" ht="14.25" hidden="false" customHeight="false" outlineLevel="0" collapsed="false">
      <c r="A193" s="1" t="n">
        <v>1196</v>
      </c>
      <c r="B193" s="30" t="n">
        <v>43364</v>
      </c>
      <c r="C193" s="29" t="s">
        <v>31</v>
      </c>
      <c r="D193" s="62" t="n">
        <v>48</v>
      </c>
      <c r="E193" s="62" t="n">
        <v>1856.15</v>
      </c>
      <c r="F193" s="62" t="s">
        <v>4</v>
      </c>
      <c r="G193" s="29" t="s">
        <v>29</v>
      </c>
      <c r="H193" s="29" t="s">
        <v>36</v>
      </c>
    </row>
    <row r="194" customFormat="false" ht="14.25" hidden="false" customHeight="false" outlineLevel="0" collapsed="false">
      <c r="A194" s="1" t="n">
        <v>1197</v>
      </c>
      <c r="B194" s="30" t="n">
        <v>43457</v>
      </c>
      <c r="C194" s="29" t="s">
        <v>37</v>
      </c>
      <c r="D194" s="62" t="n">
        <v>18</v>
      </c>
      <c r="E194" s="62" t="n">
        <v>416.79</v>
      </c>
      <c r="F194" s="62" t="s">
        <v>6</v>
      </c>
      <c r="G194" s="29" t="s">
        <v>22</v>
      </c>
      <c r="H194" s="29" t="s">
        <v>23</v>
      </c>
    </row>
    <row r="195" customFormat="false" ht="14.25" hidden="false" customHeight="false" outlineLevel="0" collapsed="false">
      <c r="A195" s="1" t="n">
        <v>1198</v>
      </c>
      <c r="B195" s="30" t="n">
        <v>43457</v>
      </c>
      <c r="C195" s="29" t="s">
        <v>37</v>
      </c>
      <c r="D195" s="62" t="n">
        <v>50</v>
      </c>
      <c r="E195" s="62" t="n">
        <v>546.3</v>
      </c>
      <c r="F195" s="62" t="s">
        <v>6</v>
      </c>
      <c r="G195" s="29" t="s">
        <v>22</v>
      </c>
      <c r="H195" s="29" t="s">
        <v>23</v>
      </c>
    </row>
    <row r="196" customFormat="false" ht="14.25" hidden="false" customHeight="false" outlineLevel="0" collapsed="false">
      <c r="A196" s="1" t="n">
        <v>1199</v>
      </c>
      <c r="B196" s="30" t="n">
        <v>43200</v>
      </c>
      <c r="C196" s="29" t="s">
        <v>37</v>
      </c>
      <c r="D196" s="62" t="n">
        <v>44</v>
      </c>
      <c r="E196" s="62" t="n">
        <v>2614.38</v>
      </c>
      <c r="F196" s="62" t="s">
        <v>5</v>
      </c>
      <c r="G196" s="29" t="s">
        <v>24</v>
      </c>
      <c r="H196" s="29" t="s">
        <v>25</v>
      </c>
    </row>
    <row r="197" customFormat="false" ht="14.25" hidden="false" customHeight="false" outlineLevel="0" collapsed="false">
      <c r="A197" s="1" t="n">
        <v>1200</v>
      </c>
      <c r="B197" s="30" t="n">
        <v>43294</v>
      </c>
      <c r="C197" s="29" t="s">
        <v>28</v>
      </c>
      <c r="D197" s="62" t="n">
        <v>22</v>
      </c>
      <c r="E197" s="62" t="n">
        <v>49.61</v>
      </c>
      <c r="F197" s="62" t="s">
        <v>5</v>
      </c>
      <c r="G197" s="29" t="s">
        <v>22</v>
      </c>
      <c r="H197" s="29" t="s">
        <v>23</v>
      </c>
    </row>
    <row r="198" customFormat="false" ht="14.25" hidden="false" customHeight="false" outlineLevel="0" collapsed="false">
      <c r="A198" s="1" t="n">
        <v>1201</v>
      </c>
      <c r="B198" s="30" t="n">
        <v>43322</v>
      </c>
      <c r="C198" s="29" t="s">
        <v>21</v>
      </c>
      <c r="D198" s="62" t="n">
        <v>30</v>
      </c>
      <c r="E198" s="62" t="n">
        <v>213.05</v>
      </c>
      <c r="F198" s="62" t="s">
        <v>4</v>
      </c>
      <c r="G198" s="29" t="s">
        <v>29</v>
      </c>
      <c r="H198" s="29" t="s">
        <v>36</v>
      </c>
    </row>
    <row r="199" customFormat="false" ht="14.25" hidden="false" customHeight="false" outlineLevel="0" collapsed="false">
      <c r="A199" s="1" t="n">
        <v>1202</v>
      </c>
      <c r="B199" s="30" t="n">
        <v>43339</v>
      </c>
      <c r="C199" s="29" t="s">
        <v>21</v>
      </c>
      <c r="D199" s="62" t="n">
        <v>43</v>
      </c>
      <c r="E199" s="62" t="n">
        <v>342.68</v>
      </c>
      <c r="F199" s="62" t="s">
        <v>5</v>
      </c>
      <c r="G199" s="29" t="s">
        <v>29</v>
      </c>
      <c r="H199" s="29" t="s">
        <v>34</v>
      </c>
    </row>
    <row r="200" customFormat="false" ht="14.25" hidden="false" customHeight="false" outlineLevel="0" collapsed="false">
      <c r="A200" s="1" t="n">
        <v>1203</v>
      </c>
      <c r="B200" s="30" t="n">
        <v>43342</v>
      </c>
      <c r="C200" s="29" t="s">
        <v>28</v>
      </c>
      <c r="D200" s="62" t="n">
        <v>48</v>
      </c>
      <c r="E200" s="62" t="n">
        <v>3635.56</v>
      </c>
      <c r="F200" s="62" t="s">
        <v>4</v>
      </c>
      <c r="G200" s="29" t="s">
        <v>22</v>
      </c>
      <c r="H200" s="29" t="s">
        <v>23</v>
      </c>
    </row>
    <row r="201" customFormat="false" ht="14.25" hidden="false" customHeight="false" outlineLevel="0" collapsed="false">
      <c r="A201" s="1" t="n">
        <v>1204</v>
      </c>
      <c r="B201" s="30" t="n">
        <v>43342</v>
      </c>
      <c r="C201" s="29" t="s">
        <v>28</v>
      </c>
      <c r="D201" s="62" t="n">
        <v>1</v>
      </c>
      <c r="E201" s="62" t="n">
        <v>480.88</v>
      </c>
      <c r="F201" s="62" t="s">
        <v>4</v>
      </c>
      <c r="G201" s="29" t="s">
        <v>22</v>
      </c>
      <c r="H201" s="29" t="s">
        <v>27</v>
      </c>
    </row>
    <row r="202" customFormat="false" ht="14.25" hidden="false" customHeight="false" outlineLevel="0" collapsed="false">
      <c r="A202" s="1" t="n">
        <v>1205</v>
      </c>
      <c r="B202" s="30" t="n">
        <v>43318</v>
      </c>
      <c r="C202" s="29" t="s">
        <v>31</v>
      </c>
      <c r="D202" s="62" t="n">
        <v>29</v>
      </c>
      <c r="E202" s="62" t="n">
        <v>917.44</v>
      </c>
      <c r="F202" s="62" t="s">
        <v>4</v>
      </c>
      <c r="G202" s="29" t="s">
        <v>24</v>
      </c>
      <c r="H202" s="29" t="s">
        <v>26</v>
      </c>
    </row>
    <row r="203" customFormat="false" ht="14.25" hidden="false" customHeight="false" outlineLevel="0" collapsed="false">
      <c r="A203" s="1" t="n">
        <v>1206</v>
      </c>
      <c r="B203" s="30" t="n">
        <v>43318</v>
      </c>
      <c r="C203" s="29" t="s">
        <v>31</v>
      </c>
      <c r="D203" s="62" t="n">
        <v>1</v>
      </c>
      <c r="E203" s="62" t="n">
        <v>2.4</v>
      </c>
      <c r="F203" s="62" t="s">
        <v>4</v>
      </c>
      <c r="G203" s="29" t="s">
        <v>29</v>
      </c>
      <c r="H203" s="29" t="s">
        <v>33</v>
      </c>
    </row>
    <row r="204" customFormat="false" ht="14.25" hidden="false" customHeight="false" outlineLevel="0" collapsed="false">
      <c r="A204" s="1" t="n">
        <v>1207</v>
      </c>
      <c r="B204" s="30" t="n">
        <v>43212</v>
      </c>
      <c r="C204" s="29" t="s">
        <v>39</v>
      </c>
      <c r="D204" s="62" t="n">
        <v>35</v>
      </c>
      <c r="E204" s="62" t="n">
        <v>399.46</v>
      </c>
      <c r="F204" s="62" t="s">
        <v>4</v>
      </c>
      <c r="G204" s="29" t="s">
        <v>29</v>
      </c>
      <c r="H204" s="29" t="s">
        <v>32</v>
      </c>
    </row>
    <row r="205" customFormat="false" ht="14.25" hidden="false" customHeight="false" outlineLevel="0" collapsed="false">
      <c r="A205" s="1" t="n">
        <v>1208</v>
      </c>
      <c r="B205" s="30" t="n">
        <v>43141</v>
      </c>
      <c r="C205" s="29" t="s">
        <v>39</v>
      </c>
      <c r="D205" s="62" t="n">
        <v>41</v>
      </c>
      <c r="E205" s="62" t="n">
        <v>19125.46</v>
      </c>
      <c r="F205" s="62" t="s">
        <v>6</v>
      </c>
      <c r="G205" s="29" t="s">
        <v>29</v>
      </c>
      <c r="H205" s="29" t="s">
        <v>38</v>
      </c>
    </row>
    <row r="206" customFormat="false" ht="14.25" hidden="false" customHeight="false" outlineLevel="0" collapsed="false">
      <c r="A206" s="1" t="n">
        <v>1209</v>
      </c>
      <c r="B206" s="30" t="n">
        <v>43413</v>
      </c>
      <c r="C206" s="29" t="s">
        <v>31</v>
      </c>
      <c r="D206" s="62" t="n">
        <v>30</v>
      </c>
      <c r="E206" s="62" t="n">
        <v>332.86</v>
      </c>
      <c r="F206" s="62" t="s">
        <v>4</v>
      </c>
      <c r="G206" s="29" t="s">
        <v>29</v>
      </c>
      <c r="H206" s="29" t="s">
        <v>41</v>
      </c>
    </row>
    <row r="207" customFormat="false" ht="14.25" hidden="false" customHeight="false" outlineLevel="0" collapsed="false">
      <c r="A207" s="1" t="n">
        <v>1210</v>
      </c>
      <c r="B207" s="30" t="n">
        <v>43425</v>
      </c>
      <c r="C207" s="29" t="s">
        <v>37</v>
      </c>
      <c r="D207" s="62" t="n">
        <v>41</v>
      </c>
      <c r="E207" s="62" t="n">
        <v>170.41</v>
      </c>
      <c r="F207" s="62" t="s">
        <v>5</v>
      </c>
      <c r="G207" s="29" t="s">
        <v>29</v>
      </c>
      <c r="H207" s="29" t="s">
        <v>35</v>
      </c>
    </row>
    <row r="208" customFormat="false" ht="14.25" hidden="false" customHeight="false" outlineLevel="0" collapsed="false">
      <c r="A208" s="1" t="n">
        <v>1211</v>
      </c>
      <c r="B208" s="30" t="n">
        <v>43323</v>
      </c>
      <c r="C208" s="29" t="s">
        <v>39</v>
      </c>
      <c r="D208" s="62" t="n">
        <v>36</v>
      </c>
      <c r="E208" s="62" t="n">
        <v>256.95</v>
      </c>
      <c r="F208" s="62" t="s">
        <v>6</v>
      </c>
      <c r="G208" s="29" t="s">
        <v>29</v>
      </c>
      <c r="H208" s="29" t="s">
        <v>36</v>
      </c>
    </row>
    <row r="209" customFormat="false" ht="14.25" hidden="false" customHeight="false" outlineLevel="0" collapsed="false">
      <c r="A209" s="1" t="n">
        <v>1212</v>
      </c>
      <c r="B209" s="30" t="n">
        <v>43331</v>
      </c>
      <c r="C209" s="29" t="s">
        <v>37</v>
      </c>
      <c r="D209" s="62" t="n">
        <v>16</v>
      </c>
      <c r="E209" s="62" t="n">
        <v>124.24</v>
      </c>
      <c r="F209" s="62" t="s">
        <v>5</v>
      </c>
      <c r="G209" s="29" t="s">
        <v>29</v>
      </c>
      <c r="H209" s="29" t="s">
        <v>36</v>
      </c>
    </row>
    <row r="210" customFormat="false" ht="14.25" hidden="false" customHeight="false" outlineLevel="0" collapsed="false">
      <c r="A210" s="1" t="n">
        <v>1213</v>
      </c>
      <c r="B210" s="30" t="n">
        <v>43331</v>
      </c>
      <c r="C210" s="29" t="s">
        <v>37</v>
      </c>
      <c r="D210" s="62" t="n">
        <v>30</v>
      </c>
      <c r="E210" s="62" t="n">
        <v>328.4</v>
      </c>
      <c r="F210" s="62" t="s">
        <v>5</v>
      </c>
      <c r="G210" s="29" t="s">
        <v>29</v>
      </c>
      <c r="H210" s="29" t="s">
        <v>36</v>
      </c>
    </row>
    <row r="211" customFormat="false" ht="14.25" hidden="false" customHeight="false" outlineLevel="0" collapsed="false">
      <c r="A211" s="1" t="n">
        <v>1214</v>
      </c>
      <c r="B211" s="30" t="n">
        <v>43103</v>
      </c>
      <c r="C211" s="29" t="s">
        <v>39</v>
      </c>
      <c r="D211" s="62" t="n">
        <v>20</v>
      </c>
      <c r="E211" s="62" t="n">
        <v>181.02</v>
      </c>
      <c r="F211" s="62" t="s">
        <v>4</v>
      </c>
      <c r="G211" s="29" t="s">
        <v>29</v>
      </c>
      <c r="H211" s="29" t="s">
        <v>41</v>
      </c>
    </row>
    <row r="212" customFormat="false" ht="14.25" hidden="false" customHeight="false" outlineLevel="0" collapsed="false">
      <c r="A212" s="1" t="n">
        <v>1215</v>
      </c>
      <c r="B212" s="30" t="n">
        <v>43103</v>
      </c>
      <c r="C212" s="29" t="s">
        <v>39</v>
      </c>
      <c r="D212" s="62" t="n">
        <v>37</v>
      </c>
      <c r="E212" s="62" t="n">
        <v>8830.06</v>
      </c>
      <c r="F212" s="62" t="s">
        <v>4</v>
      </c>
      <c r="G212" s="29" t="s">
        <v>22</v>
      </c>
      <c r="H212" s="29" t="s">
        <v>27</v>
      </c>
    </row>
    <row r="213" customFormat="false" ht="14.25" hidden="false" customHeight="false" outlineLevel="0" collapsed="false">
      <c r="A213" s="1" t="n">
        <v>1216</v>
      </c>
      <c r="B213" s="30" t="n">
        <v>43120</v>
      </c>
      <c r="C213" s="29" t="s">
        <v>39</v>
      </c>
      <c r="D213" s="62" t="n">
        <v>26</v>
      </c>
      <c r="E213" s="62" t="n">
        <v>479.61</v>
      </c>
      <c r="F213" s="62" t="s">
        <v>3</v>
      </c>
      <c r="G213" s="29" t="s">
        <v>24</v>
      </c>
      <c r="H213" s="29" t="s">
        <v>26</v>
      </c>
    </row>
    <row r="214" customFormat="false" ht="14.25" hidden="false" customHeight="false" outlineLevel="0" collapsed="false">
      <c r="A214" s="1" t="n">
        <v>1217</v>
      </c>
      <c r="B214" s="30" t="n">
        <v>43240</v>
      </c>
      <c r="C214" s="29" t="s">
        <v>31</v>
      </c>
      <c r="D214" s="62" t="n">
        <v>21</v>
      </c>
      <c r="E214" s="62" t="n">
        <v>801.25</v>
      </c>
      <c r="F214" s="62" t="s">
        <v>4</v>
      </c>
      <c r="G214" s="29" t="s">
        <v>24</v>
      </c>
      <c r="H214" s="29" t="s">
        <v>26</v>
      </c>
    </row>
    <row r="215" customFormat="false" ht="14.25" hidden="false" customHeight="false" outlineLevel="0" collapsed="false">
      <c r="A215" s="1" t="n">
        <v>1218</v>
      </c>
      <c r="B215" s="30" t="n">
        <v>43301</v>
      </c>
      <c r="C215" s="29" t="s">
        <v>39</v>
      </c>
      <c r="D215" s="62" t="n">
        <v>36</v>
      </c>
      <c r="E215" s="62" t="n">
        <v>19290.03</v>
      </c>
      <c r="F215" s="62" t="s">
        <v>4</v>
      </c>
      <c r="G215" s="29" t="s">
        <v>24</v>
      </c>
      <c r="H215" s="29" t="s">
        <v>42</v>
      </c>
    </row>
    <row r="216" customFormat="false" ht="14.25" hidden="false" customHeight="false" outlineLevel="0" collapsed="false">
      <c r="A216" s="1" t="n">
        <v>1219</v>
      </c>
      <c r="B216" s="30" t="n">
        <v>43322</v>
      </c>
      <c r="C216" s="29" t="s">
        <v>21</v>
      </c>
      <c r="D216" s="62" t="n">
        <v>13</v>
      </c>
      <c r="E216" s="62" t="n">
        <v>2555.84</v>
      </c>
      <c r="F216" s="62" t="s">
        <v>4</v>
      </c>
      <c r="G216" s="29" t="s">
        <v>24</v>
      </c>
      <c r="H216" s="29" t="s">
        <v>25</v>
      </c>
    </row>
    <row r="217" customFormat="false" ht="14.25" hidden="false" customHeight="false" outlineLevel="0" collapsed="false">
      <c r="A217" s="1" t="n">
        <v>1220</v>
      </c>
      <c r="B217" s="30" t="n">
        <v>43220</v>
      </c>
      <c r="C217" s="29" t="s">
        <v>21</v>
      </c>
      <c r="D217" s="62" t="n">
        <v>20</v>
      </c>
      <c r="E217" s="62" t="n">
        <v>167.42</v>
      </c>
      <c r="F217" s="62" t="s">
        <v>5</v>
      </c>
      <c r="G217" s="29" t="s">
        <v>29</v>
      </c>
      <c r="H217" s="29" t="s">
        <v>34</v>
      </c>
    </row>
    <row r="218" customFormat="false" ht="14.25" hidden="false" customHeight="false" outlineLevel="0" collapsed="false">
      <c r="A218" s="1" t="n">
        <v>1221</v>
      </c>
      <c r="B218" s="30" t="n">
        <v>43315</v>
      </c>
      <c r="C218" s="29" t="s">
        <v>28</v>
      </c>
      <c r="D218" s="62" t="n">
        <v>6</v>
      </c>
      <c r="E218" s="62" t="n">
        <v>11.93</v>
      </c>
      <c r="F218" s="62" t="s">
        <v>6</v>
      </c>
      <c r="G218" s="29" t="s">
        <v>29</v>
      </c>
      <c r="H218" s="29" t="s">
        <v>33</v>
      </c>
    </row>
    <row r="219" customFormat="false" ht="14.25" hidden="false" customHeight="false" outlineLevel="0" collapsed="false">
      <c r="A219" s="1" t="n">
        <v>1222</v>
      </c>
      <c r="B219" s="30" t="n">
        <v>43315</v>
      </c>
      <c r="C219" s="29" t="s">
        <v>28</v>
      </c>
      <c r="D219" s="62" t="n">
        <v>41</v>
      </c>
      <c r="E219" s="62" t="n">
        <v>136.79</v>
      </c>
      <c r="F219" s="62" t="s">
        <v>6</v>
      </c>
      <c r="G219" s="29" t="s">
        <v>29</v>
      </c>
      <c r="H219" s="29" t="s">
        <v>30</v>
      </c>
    </row>
    <row r="220" customFormat="false" ht="14.25" hidden="false" customHeight="false" outlineLevel="0" collapsed="false">
      <c r="A220" s="1" t="n">
        <v>1223</v>
      </c>
      <c r="B220" s="30" t="n">
        <v>43131</v>
      </c>
      <c r="C220" s="29" t="s">
        <v>37</v>
      </c>
      <c r="D220" s="62" t="n">
        <v>14</v>
      </c>
      <c r="E220" s="62" t="n">
        <v>781.45</v>
      </c>
      <c r="F220" s="62" t="s">
        <v>6</v>
      </c>
      <c r="G220" s="29" t="s">
        <v>24</v>
      </c>
      <c r="H220" s="29" t="s">
        <v>42</v>
      </c>
    </row>
    <row r="221" customFormat="false" ht="14.25" hidden="false" customHeight="false" outlineLevel="0" collapsed="false">
      <c r="A221" s="1" t="n">
        <v>1224</v>
      </c>
      <c r="B221" s="30" t="n">
        <v>43443</v>
      </c>
      <c r="C221" s="29" t="s">
        <v>28</v>
      </c>
      <c r="D221" s="62" t="n">
        <v>14</v>
      </c>
      <c r="E221" s="62" t="n">
        <v>315.14</v>
      </c>
      <c r="F221" s="62" t="s">
        <v>6</v>
      </c>
      <c r="G221" s="29" t="s">
        <v>29</v>
      </c>
      <c r="H221" s="29" t="s">
        <v>41</v>
      </c>
    </row>
    <row r="222" customFormat="false" ht="14.25" hidden="false" customHeight="false" outlineLevel="0" collapsed="false">
      <c r="A222" s="1" t="n">
        <v>1225</v>
      </c>
      <c r="B222" s="30" t="n">
        <v>43281</v>
      </c>
      <c r="C222" s="29" t="s">
        <v>31</v>
      </c>
      <c r="D222" s="62" t="n">
        <v>38</v>
      </c>
      <c r="E222" s="62" t="n">
        <v>1668.67</v>
      </c>
      <c r="F222" s="62" t="s">
        <v>3</v>
      </c>
      <c r="G222" s="29" t="s">
        <v>24</v>
      </c>
      <c r="H222" s="29" t="s">
        <v>26</v>
      </c>
    </row>
    <row r="223" customFormat="false" ht="14.25" hidden="false" customHeight="false" outlineLevel="0" collapsed="false">
      <c r="A223" s="1" t="n">
        <v>1226</v>
      </c>
      <c r="B223" s="30" t="n">
        <v>43299</v>
      </c>
      <c r="C223" s="29" t="s">
        <v>31</v>
      </c>
      <c r="D223" s="62" t="n">
        <v>9</v>
      </c>
      <c r="E223" s="62" t="n">
        <v>556.92</v>
      </c>
      <c r="F223" s="62" t="s">
        <v>6</v>
      </c>
      <c r="G223" s="29" t="s">
        <v>22</v>
      </c>
      <c r="H223" s="29" t="s">
        <v>23</v>
      </c>
    </row>
    <row r="224" customFormat="false" ht="14.25" hidden="false" customHeight="false" outlineLevel="0" collapsed="false">
      <c r="A224" s="1" t="n">
        <v>1227</v>
      </c>
      <c r="B224" s="30" t="n">
        <v>43419</v>
      </c>
      <c r="C224" s="29" t="s">
        <v>28</v>
      </c>
      <c r="D224" s="62" t="n">
        <v>5</v>
      </c>
      <c r="E224" s="62" t="n">
        <v>582.52</v>
      </c>
      <c r="F224" s="62" t="s">
        <v>4</v>
      </c>
      <c r="G224" s="29" t="s">
        <v>22</v>
      </c>
      <c r="H224" s="29" t="s">
        <v>44</v>
      </c>
    </row>
    <row r="225" customFormat="false" ht="14.25" hidden="false" customHeight="false" outlineLevel="0" collapsed="false">
      <c r="A225" s="1" t="n">
        <v>1228</v>
      </c>
      <c r="B225" s="30" t="n">
        <v>43419</v>
      </c>
      <c r="C225" s="29" t="s">
        <v>28</v>
      </c>
      <c r="D225" s="62" t="n">
        <v>41</v>
      </c>
      <c r="E225" s="62" t="n">
        <v>903.18</v>
      </c>
      <c r="F225" s="62" t="s">
        <v>4</v>
      </c>
      <c r="G225" s="29" t="s">
        <v>22</v>
      </c>
      <c r="H225" s="29" t="s">
        <v>23</v>
      </c>
    </row>
    <row r="226" customFormat="false" ht="14.25" hidden="false" customHeight="false" outlineLevel="0" collapsed="false">
      <c r="A226" s="1" t="n">
        <v>1229</v>
      </c>
      <c r="B226" s="30" t="n">
        <v>43419</v>
      </c>
      <c r="C226" s="29" t="s">
        <v>28</v>
      </c>
      <c r="D226" s="62" t="n">
        <v>32</v>
      </c>
      <c r="E226" s="62" t="n">
        <v>1403.04</v>
      </c>
      <c r="F226" s="62" t="s">
        <v>4</v>
      </c>
      <c r="G226" s="29" t="s">
        <v>24</v>
      </c>
      <c r="H226" s="29" t="s">
        <v>26</v>
      </c>
    </row>
    <row r="227" customFormat="false" ht="14.25" hidden="false" customHeight="false" outlineLevel="0" collapsed="false">
      <c r="A227" s="1" t="n">
        <v>1230</v>
      </c>
      <c r="B227" s="30" t="n">
        <v>43382</v>
      </c>
      <c r="C227" s="29" t="s">
        <v>39</v>
      </c>
      <c r="D227" s="62" t="n">
        <v>15</v>
      </c>
      <c r="E227" s="62" t="n">
        <v>258.82</v>
      </c>
      <c r="F227" s="62" t="s">
        <v>4</v>
      </c>
      <c r="G227" s="29" t="s">
        <v>29</v>
      </c>
      <c r="H227" s="29" t="s">
        <v>38</v>
      </c>
    </row>
    <row r="228" customFormat="false" ht="14.25" hidden="false" customHeight="false" outlineLevel="0" collapsed="false">
      <c r="A228" s="1" t="n">
        <v>1231</v>
      </c>
      <c r="B228" s="30" t="n">
        <v>43382</v>
      </c>
      <c r="C228" s="29" t="s">
        <v>39</v>
      </c>
      <c r="D228" s="62" t="n">
        <v>43</v>
      </c>
      <c r="E228" s="62" t="n">
        <v>89.17</v>
      </c>
      <c r="F228" s="62" t="s">
        <v>4</v>
      </c>
      <c r="G228" s="29" t="s">
        <v>29</v>
      </c>
      <c r="H228" s="29" t="s">
        <v>33</v>
      </c>
    </row>
    <row r="229" customFormat="false" ht="14.25" hidden="false" customHeight="false" outlineLevel="0" collapsed="false">
      <c r="A229" s="1" t="n">
        <v>1232</v>
      </c>
      <c r="B229" s="30" t="n">
        <v>43454</v>
      </c>
      <c r="C229" s="29" t="s">
        <v>21</v>
      </c>
      <c r="D229" s="62" t="n">
        <v>14</v>
      </c>
      <c r="E229" s="62" t="n">
        <v>325.84</v>
      </c>
      <c r="F229" s="62" t="s">
        <v>3</v>
      </c>
      <c r="G229" s="29" t="s">
        <v>29</v>
      </c>
      <c r="H229" s="29" t="s">
        <v>41</v>
      </c>
    </row>
    <row r="230" customFormat="false" ht="14.25" hidden="false" customHeight="false" outlineLevel="0" collapsed="false">
      <c r="A230" s="1" t="n">
        <v>1233</v>
      </c>
      <c r="B230" s="30" t="n">
        <v>43318</v>
      </c>
      <c r="C230" s="29" t="s">
        <v>39</v>
      </c>
      <c r="D230" s="62" t="n">
        <v>22</v>
      </c>
      <c r="E230" s="62" t="n">
        <v>6843.93</v>
      </c>
      <c r="F230" s="62" t="s">
        <v>4</v>
      </c>
      <c r="G230" s="29" t="s">
        <v>22</v>
      </c>
      <c r="H230" s="29" t="s">
        <v>40</v>
      </c>
    </row>
    <row r="231" customFormat="false" ht="14.25" hidden="false" customHeight="false" outlineLevel="0" collapsed="false">
      <c r="A231" s="1" t="n">
        <v>1234</v>
      </c>
      <c r="B231" s="30" t="n">
        <v>43301</v>
      </c>
      <c r="C231" s="29" t="s">
        <v>31</v>
      </c>
      <c r="D231" s="62" t="n">
        <v>36</v>
      </c>
      <c r="E231" s="62" t="n">
        <v>142.16</v>
      </c>
      <c r="F231" s="62" t="s">
        <v>4</v>
      </c>
      <c r="G231" s="29" t="s">
        <v>29</v>
      </c>
      <c r="H231" s="29" t="s">
        <v>35</v>
      </c>
    </row>
    <row r="232" customFormat="false" ht="14.25" hidden="false" customHeight="false" outlineLevel="0" collapsed="false">
      <c r="A232" s="1" t="n">
        <v>1235</v>
      </c>
      <c r="B232" s="30" t="n">
        <v>43143</v>
      </c>
      <c r="C232" s="29" t="s">
        <v>37</v>
      </c>
      <c r="D232" s="62" t="n">
        <v>28</v>
      </c>
      <c r="E232" s="62" t="n">
        <v>1823.12</v>
      </c>
      <c r="F232" s="62" t="s">
        <v>3</v>
      </c>
      <c r="G232" s="29" t="s">
        <v>24</v>
      </c>
      <c r="H232" s="29" t="s">
        <v>25</v>
      </c>
    </row>
    <row r="233" customFormat="false" ht="14.25" hidden="false" customHeight="false" outlineLevel="0" collapsed="false">
      <c r="A233" s="1" t="n">
        <v>1236</v>
      </c>
      <c r="B233" s="30" t="n">
        <v>43143</v>
      </c>
      <c r="C233" s="29" t="s">
        <v>37</v>
      </c>
      <c r="D233" s="62" t="n">
        <v>17</v>
      </c>
      <c r="E233" s="62" t="n">
        <v>324.41</v>
      </c>
      <c r="F233" s="62" t="s">
        <v>3</v>
      </c>
      <c r="G233" s="29" t="s">
        <v>24</v>
      </c>
      <c r="H233" s="29" t="s">
        <v>25</v>
      </c>
    </row>
    <row r="234" customFormat="false" ht="14.25" hidden="false" customHeight="false" outlineLevel="0" collapsed="false">
      <c r="A234" s="1" t="n">
        <v>1237</v>
      </c>
      <c r="B234" s="30" t="n">
        <v>43279</v>
      </c>
      <c r="C234" s="29" t="s">
        <v>37</v>
      </c>
      <c r="D234" s="62" t="n">
        <v>50</v>
      </c>
      <c r="E234" s="62" t="n">
        <v>6640.59</v>
      </c>
      <c r="F234" s="62" t="s">
        <v>6</v>
      </c>
      <c r="G234" s="29" t="s">
        <v>29</v>
      </c>
      <c r="H234" s="29" t="s">
        <v>38</v>
      </c>
    </row>
    <row r="235" customFormat="false" ht="14.25" hidden="false" customHeight="false" outlineLevel="0" collapsed="false">
      <c r="A235" s="1" t="n">
        <v>1238</v>
      </c>
      <c r="B235" s="30" t="n">
        <v>43255</v>
      </c>
      <c r="C235" s="29" t="s">
        <v>39</v>
      </c>
      <c r="D235" s="62" t="n">
        <v>48</v>
      </c>
      <c r="E235" s="62" t="n">
        <v>288.83</v>
      </c>
      <c r="F235" s="62" t="s">
        <v>6</v>
      </c>
      <c r="G235" s="29" t="s">
        <v>29</v>
      </c>
      <c r="H235" s="29" t="s">
        <v>36</v>
      </c>
    </row>
    <row r="236" customFormat="false" ht="14.25" hidden="false" customHeight="false" outlineLevel="0" collapsed="false">
      <c r="A236" s="1" t="n">
        <v>1239</v>
      </c>
      <c r="B236" s="30" t="n">
        <v>43255</v>
      </c>
      <c r="C236" s="29" t="s">
        <v>39</v>
      </c>
      <c r="D236" s="62" t="n">
        <v>46</v>
      </c>
      <c r="E236" s="62" t="n">
        <v>324.87</v>
      </c>
      <c r="F236" s="62" t="s">
        <v>6</v>
      </c>
      <c r="G236" s="29" t="s">
        <v>24</v>
      </c>
      <c r="H236" s="29" t="s">
        <v>26</v>
      </c>
    </row>
    <row r="237" customFormat="false" ht="14.25" hidden="false" customHeight="false" outlineLevel="0" collapsed="false">
      <c r="A237" s="1" t="n">
        <v>1240</v>
      </c>
      <c r="B237" s="30" t="n">
        <v>43150</v>
      </c>
      <c r="C237" s="29" t="s">
        <v>21</v>
      </c>
      <c r="D237" s="62" t="n">
        <v>3</v>
      </c>
      <c r="E237" s="62" t="n">
        <v>77.71</v>
      </c>
      <c r="F237" s="62" t="s">
        <v>6</v>
      </c>
      <c r="G237" s="29" t="s">
        <v>29</v>
      </c>
      <c r="H237" s="29" t="s">
        <v>30</v>
      </c>
    </row>
    <row r="238" customFormat="false" ht="14.25" hidden="false" customHeight="false" outlineLevel="0" collapsed="false">
      <c r="A238" s="1" t="n">
        <v>1241</v>
      </c>
      <c r="B238" s="30" t="n">
        <v>43157</v>
      </c>
      <c r="C238" s="29" t="s">
        <v>39</v>
      </c>
      <c r="D238" s="62" t="n">
        <v>19</v>
      </c>
      <c r="E238" s="62" t="n">
        <v>2078.13</v>
      </c>
      <c r="F238" s="62" t="s">
        <v>6</v>
      </c>
      <c r="G238" s="29" t="s">
        <v>24</v>
      </c>
      <c r="H238" s="29" t="s">
        <v>25</v>
      </c>
    </row>
    <row r="239" customFormat="false" ht="14.25" hidden="false" customHeight="false" outlineLevel="0" collapsed="false">
      <c r="A239" s="1" t="n">
        <v>1242</v>
      </c>
      <c r="B239" s="30" t="n">
        <v>43238</v>
      </c>
      <c r="C239" s="29" t="s">
        <v>21</v>
      </c>
      <c r="D239" s="62" t="n">
        <v>34</v>
      </c>
      <c r="E239" s="62" t="n">
        <v>695.65</v>
      </c>
      <c r="F239" s="62" t="s">
        <v>3</v>
      </c>
      <c r="G239" s="29" t="s">
        <v>24</v>
      </c>
      <c r="H239" s="29" t="s">
        <v>25</v>
      </c>
    </row>
    <row r="240" customFormat="false" ht="14.25" hidden="false" customHeight="false" outlineLevel="0" collapsed="false">
      <c r="A240" s="1" t="n">
        <v>1243</v>
      </c>
      <c r="B240" s="30" t="n">
        <v>43197</v>
      </c>
      <c r="C240" s="29" t="s">
        <v>28</v>
      </c>
      <c r="D240" s="62" t="n">
        <v>32</v>
      </c>
      <c r="E240" s="62" t="n">
        <v>1221.27</v>
      </c>
      <c r="F240" s="62" t="s">
        <v>6</v>
      </c>
      <c r="G240" s="29" t="s">
        <v>29</v>
      </c>
      <c r="H240" s="29" t="s">
        <v>36</v>
      </c>
    </row>
    <row r="241" customFormat="false" ht="14.25" hidden="false" customHeight="false" outlineLevel="0" collapsed="false">
      <c r="A241" s="1" t="n">
        <v>1244</v>
      </c>
      <c r="B241" s="30" t="n">
        <v>43209</v>
      </c>
      <c r="C241" s="29" t="s">
        <v>39</v>
      </c>
      <c r="D241" s="62" t="n">
        <v>12</v>
      </c>
      <c r="E241" s="62" t="n">
        <v>3890.12</v>
      </c>
      <c r="F241" s="62" t="s">
        <v>4</v>
      </c>
      <c r="G241" s="29" t="s">
        <v>22</v>
      </c>
      <c r="H241" s="29" t="s">
        <v>27</v>
      </c>
    </row>
    <row r="242" customFormat="false" ht="14.25" hidden="false" customHeight="false" outlineLevel="0" collapsed="false">
      <c r="A242" s="1" t="n">
        <v>1245</v>
      </c>
      <c r="B242" s="30" t="n">
        <v>43209</v>
      </c>
      <c r="C242" s="29" t="s">
        <v>39</v>
      </c>
      <c r="D242" s="62" t="n">
        <v>17</v>
      </c>
      <c r="E242" s="62" t="n">
        <v>509.21</v>
      </c>
      <c r="F242" s="62" t="s">
        <v>4</v>
      </c>
      <c r="G242" s="29" t="s">
        <v>22</v>
      </c>
      <c r="H242" s="29" t="s">
        <v>23</v>
      </c>
    </row>
    <row r="243" customFormat="false" ht="14.25" hidden="false" customHeight="false" outlineLevel="0" collapsed="false">
      <c r="A243" s="1" t="n">
        <v>1246</v>
      </c>
      <c r="B243" s="30" t="n">
        <v>43107</v>
      </c>
      <c r="C243" s="29" t="s">
        <v>39</v>
      </c>
      <c r="D243" s="62" t="n">
        <v>34</v>
      </c>
      <c r="E243" s="62" t="n">
        <v>168.59</v>
      </c>
      <c r="F243" s="62" t="s">
        <v>3</v>
      </c>
      <c r="G243" s="29" t="s">
        <v>24</v>
      </c>
      <c r="H243" s="29" t="s">
        <v>26</v>
      </c>
    </row>
    <row r="244" customFormat="false" ht="14.25" hidden="false" customHeight="false" outlineLevel="0" collapsed="false">
      <c r="A244" s="1" t="n">
        <v>1247</v>
      </c>
      <c r="B244" s="30" t="n">
        <v>43275</v>
      </c>
      <c r="C244" s="29" t="s">
        <v>39</v>
      </c>
      <c r="D244" s="62" t="n">
        <v>20</v>
      </c>
      <c r="E244" s="62" t="n">
        <v>42.85</v>
      </c>
      <c r="F244" s="62" t="s">
        <v>4</v>
      </c>
      <c r="G244" s="29" t="s">
        <v>29</v>
      </c>
      <c r="H244" s="29" t="s">
        <v>34</v>
      </c>
    </row>
    <row r="245" customFormat="false" ht="14.25" hidden="false" customHeight="false" outlineLevel="0" collapsed="false">
      <c r="A245" s="1" t="n">
        <v>1248</v>
      </c>
      <c r="B245" s="30" t="n">
        <v>43275</v>
      </c>
      <c r="C245" s="29" t="s">
        <v>39</v>
      </c>
      <c r="D245" s="62" t="n">
        <v>20</v>
      </c>
      <c r="E245" s="62" t="n">
        <v>591.57</v>
      </c>
      <c r="F245" s="62" t="s">
        <v>4</v>
      </c>
      <c r="G245" s="29" t="s">
        <v>24</v>
      </c>
      <c r="H245" s="29" t="s">
        <v>26</v>
      </c>
    </row>
    <row r="246" customFormat="false" ht="14.25" hidden="false" customHeight="false" outlineLevel="0" collapsed="false">
      <c r="A246" s="1" t="n">
        <v>1249</v>
      </c>
      <c r="B246" s="30" t="n">
        <v>43275</v>
      </c>
      <c r="C246" s="29" t="s">
        <v>39</v>
      </c>
      <c r="D246" s="62" t="n">
        <v>12</v>
      </c>
      <c r="E246" s="62" t="n">
        <v>28.17</v>
      </c>
      <c r="F246" s="62" t="s">
        <v>4</v>
      </c>
      <c r="G246" s="29" t="s">
        <v>22</v>
      </c>
      <c r="H246" s="29" t="s">
        <v>23</v>
      </c>
    </row>
    <row r="247" customFormat="false" ht="14.25" hidden="false" customHeight="false" outlineLevel="0" collapsed="false">
      <c r="A247" s="1" t="n">
        <v>1250</v>
      </c>
      <c r="B247" s="30" t="n">
        <v>43275</v>
      </c>
      <c r="C247" s="29" t="s">
        <v>39</v>
      </c>
      <c r="D247" s="62" t="n">
        <v>47</v>
      </c>
      <c r="E247" s="62" t="n">
        <v>3131.17</v>
      </c>
      <c r="F247" s="62" t="s">
        <v>4</v>
      </c>
      <c r="G247" s="29" t="s">
        <v>29</v>
      </c>
      <c r="H247" s="29" t="s">
        <v>34</v>
      </c>
    </row>
    <row r="248" customFormat="false" ht="14.25" hidden="false" customHeight="false" outlineLevel="0" collapsed="false">
      <c r="A248" s="1" t="n">
        <v>1251</v>
      </c>
      <c r="B248" s="30" t="n">
        <v>43220</v>
      </c>
      <c r="C248" s="29" t="s">
        <v>39</v>
      </c>
      <c r="D248" s="62" t="n">
        <v>42</v>
      </c>
      <c r="E248" s="62" t="n">
        <v>274.6</v>
      </c>
      <c r="F248" s="62" t="s">
        <v>4</v>
      </c>
      <c r="G248" s="29" t="s">
        <v>29</v>
      </c>
      <c r="H248" s="29" t="s">
        <v>33</v>
      </c>
    </row>
    <row r="249" customFormat="false" ht="14.25" hidden="false" customHeight="false" outlineLevel="0" collapsed="false">
      <c r="A249" s="1" t="n">
        <v>1252</v>
      </c>
      <c r="B249" s="30" t="n">
        <v>43220</v>
      </c>
      <c r="C249" s="29" t="s">
        <v>31</v>
      </c>
      <c r="D249" s="62" t="n">
        <v>41</v>
      </c>
      <c r="E249" s="62" t="n">
        <v>367.69</v>
      </c>
      <c r="F249" s="62" t="s">
        <v>4</v>
      </c>
      <c r="G249" s="29" t="s">
        <v>22</v>
      </c>
      <c r="H249" s="29" t="s">
        <v>23</v>
      </c>
    </row>
    <row r="250" customFormat="false" ht="14.25" hidden="false" customHeight="false" outlineLevel="0" collapsed="false">
      <c r="A250" s="1" t="n">
        <v>1253</v>
      </c>
      <c r="B250" s="30" t="n">
        <v>43220</v>
      </c>
      <c r="C250" s="29" t="s">
        <v>31</v>
      </c>
      <c r="D250" s="62" t="n">
        <v>50</v>
      </c>
      <c r="E250" s="62" t="n">
        <v>4177.41</v>
      </c>
      <c r="F250" s="62" t="s">
        <v>4</v>
      </c>
      <c r="G250" s="29" t="s">
        <v>22</v>
      </c>
      <c r="H250" s="29" t="s">
        <v>44</v>
      </c>
    </row>
    <row r="251" customFormat="false" ht="14.25" hidden="false" customHeight="false" outlineLevel="0" collapsed="false">
      <c r="A251" s="1" t="n">
        <v>1254</v>
      </c>
      <c r="B251" s="30" t="n">
        <v>43253</v>
      </c>
      <c r="C251" s="29" t="s">
        <v>37</v>
      </c>
      <c r="D251" s="62" t="n">
        <v>27</v>
      </c>
      <c r="E251" s="62" t="n">
        <v>210.95</v>
      </c>
      <c r="F251" s="62" t="s">
        <v>3</v>
      </c>
      <c r="G251" s="29" t="s">
        <v>29</v>
      </c>
      <c r="H251" s="29" t="s">
        <v>36</v>
      </c>
    </row>
    <row r="252" customFormat="false" ht="14.25" hidden="false" customHeight="false" outlineLevel="0" collapsed="false">
      <c r="A252" s="1" t="n">
        <v>1255</v>
      </c>
      <c r="B252" s="30" t="n">
        <v>43231</v>
      </c>
      <c r="C252" s="29" t="s">
        <v>21</v>
      </c>
      <c r="D252" s="62" t="n">
        <v>44</v>
      </c>
      <c r="E252" s="62" t="n">
        <v>11177.17</v>
      </c>
      <c r="F252" s="62" t="s">
        <v>5</v>
      </c>
      <c r="G252" s="29" t="s">
        <v>22</v>
      </c>
      <c r="H252" s="29" t="s">
        <v>40</v>
      </c>
    </row>
    <row r="253" customFormat="false" ht="14.25" hidden="false" customHeight="false" outlineLevel="0" collapsed="false">
      <c r="A253" s="1" t="n">
        <v>1256</v>
      </c>
      <c r="B253" s="30" t="n">
        <v>43156</v>
      </c>
      <c r="C253" s="29" t="s">
        <v>37</v>
      </c>
      <c r="D253" s="62" t="n">
        <v>11</v>
      </c>
      <c r="E253" s="62" t="n">
        <v>433.92</v>
      </c>
      <c r="F253" s="62" t="s">
        <v>4</v>
      </c>
      <c r="G253" s="29" t="s">
        <v>29</v>
      </c>
      <c r="H253" s="29" t="s">
        <v>36</v>
      </c>
    </row>
    <row r="254" customFormat="false" ht="14.25" hidden="false" customHeight="false" outlineLevel="0" collapsed="false">
      <c r="A254" s="1" t="n">
        <v>1257</v>
      </c>
      <c r="B254" s="30" t="n">
        <v>43276</v>
      </c>
      <c r="C254" s="29" t="s">
        <v>28</v>
      </c>
      <c r="D254" s="62" t="n">
        <v>16</v>
      </c>
      <c r="E254" s="62" t="n">
        <v>826.48</v>
      </c>
      <c r="F254" s="62" t="s">
        <v>3</v>
      </c>
      <c r="G254" s="29" t="s">
        <v>24</v>
      </c>
      <c r="H254" s="29" t="s">
        <v>25</v>
      </c>
    </row>
    <row r="255" customFormat="false" ht="14.25" hidden="false" customHeight="false" outlineLevel="0" collapsed="false">
      <c r="A255" s="1" t="n">
        <v>1258</v>
      </c>
      <c r="B255" s="30" t="n">
        <v>43105</v>
      </c>
      <c r="C255" s="29" t="s">
        <v>37</v>
      </c>
      <c r="D255" s="62" t="n">
        <v>26</v>
      </c>
      <c r="E255" s="62" t="n">
        <v>93.65</v>
      </c>
      <c r="F255" s="62" t="s">
        <v>3</v>
      </c>
      <c r="G255" s="29" t="s">
        <v>29</v>
      </c>
      <c r="H255" s="29" t="s">
        <v>30</v>
      </c>
    </row>
    <row r="256" customFormat="false" ht="14.25" hidden="false" customHeight="false" outlineLevel="0" collapsed="false">
      <c r="A256" s="1" t="n">
        <v>1259</v>
      </c>
      <c r="B256" s="30" t="n">
        <v>43105</v>
      </c>
      <c r="C256" s="29" t="s">
        <v>37</v>
      </c>
      <c r="D256" s="62" t="n">
        <v>5</v>
      </c>
      <c r="E256" s="62" t="n">
        <v>54.89</v>
      </c>
      <c r="F256" s="62" t="s">
        <v>3</v>
      </c>
      <c r="G256" s="29" t="s">
        <v>29</v>
      </c>
      <c r="H256" s="29" t="s">
        <v>36</v>
      </c>
    </row>
    <row r="257" customFormat="false" ht="14.25" hidden="false" customHeight="false" outlineLevel="0" collapsed="false">
      <c r="A257" s="1" t="n">
        <v>1260</v>
      </c>
      <c r="B257" s="30" t="n">
        <v>43105</v>
      </c>
      <c r="C257" s="29" t="s">
        <v>37</v>
      </c>
      <c r="D257" s="62" t="n">
        <v>1</v>
      </c>
      <c r="E257" s="62" t="n">
        <v>9.07</v>
      </c>
      <c r="F257" s="62" t="s">
        <v>3</v>
      </c>
      <c r="G257" s="29" t="s">
        <v>22</v>
      </c>
      <c r="H257" s="29" t="s">
        <v>23</v>
      </c>
    </row>
    <row r="258" customFormat="false" ht="14.25" hidden="false" customHeight="false" outlineLevel="0" collapsed="false">
      <c r="A258" s="1" t="n">
        <v>1261</v>
      </c>
      <c r="B258" s="30" t="n">
        <v>43228</v>
      </c>
      <c r="C258" s="29" t="s">
        <v>31</v>
      </c>
      <c r="D258" s="62" t="n">
        <v>22</v>
      </c>
      <c r="E258" s="62" t="n">
        <v>1431.46</v>
      </c>
      <c r="F258" s="62" t="s">
        <v>4</v>
      </c>
      <c r="G258" s="29" t="s">
        <v>29</v>
      </c>
      <c r="H258" s="29" t="s">
        <v>34</v>
      </c>
    </row>
    <row r="259" customFormat="false" ht="14.25" hidden="false" customHeight="false" outlineLevel="0" collapsed="false">
      <c r="A259" s="1" t="n">
        <v>1262</v>
      </c>
      <c r="B259" s="30" t="n">
        <v>43348</v>
      </c>
      <c r="C259" s="29" t="s">
        <v>21</v>
      </c>
      <c r="D259" s="62" t="n">
        <v>45</v>
      </c>
      <c r="E259" s="62" t="n">
        <v>820.65</v>
      </c>
      <c r="F259" s="62" t="s">
        <v>5</v>
      </c>
      <c r="G259" s="29" t="s">
        <v>24</v>
      </c>
      <c r="H259" s="29" t="s">
        <v>25</v>
      </c>
    </row>
    <row r="260" customFormat="false" ht="14.25" hidden="false" customHeight="false" outlineLevel="0" collapsed="false">
      <c r="A260" s="1" t="n">
        <v>1263</v>
      </c>
      <c r="B260" s="30" t="n">
        <v>43339</v>
      </c>
      <c r="C260" s="29" t="s">
        <v>21</v>
      </c>
      <c r="D260" s="62" t="n">
        <v>4</v>
      </c>
      <c r="E260" s="62" t="n">
        <v>1355.39</v>
      </c>
      <c r="F260" s="62" t="s">
        <v>4</v>
      </c>
      <c r="G260" s="29" t="s">
        <v>22</v>
      </c>
      <c r="H260" s="29" t="s">
        <v>40</v>
      </c>
    </row>
    <row r="261" customFormat="false" ht="14.25" hidden="false" customHeight="false" outlineLevel="0" collapsed="false">
      <c r="A261" s="1" t="n">
        <v>1264</v>
      </c>
      <c r="B261" s="30" t="n">
        <v>43371</v>
      </c>
      <c r="C261" s="29" t="s">
        <v>31</v>
      </c>
      <c r="D261" s="62" t="n">
        <v>24</v>
      </c>
      <c r="E261" s="62" t="n">
        <v>163.28</v>
      </c>
      <c r="F261" s="62" t="s">
        <v>6</v>
      </c>
      <c r="G261" s="29" t="s">
        <v>29</v>
      </c>
      <c r="H261" s="29" t="s">
        <v>36</v>
      </c>
    </row>
    <row r="262" customFormat="false" ht="14.25" hidden="false" customHeight="false" outlineLevel="0" collapsed="false">
      <c r="A262" s="1" t="n">
        <v>1265</v>
      </c>
      <c r="B262" s="30" t="n">
        <v>43371</v>
      </c>
      <c r="C262" s="29" t="s">
        <v>31</v>
      </c>
      <c r="D262" s="62" t="n">
        <v>19</v>
      </c>
      <c r="E262" s="62" t="n">
        <v>393.8</v>
      </c>
      <c r="F262" s="62" t="s">
        <v>6</v>
      </c>
      <c r="G262" s="29" t="s">
        <v>29</v>
      </c>
      <c r="H262" s="29" t="s">
        <v>36</v>
      </c>
    </row>
    <row r="263" customFormat="false" ht="14.25" hidden="false" customHeight="false" outlineLevel="0" collapsed="false">
      <c r="A263" s="1" t="n">
        <v>1266</v>
      </c>
      <c r="B263" s="30" t="n">
        <v>43128</v>
      </c>
      <c r="C263" s="29" t="s">
        <v>21</v>
      </c>
      <c r="D263" s="62" t="n">
        <v>11</v>
      </c>
      <c r="E263" s="62" t="n">
        <v>81.71</v>
      </c>
      <c r="F263" s="62" t="s">
        <v>4</v>
      </c>
      <c r="G263" s="29" t="s">
        <v>29</v>
      </c>
      <c r="H263" s="29" t="s">
        <v>36</v>
      </c>
    </row>
    <row r="264" customFormat="false" ht="14.25" hidden="false" customHeight="false" outlineLevel="0" collapsed="false">
      <c r="A264" s="1" t="n">
        <v>1267</v>
      </c>
      <c r="B264" s="30" t="n">
        <v>43128</v>
      </c>
      <c r="C264" s="29" t="s">
        <v>21</v>
      </c>
      <c r="D264" s="62" t="n">
        <v>3</v>
      </c>
      <c r="E264" s="62" t="n">
        <v>331.59</v>
      </c>
      <c r="F264" s="62" t="s">
        <v>4</v>
      </c>
      <c r="G264" s="29" t="s">
        <v>24</v>
      </c>
      <c r="H264" s="29" t="s">
        <v>25</v>
      </c>
    </row>
    <row r="265" customFormat="false" ht="14.25" hidden="false" customHeight="false" outlineLevel="0" collapsed="false">
      <c r="A265" s="1" t="n">
        <v>1268</v>
      </c>
      <c r="B265" s="30" t="n">
        <v>43295</v>
      </c>
      <c r="C265" s="29" t="s">
        <v>39</v>
      </c>
      <c r="D265" s="62" t="n">
        <v>8</v>
      </c>
      <c r="E265" s="62" t="n">
        <v>90.56</v>
      </c>
      <c r="F265" s="62" t="s">
        <v>6</v>
      </c>
      <c r="G265" s="29" t="s">
        <v>29</v>
      </c>
      <c r="H265" s="29" t="s">
        <v>41</v>
      </c>
    </row>
    <row r="266" customFormat="false" ht="14.25" hidden="false" customHeight="false" outlineLevel="0" collapsed="false">
      <c r="A266" s="1" t="n">
        <v>1269</v>
      </c>
      <c r="B266" s="30" t="n">
        <v>43295</v>
      </c>
      <c r="C266" s="29" t="s">
        <v>39</v>
      </c>
      <c r="D266" s="62" t="n">
        <v>9</v>
      </c>
      <c r="E266" s="62" t="n">
        <v>175.24</v>
      </c>
      <c r="F266" s="62" t="s">
        <v>6</v>
      </c>
      <c r="G266" s="29" t="s">
        <v>24</v>
      </c>
      <c r="H266" s="29" t="s">
        <v>42</v>
      </c>
    </row>
    <row r="267" customFormat="false" ht="14.25" hidden="false" customHeight="false" outlineLevel="0" collapsed="false">
      <c r="A267" s="1" t="n">
        <v>1270</v>
      </c>
      <c r="B267" s="30" t="n">
        <v>43344</v>
      </c>
      <c r="C267" s="29" t="s">
        <v>21</v>
      </c>
      <c r="D267" s="62" t="n">
        <v>40</v>
      </c>
      <c r="E267" s="62" t="n">
        <v>392.55</v>
      </c>
      <c r="F267" s="62" t="s">
        <v>4</v>
      </c>
      <c r="G267" s="29" t="s">
        <v>22</v>
      </c>
      <c r="H267" s="29" t="s">
        <v>23</v>
      </c>
    </row>
    <row r="268" customFormat="false" ht="14.25" hidden="false" customHeight="false" outlineLevel="0" collapsed="false">
      <c r="A268" s="1" t="n">
        <v>1271</v>
      </c>
      <c r="B268" s="30" t="n">
        <v>43180</v>
      </c>
      <c r="C268" s="29" t="s">
        <v>21</v>
      </c>
      <c r="D268" s="62" t="n">
        <v>37</v>
      </c>
      <c r="E268" s="62" t="n">
        <v>329.8</v>
      </c>
      <c r="F268" s="62" t="s">
        <v>3</v>
      </c>
      <c r="G268" s="29" t="s">
        <v>29</v>
      </c>
      <c r="H268" s="29" t="s">
        <v>41</v>
      </c>
    </row>
    <row r="269" customFormat="false" ht="14.25" hidden="false" customHeight="false" outlineLevel="0" collapsed="false">
      <c r="A269" s="1" t="n">
        <v>1272</v>
      </c>
      <c r="B269" s="30" t="n">
        <v>43180</v>
      </c>
      <c r="C269" s="29" t="s">
        <v>21</v>
      </c>
      <c r="D269" s="62" t="n">
        <v>12</v>
      </c>
      <c r="E269" s="62" t="n">
        <v>162.09</v>
      </c>
      <c r="F269" s="62" t="s">
        <v>3</v>
      </c>
      <c r="G269" s="29" t="s">
        <v>29</v>
      </c>
      <c r="H269" s="29" t="s">
        <v>45</v>
      </c>
    </row>
    <row r="270" customFormat="false" ht="14.25" hidden="false" customHeight="false" outlineLevel="0" collapsed="false">
      <c r="A270" s="1" t="n">
        <v>1273</v>
      </c>
      <c r="B270" s="30" t="n">
        <v>43280</v>
      </c>
      <c r="C270" s="29" t="s">
        <v>37</v>
      </c>
      <c r="D270" s="62" t="n">
        <v>43</v>
      </c>
      <c r="E270" s="62" t="n">
        <v>480.61</v>
      </c>
      <c r="F270" s="62" t="s">
        <v>5</v>
      </c>
      <c r="G270" s="29" t="s">
        <v>29</v>
      </c>
      <c r="H270" s="29" t="s">
        <v>30</v>
      </c>
    </row>
    <row r="271" customFormat="false" ht="14.25" hidden="false" customHeight="false" outlineLevel="0" collapsed="false">
      <c r="A271" s="1" t="n">
        <v>1274</v>
      </c>
      <c r="B271" s="30" t="n">
        <v>43280</v>
      </c>
      <c r="C271" s="29" t="s">
        <v>37</v>
      </c>
      <c r="D271" s="62" t="n">
        <v>38</v>
      </c>
      <c r="E271" s="62" t="n">
        <v>85.4</v>
      </c>
      <c r="F271" s="62" t="s">
        <v>5</v>
      </c>
      <c r="G271" s="29" t="s">
        <v>29</v>
      </c>
      <c r="H271" s="29" t="s">
        <v>30</v>
      </c>
    </row>
    <row r="272" customFormat="false" ht="14.25" hidden="false" customHeight="false" outlineLevel="0" collapsed="false">
      <c r="A272" s="1" t="n">
        <v>1275</v>
      </c>
      <c r="B272" s="30" t="n">
        <v>43329</v>
      </c>
      <c r="C272" s="29" t="s">
        <v>21</v>
      </c>
      <c r="D272" s="62" t="n">
        <v>44</v>
      </c>
      <c r="E272" s="62" t="n">
        <v>2592.01</v>
      </c>
      <c r="F272" s="62" t="s">
        <v>6</v>
      </c>
      <c r="G272" s="29" t="s">
        <v>24</v>
      </c>
      <c r="H272" s="29" t="s">
        <v>25</v>
      </c>
    </row>
    <row r="273" customFormat="false" ht="14.25" hidden="false" customHeight="false" outlineLevel="0" collapsed="false">
      <c r="A273" s="1" t="n">
        <v>1276</v>
      </c>
      <c r="B273" s="30" t="n">
        <v>43394</v>
      </c>
      <c r="C273" s="29" t="s">
        <v>31</v>
      </c>
      <c r="D273" s="62" t="n">
        <v>5</v>
      </c>
      <c r="E273" s="62" t="n">
        <v>236.24</v>
      </c>
      <c r="F273" s="62" t="s">
        <v>5</v>
      </c>
      <c r="G273" s="29" t="s">
        <v>24</v>
      </c>
      <c r="H273" s="29" t="s">
        <v>25</v>
      </c>
    </row>
    <row r="274" customFormat="false" ht="14.25" hidden="false" customHeight="false" outlineLevel="0" collapsed="false">
      <c r="A274" s="1" t="n">
        <v>1277</v>
      </c>
      <c r="B274" s="30" t="n">
        <v>43130</v>
      </c>
      <c r="C274" s="29" t="s">
        <v>37</v>
      </c>
      <c r="D274" s="62" t="n">
        <v>15</v>
      </c>
      <c r="E274" s="62" t="n">
        <v>1996.75</v>
      </c>
      <c r="F274" s="62" t="s">
        <v>6</v>
      </c>
      <c r="G274" s="29" t="s">
        <v>29</v>
      </c>
      <c r="H274" s="29" t="s">
        <v>41</v>
      </c>
    </row>
    <row r="275" customFormat="false" ht="14.25" hidden="false" customHeight="false" outlineLevel="0" collapsed="false">
      <c r="A275" s="1" t="n">
        <v>1278</v>
      </c>
      <c r="B275" s="30" t="n">
        <v>43331</v>
      </c>
      <c r="C275" s="29" t="s">
        <v>39</v>
      </c>
      <c r="D275" s="62" t="n">
        <v>15</v>
      </c>
      <c r="E275" s="62" t="n">
        <v>180.72</v>
      </c>
      <c r="F275" s="62" t="s">
        <v>3</v>
      </c>
      <c r="G275" s="29" t="s">
        <v>24</v>
      </c>
      <c r="H275" s="29" t="s">
        <v>42</v>
      </c>
    </row>
    <row r="276" customFormat="false" ht="14.25" hidden="false" customHeight="false" outlineLevel="0" collapsed="false">
      <c r="A276" s="1" t="n">
        <v>1279</v>
      </c>
      <c r="B276" s="30" t="n">
        <v>43269</v>
      </c>
      <c r="C276" s="29" t="s">
        <v>21</v>
      </c>
      <c r="D276" s="62" t="n">
        <v>27</v>
      </c>
      <c r="E276" s="62" t="n">
        <v>193.09</v>
      </c>
      <c r="F276" s="62" t="s">
        <v>3</v>
      </c>
      <c r="G276" s="29" t="s">
        <v>29</v>
      </c>
      <c r="H276" s="29" t="s">
        <v>36</v>
      </c>
    </row>
    <row r="277" customFormat="false" ht="14.25" hidden="false" customHeight="false" outlineLevel="0" collapsed="false">
      <c r="A277" s="1" t="n">
        <v>1280</v>
      </c>
      <c r="B277" s="30" t="n">
        <v>43278</v>
      </c>
      <c r="C277" s="29" t="s">
        <v>39</v>
      </c>
      <c r="D277" s="62" t="n">
        <v>48</v>
      </c>
      <c r="E277" s="62" t="n">
        <v>4970.01</v>
      </c>
      <c r="F277" s="62" t="s">
        <v>6</v>
      </c>
      <c r="G277" s="29" t="s">
        <v>22</v>
      </c>
      <c r="H277" s="29" t="s">
        <v>27</v>
      </c>
    </row>
    <row r="278" customFormat="false" ht="14.25" hidden="false" customHeight="false" outlineLevel="0" collapsed="false">
      <c r="A278" s="1" t="n">
        <v>1281</v>
      </c>
      <c r="B278" s="30" t="n">
        <v>43278</v>
      </c>
      <c r="C278" s="29" t="s">
        <v>39</v>
      </c>
      <c r="D278" s="62" t="n">
        <v>15</v>
      </c>
      <c r="E278" s="62" t="n">
        <v>671.63</v>
      </c>
      <c r="F278" s="62" t="s">
        <v>6</v>
      </c>
      <c r="G278" s="29" t="s">
        <v>24</v>
      </c>
      <c r="H278" s="29" t="s">
        <v>26</v>
      </c>
    </row>
    <row r="279" customFormat="false" ht="14.25" hidden="false" customHeight="false" outlineLevel="0" collapsed="false">
      <c r="A279" s="1" t="n">
        <v>1282</v>
      </c>
      <c r="B279" s="30" t="n">
        <v>43247</v>
      </c>
      <c r="C279" s="29" t="s">
        <v>37</v>
      </c>
      <c r="D279" s="62" t="n">
        <v>41</v>
      </c>
      <c r="E279" s="62" t="n">
        <v>184.2</v>
      </c>
      <c r="F279" s="62" t="s">
        <v>4</v>
      </c>
      <c r="G279" s="29" t="s">
        <v>29</v>
      </c>
      <c r="H279" s="29" t="s">
        <v>35</v>
      </c>
    </row>
    <row r="280" customFormat="false" ht="14.25" hidden="false" customHeight="false" outlineLevel="0" collapsed="false">
      <c r="A280" s="1" t="n">
        <v>1283</v>
      </c>
      <c r="B280" s="30" t="n">
        <v>43236</v>
      </c>
      <c r="C280" s="29" t="s">
        <v>21</v>
      </c>
      <c r="D280" s="62" t="n">
        <v>41</v>
      </c>
      <c r="E280" s="62" t="n">
        <v>289.8</v>
      </c>
      <c r="F280" s="62" t="s">
        <v>3</v>
      </c>
      <c r="G280" s="29" t="s">
        <v>29</v>
      </c>
      <c r="H280" s="29" t="s">
        <v>36</v>
      </c>
    </row>
    <row r="281" customFormat="false" ht="14.25" hidden="false" customHeight="false" outlineLevel="0" collapsed="false">
      <c r="A281" s="1" t="n">
        <v>1284</v>
      </c>
      <c r="B281" s="30" t="n">
        <v>43236</v>
      </c>
      <c r="C281" s="29" t="s">
        <v>21</v>
      </c>
      <c r="D281" s="62" t="n">
        <v>5</v>
      </c>
      <c r="E281" s="62" t="n">
        <v>25.85</v>
      </c>
      <c r="F281" s="62" t="s">
        <v>3</v>
      </c>
      <c r="G281" s="29" t="s">
        <v>29</v>
      </c>
      <c r="H281" s="29" t="s">
        <v>34</v>
      </c>
    </row>
    <row r="282" customFormat="false" ht="14.25" hidden="false" customHeight="false" outlineLevel="0" collapsed="false">
      <c r="A282" s="1" t="n">
        <v>1285</v>
      </c>
      <c r="B282" s="30" t="n">
        <v>43236</v>
      </c>
      <c r="C282" s="29" t="s">
        <v>21</v>
      </c>
      <c r="D282" s="62" t="n">
        <v>46</v>
      </c>
      <c r="E282" s="62" t="n">
        <v>95.67</v>
      </c>
      <c r="F282" s="62" t="s">
        <v>3</v>
      </c>
      <c r="G282" s="29" t="s">
        <v>29</v>
      </c>
      <c r="H282" s="29" t="s">
        <v>33</v>
      </c>
    </row>
    <row r="283" customFormat="false" ht="14.25" hidden="false" customHeight="false" outlineLevel="0" collapsed="false">
      <c r="A283" s="1" t="n">
        <v>1286</v>
      </c>
      <c r="B283" s="30" t="n">
        <v>43236</v>
      </c>
      <c r="C283" s="29" t="s">
        <v>21</v>
      </c>
      <c r="D283" s="62" t="n">
        <v>42</v>
      </c>
      <c r="E283" s="62" t="n">
        <v>285.01</v>
      </c>
      <c r="F283" s="62" t="s">
        <v>3</v>
      </c>
      <c r="G283" s="29" t="s">
        <v>29</v>
      </c>
      <c r="H283" s="29" t="s">
        <v>36</v>
      </c>
    </row>
    <row r="284" customFormat="false" ht="14.25" hidden="false" customHeight="false" outlineLevel="0" collapsed="false">
      <c r="A284" s="1" t="n">
        <v>1287</v>
      </c>
      <c r="B284" s="30" t="n">
        <v>43236</v>
      </c>
      <c r="C284" s="29" t="s">
        <v>21</v>
      </c>
      <c r="D284" s="62" t="n">
        <v>35</v>
      </c>
      <c r="E284" s="62" t="n">
        <v>3627.23</v>
      </c>
      <c r="F284" s="62" t="s">
        <v>3</v>
      </c>
      <c r="G284" s="29" t="s">
        <v>22</v>
      </c>
      <c r="H284" s="29" t="s">
        <v>23</v>
      </c>
    </row>
    <row r="285" customFormat="false" ht="14.25" hidden="false" customHeight="false" outlineLevel="0" collapsed="false">
      <c r="A285" s="1" t="n">
        <v>1288</v>
      </c>
      <c r="B285" s="30" t="n">
        <v>43252</v>
      </c>
      <c r="C285" s="29" t="s">
        <v>39</v>
      </c>
      <c r="D285" s="62" t="n">
        <v>13</v>
      </c>
      <c r="E285" s="62" t="n">
        <v>826.33</v>
      </c>
      <c r="F285" s="62" t="s">
        <v>4</v>
      </c>
      <c r="G285" s="29" t="s">
        <v>24</v>
      </c>
      <c r="H285" s="29" t="s">
        <v>25</v>
      </c>
    </row>
    <row r="286" customFormat="false" ht="14.25" hidden="false" customHeight="false" outlineLevel="0" collapsed="false">
      <c r="A286" s="1" t="n">
        <v>1289</v>
      </c>
      <c r="B286" s="30" t="n">
        <v>43344</v>
      </c>
      <c r="C286" s="29" t="s">
        <v>39</v>
      </c>
      <c r="D286" s="62" t="n">
        <v>30</v>
      </c>
      <c r="E286" s="62" t="n">
        <v>998.19</v>
      </c>
      <c r="F286" s="62" t="s">
        <v>3</v>
      </c>
      <c r="G286" s="29" t="s">
        <v>24</v>
      </c>
      <c r="H286" s="29" t="s">
        <v>25</v>
      </c>
    </row>
    <row r="287" customFormat="false" ht="14.25" hidden="false" customHeight="false" outlineLevel="0" collapsed="false">
      <c r="A287" s="1" t="n">
        <v>1290</v>
      </c>
      <c r="B287" s="30" t="n">
        <v>43178</v>
      </c>
      <c r="C287" s="29" t="s">
        <v>21</v>
      </c>
      <c r="D287" s="62" t="n">
        <v>19</v>
      </c>
      <c r="E287" s="62" t="n">
        <v>1953.2</v>
      </c>
      <c r="F287" s="62" t="s">
        <v>3</v>
      </c>
      <c r="G287" s="29" t="s">
        <v>22</v>
      </c>
      <c r="H287" s="29" t="s">
        <v>23</v>
      </c>
    </row>
    <row r="288" customFormat="false" ht="14.25" hidden="false" customHeight="false" outlineLevel="0" collapsed="false">
      <c r="A288" s="1" t="n">
        <v>1291</v>
      </c>
      <c r="B288" s="30" t="n">
        <v>43178</v>
      </c>
      <c r="C288" s="29" t="s">
        <v>21</v>
      </c>
      <c r="D288" s="62" t="n">
        <v>32</v>
      </c>
      <c r="E288" s="62" t="n">
        <v>127.54</v>
      </c>
      <c r="F288" s="62" t="s">
        <v>3</v>
      </c>
      <c r="G288" s="29" t="s">
        <v>29</v>
      </c>
      <c r="H288" s="29" t="s">
        <v>33</v>
      </c>
    </row>
    <row r="289" customFormat="false" ht="14.25" hidden="false" customHeight="false" outlineLevel="0" collapsed="false">
      <c r="A289" s="1" t="n">
        <v>1292</v>
      </c>
      <c r="B289" s="30" t="n">
        <v>43442</v>
      </c>
      <c r="C289" s="29" t="s">
        <v>37</v>
      </c>
      <c r="D289" s="62" t="n">
        <v>36</v>
      </c>
      <c r="E289" s="62" t="n">
        <v>287.35</v>
      </c>
      <c r="F289" s="62" t="s">
        <v>3</v>
      </c>
      <c r="G289" s="29" t="s">
        <v>24</v>
      </c>
      <c r="H289" s="29" t="s">
        <v>26</v>
      </c>
    </row>
    <row r="290" customFormat="false" ht="14.25" hidden="false" customHeight="false" outlineLevel="0" collapsed="false">
      <c r="A290" s="1" t="n">
        <v>1293</v>
      </c>
      <c r="B290" s="30" t="n">
        <v>43260</v>
      </c>
      <c r="C290" s="29" t="s">
        <v>21</v>
      </c>
      <c r="D290" s="62" t="n">
        <v>23</v>
      </c>
      <c r="E290" s="62" t="n">
        <v>315.55</v>
      </c>
      <c r="F290" s="62" t="s">
        <v>6</v>
      </c>
      <c r="G290" s="29" t="s">
        <v>29</v>
      </c>
      <c r="H290" s="29" t="s">
        <v>38</v>
      </c>
    </row>
    <row r="291" customFormat="false" ht="14.25" hidden="false" customHeight="false" outlineLevel="0" collapsed="false">
      <c r="A291" s="1" t="n">
        <v>1294</v>
      </c>
      <c r="B291" s="30" t="n">
        <v>43388</v>
      </c>
      <c r="C291" s="29" t="s">
        <v>39</v>
      </c>
      <c r="D291" s="62" t="n">
        <v>17</v>
      </c>
      <c r="E291" s="62" t="n">
        <v>2822.42</v>
      </c>
      <c r="F291" s="62" t="s">
        <v>6</v>
      </c>
      <c r="G291" s="29" t="s">
        <v>24</v>
      </c>
      <c r="H291" s="29" t="s">
        <v>26</v>
      </c>
    </row>
    <row r="292" customFormat="false" ht="14.25" hidden="false" customHeight="false" outlineLevel="0" collapsed="false">
      <c r="A292" s="1" t="n">
        <v>1295</v>
      </c>
      <c r="B292" s="30" t="n">
        <v>43388</v>
      </c>
      <c r="C292" s="29" t="s">
        <v>39</v>
      </c>
      <c r="D292" s="62" t="n">
        <v>29</v>
      </c>
      <c r="E292" s="62" t="n">
        <v>168.42</v>
      </c>
      <c r="F292" s="62" t="s">
        <v>6</v>
      </c>
      <c r="G292" s="29" t="s">
        <v>29</v>
      </c>
      <c r="H292" s="29" t="s">
        <v>36</v>
      </c>
    </row>
    <row r="293" customFormat="false" ht="14.25" hidden="false" customHeight="false" outlineLevel="0" collapsed="false">
      <c r="A293" s="1" t="n">
        <v>1296</v>
      </c>
      <c r="B293" s="30" t="n">
        <v>43382</v>
      </c>
      <c r="C293" s="29" t="s">
        <v>28</v>
      </c>
      <c r="D293" s="62" t="n">
        <v>7</v>
      </c>
      <c r="E293" s="62" t="n">
        <v>2182.33</v>
      </c>
      <c r="F293" s="62" t="s">
        <v>4</v>
      </c>
      <c r="G293" s="29" t="s">
        <v>29</v>
      </c>
      <c r="H293" s="29" t="s">
        <v>38</v>
      </c>
    </row>
    <row r="294" customFormat="false" ht="14.25" hidden="false" customHeight="false" outlineLevel="0" collapsed="false">
      <c r="A294" s="1" t="n">
        <v>1297</v>
      </c>
      <c r="B294" s="30" t="n">
        <v>43203</v>
      </c>
      <c r="C294" s="29" t="s">
        <v>37</v>
      </c>
      <c r="D294" s="62" t="n">
        <v>36</v>
      </c>
      <c r="E294" s="62" t="n">
        <v>6396.06</v>
      </c>
      <c r="F294" s="62" t="s">
        <v>3</v>
      </c>
      <c r="G294" s="29" t="s">
        <v>29</v>
      </c>
      <c r="H294" s="29" t="s">
        <v>41</v>
      </c>
    </row>
    <row r="295" customFormat="false" ht="14.25" hidden="false" customHeight="false" outlineLevel="0" collapsed="false">
      <c r="A295" s="1" t="n">
        <v>1298</v>
      </c>
      <c r="B295" s="30" t="n">
        <v>43102</v>
      </c>
      <c r="C295" s="29" t="s">
        <v>39</v>
      </c>
      <c r="D295" s="62" t="n">
        <v>25</v>
      </c>
      <c r="E295" s="62" t="n">
        <v>1634.34</v>
      </c>
      <c r="F295" s="62" t="s">
        <v>3</v>
      </c>
      <c r="G295" s="29" t="s">
        <v>29</v>
      </c>
      <c r="H295" s="29" t="s">
        <v>45</v>
      </c>
    </row>
    <row r="296" customFormat="false" ht="14.25" hidden="false" customHeight="false" outlineLevel="0" collapsed="false">
      <c r="A296" s="1" t="n">
        <v>1299</v>
      </c>
      <c r="B296" s="30" t="n">
        <v>43102</v>
      </c>
      <c r="C296" s="29" t="s">
        <v>39</v>
      </c>
      <c r="D296" s="62" t="n">
        <v>9</v>
      </c>
      <c r="E296" s="62" t="n">
        <v>85.21</v>
      </c>
      <c r="F296" s="62" t="s">
        <v>3</v>
      </c>
      <c r="G296" s="29" t="s">
        <v>29</v>
      </c>
      <c r="H296" s="29" t="s">
        <v>41</v>
      </c>
    </row>
    <row r="297" customFormat="false" ht="14.25" hidden="false" customHeight="false" outlineLevel="0" collapsed="false">
      <c r="A297" s="1" t="n">
        <v>1300</v>
      </c>
      <c r="B297" s="30" t="n">
        <v>43192</v>
      </c>
      <c r="C297" s="29" t="s">
        <v>31</v>
      </c>
      <c r="D297" s="62" t="n">
        <v>26</v>
      </c>
      <c r="E297" s="62" t="n">
        <v>131.78</v>
      </c>
      <c r="F297" s="62" t="s">
        <v>3</v>
      </c>
      <c r="G297" s="29" t="s">
        <v>29</v>
      </c>
      <c r="H297" s="29" t="s">
        <v>36</v>
      </c>
    </row>
    <row r="298" customFormat="false" ht="14.25" hidden="false" customHeight="false" outlineLevel="0" collapsed="false">
      <c r="A298" s="1" t="n">
        <v>1301</v>
      </c>
      <c r="B298" s="30" t="n">
        <v>43439</v>
      </c>
      <c r="C298" s="29" t="s">
        <v>39</v>
      </c>
      <c r="D298" s="62" t="n">
        <v>31</v>
      </c>
      <c r="E298" s="62" t="n">
        <v>3690.05</v>
      </c>
      <c r="F298" s="62" t="s">
        <v>3</v>
      </c>
      <c r="G298" s="29" t="s">
        <v>24</v>
      </c>
      <c r="H298" s="29" t="s">
        <v>25</v>
      </c>
    </row>
    <row r="299" customFormat="false" ht="14.25" hidden="false" customHeight="false" outlineLevel="0" collapsed="false">
      <c r="A299" s="1" t="n">
        <v>1302</v>
      </c>
      <c r="B299" s="30" t="n">
        <v>43439</v>
      </c>
      <c r="C299" s="29" t="s">
        <v>39</v>
      </c>
      <c r="D299" s="62" t="n">
        <v>18</v>
      </c>
      <c r="E299" s="62" t="n">
        <v>1854.42</v>
      </c>
      <c r="F299" s="62" t="s">
        <v>3</v>
      </c>
      <c r="G299" s="29" t="s">
        <v>29</v>
      </c>
      <c r="H299" s="29" t="s">
        <v>38</v>
      </c>
    </row>
    <row r="300" customFormat="false" ht="14.25" hidden="false" customHeight="false" outlineLevel="0" collapsed="false">
      <c r="A300" s="1" t="n">
        <v>1303</v>
      </c>
      <c r="B300" s="30" t="n">
        <v>43266</v>
      </c>
      <c r="C300" s="29" t="s">
        <v>31</v>
      </c>
      <c r="D300" s="62" t="n">
        <v>17</v>
      </c>
      <c r="E300" s="62" t="n">
        <v>57.68</v>
      </c>
      <c r="F300" s="62" t="s">
        <v>5</v>
      </c>
      <c r="G300" s="29" t="s">
        <v>29</v>
      </c>
      <c r="H300" s="29" t="s">
        <v>35</v>
      </c>
    </row>
    <row r="301" customFormat="false" ht="14.25" hidden="false" customHeight="false" outlineLevel="0" collapsed="false">
      <c r="A301" s="1" t="n">
        <v>1304</v>
      </c>
      <c r="B301" s="30" t="n">
        <v>43143</v>
      </c>
      <c r="C301" s="29" t="s">
        <v>28</v>
      </c>
      <c r="D301" s="62" t="n">
        <v>43</v>
      </c>
      <c r="E301" s="62" t="n">
        <v>182.84</v>
      </c>
      <c r="F301" s="62" t="s">
        <v>6</v>
      </c>
      <c r="G301" s="29" t="s">
        <v>29</v>
      </c>
      <c r="H301" s="29" t="s">
        <v>34</v>
      </c>
    </row>
    <row r="302" customFormat="false" ht="14.25" hidden="false" customHeight="false" outlineLevel="0" collapsed="false">
      <c r="A302" s="1" t="n">
        <v>1305</v>
      </c>
      <c r="B302" s="30" t="n">
        <v>43143</v>
      </c>
      <c r="C302" s="29" t="s">
        <v>28</v>
      </c>
      <c r="D302" s="62" t="n">
        <v>6</v>
      </c>
      <c r="E302" s="62" t="n">
        <v>969.44</v>
      </c>
      <c r="F302" s="62" t="s">
        <v>6</v>
      </c>
      <c r="G302" s="29" t="s">
        <v>22</v>
      </c>
      <c r="H302" s="29" t="s">
        <v>44</v>
      </c>
    </row>
    <row r="303" customFormat="false" ht="14.25" hidden="false" customHeight="false" outlineLevel="0" collapsed="false">
      <c r="A303" s="1" t="n">
        <v>1306</v>
      </c>
      <c r="B303" s="30" t="n">
        <v>43310</v>
      </c>
      <c r="C303" s="29" t="s">
        <v>37</v>
      </c>
      <c r="D303" s="62" t="n">
        <v>40</v>
      </c>
      <c r="E303" s="62" t="n">
        <v>465.04</v>
      </c>
      <c r="F303" s="62" t="s">
        <v>4</v>
      </c>
      <c r="G303" s="29" t="s">
        <v>29</v>
      </c>
      <c r="H303" s="29" t="s">
        <v>34</v>
      </c>
    </row>
    <row r="304" customFormat="false" ht="14.25" hidden="false" customHeight="false" outlineLevel="0" collapsed="false">
      <c r="A304" s="1" t="n">
        <v>1307</v>
      </c>
      <c r="B304" s="30" t="n">
        <v>43354</v>
      </c>
      <c r="C304" s="29" t="s">
        <v>21</v>
      </c>
      <c r="D304" s="62" t="n">
        <v>6</v>
      </c>
      <c r="E304" s="62" t="n">
        <v>13.49</v>
      </c>
      <c r="F304" s="62" t="s">
        <v>4</v>
      </c>
      <c r="G304" s="29" t="s">
        <v>29</v>
      </c>
      <c r="H304" s="29" t="s">
        <v>34</v>
      </c>
    </row>
    <row r="305" customFormat="false" ht="14.25" hidden="false" customHeight="false" outlineLevel="0" collapsed="false">
      <c r="A305" s="1" t="n">
        <v>1308</v>
      </c>
      <c r="B305" s="30" t="n">
        <v>43149</v>
      </c>
      <c r="C305" s="29" t="s">
        <v>28</v>
      </c>
      <c r="D305" s="62" t="n">
        <v>13</v>
      </c>
      <c r="E305" s="62" t="n">
        <v>3568.74</v>
      </c>
      <c r="F305" s="62" t="s">
        <v>4</v>
      </c>
      <c r="G305" s="29" t="s">
        <v>22</v>
      </c>
      <c r="H305" s="29" t="s">
        <v>40</v>
      </c>
    </row>
    <row r="306" customFormat="false" ht="14.25" hidden="false" customHeight="false" outlineLevel="0" collapsed="false">
      <c r="A306" s="1" t="n">
        <v>1309</v>
      </c>
      <c r="B306" s="30" t="n">
        <v>43149</v>
      </c>
      <c r="C306" s="29" t="s">
        <v>28</v>
      </c>
      <c r="D306" s="62" t="n">
        <v>15</v>
      </c>
      <c r="E306" s="62" t="n">
        <v>117.86</v>
      </c>
      <c r="F306" s="62" t="s">
        <v>4</v>
      </c>
      <c r="G306" s="29" t="s">
        <v>29</v>
      </c>
      <c r="H306" s="29" t="s">
        <v>34</v>
      </c>
    </row>
    <row r="307" customFormat="false" ht="14.25" hidden="false" customHeight="false" outlineLevel="0" collapsed="false">
      <c r="A307" s="1" t="n">
        <v>1310</v>
      </c>
      <c r="B307" s="30" t="n">
        <v>43319</v>
      </c>
      <c r="C307" s="29" t="s">
        <v>31</v>
      </c>
      <c r="D307" s="62" t="n">
        <v>35</v>
      </c>
      <c r="E307" s="62" t="n">
        <v>113.48</v>
      </c>
      <c r="F307" s="62" t="s">
        <v>3</v>
      </c>
      <c r="G307" s="29" t="s">
        <v>29</v>
      </c>
      <c r="H307" s="29" t="s">
        <v>32</v>
      </c>
    </row>
    <row r="308" customFormat="false" ht="14.25" hidden="false" customHeight="false" outlineLevel="0" collapsed="false">
      <c r="A308" s="1" t="n">
        <v>1311</v>
      </c>
      <c r="B308" s="30" t="n">
        <v>43324</v>
      </c>
      <c r="C308" s="29" t="s">
        <v>37</v>
      </c>
      <c r="D308" s="62" t="n">
        <v>44</v>
      </c>
      <c r="E308" s="62" t="n">
        <v>188.6</v>
      </c>
      <c r="F308" s="62" t="s">
        <v>4</v>
      </c>
      <c r="G308" s="29" t="s">
        <v>29</v>
      </c>
      <c r="H308" s="29" t="s">
        <v>35</v>
      </c>
    </row>
    <row r="309" customFormat="false" ht="14.25" hidden="false" customHeight="false" outlineLevel="0" collapsed="false">
      <c r="A309" s="1" t="n">
        <v>1312</v>
      </c>
      <c r="B309" s="30" t="n">
        <v>43303</v>
      </c>
      <c r="C309" s="29" t="s">
        <v>39</v>
      </c>
      <c r="D309" s="62" t="n">
        <v>14</v>
      </c>
      <c r="E309" s="62" t="n">
        <v>89.98</v>
      </c>
      <c r="F309" s="62" t="s">
        <v>3</v>
      </c>
      <c r="G309" s="29" t="s">
        <v>29</v>
      </c>
      <c r="H309" s="29" t="s">
        <v>34</v>
      </c>
    </row>
    <row r="310" customFormat="false" ht="14.25" hidden="false" customHeight="false" outlineLevel="0" collapsed="false">
      <c r="A310" s="1" t="n">
        <v>1313</v>
      </c>
      <c r="B310" s="30" t="n">
        <v>43121</v>
      </c>
      <c r="C310" s="29" t="s">
        <v>31</v>
      </c>
      <c r="D310" s="62" t="n">
        <v>5</v>
      </c>
      <c r="E310" s="62" t="n">
        <v>23.07</v>
      </c>
      <c r="F310" s="62" t="s">
        <v>3</v>
      </c>
      <c r="G310" s="29" t="s">
        <v>29</v>
      </c>
      <c r="H310" s="29" t="s">
        <v>35</v>
      </c>
    </row>
    <row r="311" customFormat="false" ht="14.25" hidden="false" customHeight="false" outlineLevel="0" collapsed="false">
      <c r="A311" s="1" t="n">
        <v>1314</v>
      </c>
      <c r="B311" s="30" t="n">
        <v>43121</v>
      </c>
      <c r="C311" s="29" t="s">
        <v>31</v>
      </c>
      <c r="D311" s="62" t="n">
        <v>43</v>
      </c>
      <c r="E311" s="62" t="n">
        <v>123.92</v>
      </c>
      <c r="F311" s="62" t="s">
        <v>3</v>
      </c>
      <c r="G311" s="29" t="s">
        <v>29</v>
      </c>
      <c r="H311" s="29" t="s">
        <v>30</v>
      </c>
    </row>
    <row r="312" customFormat="false" ht="14.25" hidden="false" customHeight="false" outlineLevel="0" collapsed="false">
      <c r="A312" s="1" t="n">
        <v>1315</v>
      </c>
      <c r="B312" s="30" t="n">
        <v>43121</v>
      </c>
      <c r="C312" s="29" t="s">
        <v>31</v>
      </c>
      <c r="D312" s="62" t="n">
        <v>39</v>
      </c>
      <c r="E312" s="62" t="n">
        <v>2075.44</v>
      </c>
      <c r="F312" s="62" t="s">
        <v>3</v>
      </c>
      <c r="G312" s="29" t="s">
        <v>29</v>
      </c>
      <c r="H312" s="29" t="s">
        <v>41</v>
      </c>
    </row>
    <row r="313" customFormat="false" ht="14.25" hidden="false" customHeight="false" outlineLevel="0" collapsed="false">
      <c r="A313" s="1" t="n">
        <v>1316</v>
      </c>
      <c r="B313" s="30" t="n">
        <v>43441</v>
      </c>
      <c r="C313" s="29" t="s">
        <v>31</v>
      </c>
      <c r="D313" s="62" t="n">
        <v>23</v>
      </c>
      <c r="E313" s="62" t="n">
        <v>802.92</v>
      </c>
      <c r="F313" s="62" t="s">
        <v>3</v>
      </c>
      <c r="G313" s="29" t="s">
        <v>29</v>
      </c>
      <c r="H313" s="29" t="s">
        <v>34</v>
      </c>
    </row>
    <row r="314" customFormat="false" ht="14.25" hidden="false" customHeight="false" outlineLevel="0" collapsed="false">
      <c r="A314" s="1" t="n">
        <v>1317</v>
      </c>
      <c r="B314" s="30" t="n">
        <v>43441</v>
      </c>
      <c r="C314" s="29" t="s">
        <v>31</v>
      </c>
      <c r="D314" s="62" t="n">
        <v>4</v>
      </c>
      <c r="E314" s="62" t="n">
        <v>19.75</v>
      </c>
      <c r="F314" s="62" t="s">
        <v>3</v>
      </c>
      <c r="G314" s="29" t="s">
        <v>29</v>
      </c>
      <c r="H314" s="29" t="s">
        <v>35</v>
      </c>
    </row>
    <row r="315" customFormat="false" ht="14.25" hidden="false" customHeight="false" outlineLevel="0" collapsed="false">
      <c r="A315" s="1" t="n">
        <v>1318</v>
      </c>
      <c r="B315" s="30" t="n">
        <v>43346</v>
      </c>
      <c r="C315" s="29" t="s">
        <v>31</v>
      </c>
      <c r="D315" s="62" t="n">
        <v>18</v>
      </c>
      <c r="E315" s="62" t="n">
        <v>36.34</v>
      </c>
      <c r="F315" s="62" t="s">
        <v>5</v>
      </c>
      <c r="G315" s="29" t="s">
        <v>29</v>
      </c>
      <c r="H315" s="29" t="s">
        <v>30</v>
      </c>
    </row>
    <row r="316" customFormat="false" ht="14.25" hidden="false" customHeight="false" outlineLevel="0" collapsed="false">
      <c r="A316" s="1" t="n">
        <v>1319</v>
      </c>
      <c r="B316" s="30" t="n">
        <v>43233</v>
      </c>
      <c r="C316" s="29" t="s">
        <v>39</v>
      </c>
      <c r="D316" s="62" t="n">
        <v>23</v>
      </c>
      <c r="E316" s="62" t="n">
        <v>381.02</v>
      </c>
      <c r="F316" s="62" t="s">
        <v>5</v>
      </c>
      <c r="G316" s="29" t="s">
        <v>29</v>
      </c>
      <c r="H316" s="29" t="s">
        <v>45</v>
      </c>
    </row>
    <row r="317" customFormat="false" ht="14.25" hidden="false" customHeight="false" outlineLevel="0" collapsed="false">
      <c r="A317" s="1" t="n">
        <v>1320</v>
      </c>
      <c r="B317" s="30" t="n">
        <v>43192</v>
      </c>
      <c r="C317" s="29" t="s">
        <v>28</v>
      </c>
      <c r="D317" s="62" t="n">
        <v>24</v>
      </c>
      <c r="E317" s="62" t="n">
        <v>6856.88</v>
      </c>
      <c r="F317" s="62" t="s">
        <v>3</v>
      </c>
      <c r="G317" s="29" t="s">
        <v>22</v>
      </c>
      <c r="H317" s="29" t="s">
        <v>27</v>
      </c>
    </row>
    <row r="318" customFormat="false" ht="14.25" hidden="false" customHeight="false" outlineLevel="0" collapsed="false">
      <c r="A318" s="1" t="n">
        <v>1321</v>
      </c>
      <c r="B318" s="30" t="n">
        <v>43192</v>
      </c>
      <c r="C318" s="29" t="s">
        <v>28</v>
      </c>
      <c r="D318" s="62" t="n">
        <v>21</v>
      </c>
      <c r="E318" s="62" t="n">
        <v>1259.24</v>
      </c>
      <c r="F318" s="62" t="s">
        <v>3</v>
      </c>
      <c r="G318" s="29" t="s">
        <v>24</v>
      </c>
      <c r="H318" s="29" t="s">
        <v>25</v>
      </c>
    </row>
    <row r="319" customFormat="false" ht="14.25" hidden="false" customHeight="false" outlineLevel="0" collapsed="false">
      <c r="A319" s="1" t="n">
        <v>1322</v>
      </c>
      <c r="B319" s="30" t="n">
        <v>43192</v>
      </c>
      <c r="C319" s="29" t="s">
        <v>28</v>
      </c>
      <c r="D319" s="62" t="n">
        <v>26</v>
      </c>
      <c r="E319" s="62" t="n">
        <v>1151.22</v>
      </c>
      <c r="F319" s="62" t="s">
        <v>3</v>
      </c>
      <c r="G319" s="29" t="s">
        <v>24</v>
      </c>
      <c r="H319" s="29" t="s">
        <v>26</v>
      </c>
    </row>
    <row r="320" customFormat="false" ht="14.25" hidden="false" customHeight="false" outlineLevel="0" collapsed="false">
      <c r="A320" s="1" t="n">
        <v>1323</v>
      </c>
      <c r="B320" s="30" t="n">
        <v>43327</v>
      </c>
      <c r="C320" s="29" t="s">
        <v>21</v>
      </c>
      <c r="D320" s="62" t="n">
        <v>32</v>
      </c>
      <c r="E320" s="62" t="n">
        <v>4980.92</v>
      </c>
      <c r="F320" s="62" t="s">
        <v>4</v>
      </c>
      <c r="G320" s="29" t="s">
        <v>22</v>
      </c>
      <c r="H320" s="29" t="s">
        <v>44</v>
      </c>
    </row>
    <row r="321" customFormat="false" ht="14.25" hidden="false" customHeight="false" outlineLevel="0" collapsed="false">
      <c r="A321" s="1" t="n">
        <v>1324</v>
      </c>
      <c r="B321" s="30" t="n">
        <v>43327</v>
      </c>
      <c r="C321" s="29" t="s">
        <v>21</v>
      </c>
      <c r="D321" s="62" t="n">
        <v>44</v>
      </c>
      <c r="E321" s="62" t="n">
        <v>10793.73</v>
      </c>
      <c r="F321" s="62" t="s">
        <v>4</v>
      </c>
      <c r="G321" s="29" t="s">
        <v>22</v>
      </c>
      <c r="H321" s="29" t="s">
        <v>40</v>
      </c>
    </row>
    <row r="322" customFormat="false" ht="14.25" hidden="false" customHeight="false" outlineLevel="0" collapsed="false">
      <c r="A322" s="1" t="n">
        <v>1325</v>
      </c>
      <c r="B322" s="30" t="n">
        <v>43327</v>
      </c>
      <c r="C322" s="29" t="s">
        <v>21</v>
      </c>
      <c r="D322" s="62" t="n">
        <v>34</v>
      </c>
      <c r="E322" s="62" t="n">
        <v>1720.65</v>
      </c>
      <c r="F322" s="62" t="s">
        <v>4</v>
      </c>
      <c r="G322" s="29" t="s">
        <v>24</v>
      </c>
      <c r="H322" s="29" t="s">
        <v>26</v>
      </c>
    </row>
    <row r="323" customFormat="false" ht="14.25" hidden="false" customHeight="false" outlineLevel="0" collapsed="false">
      <c r="A323" s="1" t="n">
        <v>1326</v>
      </c>
      <c r="B323" s="30" t="n">
        <v>43346</v>
      </c>
      <c r="C323" s="29" t="s">
        <v>31</v>
      </c>
      <c r="D323" s="62" t="n">
        <v>37</v>
      </c>
      <c r="E323" s="62" t="n">
        <v>3115.86</v>
      </c>
      <c r="F323" s="62" t="s">
        <v>4</v>
      </c>
      <c r="G323" s="29" t="s">
        <v>24</v>
      </c>
      <c r="H323" s="29" t="s">
        <v>25</v>
      </c>
    </row>
    <row r="324" customFormat="false" ht="14.25" hidden="false" customHeight="false" outlineLevel="0" collapsed="false">
      <c r="A324" s="1" t="n">
        <v>1327</v>
      </c>
      <c r="B324" s="30" t="n">
        <v>43217</v>
      </c>
      <c r="C324" s="29" t="s">
        <v>21</v>
      </c>
      <c r="D324" s="62" t="n">
        <v>2</v>
      </c>
      <c r="E324" s="62" t="n">
        <v>210.63</v>
      </c>
      <c r="F324" s="62" t="s">
        <v>5</v>
      </c>
      <c r="G324" s="29" t="s">
        <v>24</v>
      </c>
      <c r="H324" s="29" t="s">
        <v>25</v>
      </c>
    </row>
    <row r="325" customFormat="false" ht="14.25" hidden="false" customHeight="false" outlineLevel="0" collapsed="false">
      <c r="A325" s="1" t="n">
        <v>1328</v>
      </c>
      <c r="B325" s="30" t="n">
        <v>43217</v>
      </c>
      <c r="C325" s="29" t="s">
        <v>21</v>
      </c>
      <c r="D325" s="62" t="n">
        <v>2</v>
      </c>
      <c r="E325" s="62" t="n">
        <v>217.53</v>
      </c>
      <c r="F325" s="62" t="s">
        <v>5</v>
      </c>
      <c r="G325" s="29" t="s">
        <v>22</v>
      </c>
      <c r="H325" s="29" t="s">
        <v>23</v>
      </c>
    </row>
    <row r="326" customFormat="false" ht="14.25" hidden="false" customHeight="false" outlineLevel="0" collapsed="false">
      <c r="A326" s="1" t="n">
        <v>1329</v>
      </c>
      <c r="B326" s="30" t="n">
        <v>43101</v>
      </c>
      <c r="C326" s="29" t="s">
        <v>31</v>
      </c>
      <c r="D326" s="62" t="n">
        <v>16</v>
      </c>
      <c r="E326" s="62" t="n">
        <v>5782.01</v>
      </c>
      <c r="F326" s="62" t="s">
        <v>4</v>
      </c>
      <c r="G326" s="29" t="s">
        <v>22</v>
      </c>
      <c r="H326" s="29" t="s">
        <v>40</v>
      </c>
    </row>
    <row r="327" customFormat="false" ht="14.25" hidden="false" customHeight="false" outlineLevel="0" collapsed="false">
      <c r="A327" s="1" t="n">
        <v>1330</v>
      </c>
      <c r="B327" s="30" t="n">
        <v>43101</v>
      </c>
      <c r="C327" s="29" t="s">
        <v>31</v>
      </c>
      <c r="D327" s="62" t="n">
        <v>1</v>
      </c>
      <c r="E327" s="62" t="n">
        <v>205.96</v>
      </c>
      <c r="F327" s="62" t="s">
        <v>4</v>
      </c>
      <c r="G327" s="29" t="s">
        <v>22</v>
      </c>
      <c r="H327" s="29" t="s">
        <v>40</v>
      </c>
    </row>
    <row r="328" customFormat="false" ht="14.25" hidden="false" customHeight="false" outlineLevel="0" collapsed="false">
      <c r="A328" s="1" t="n">
        <v>1331</v>
      </c>
      <c r="B328" s="30" t="n">
        <v>43101</v>
      </c>
      <c r="C328" s="29" t="s">
        <v>31</v>
      </c>
      <c r="D328" s="62" t="n">
        <v>24</v>
      </c>
      <c r="E328" s="62" t="n">
        <v>6856.88</v>
      </c>
      <c r="F328" s="62" t="s">
        <v>4</v>
      </c>
      <c r="G328" s="29" t="s">
        <v>22</v>
      </c>
      <c r="H328" s="29" t="s">
        <v>27</v>
      </c>
    </row>
    <row r="329" customFormat="false" ht="14.25" hidden="false" customHeight="false" outlineLevel="0" collapsed="false">
      <c r="A329" s="1" t="n">
        <v>1332</v>
      </c>
      <c r="B329" s="30" t="n">
        <v>43273</v>
      </c>
      <c r="C329" s="29" t="s">
        <v>28</v>
      </c>
      <c r="D329" s="62" t="n">
        <v>10</v>
      </c>
      <c r="E329" s="62" t="n">
        <v>821.05</v>
      </c>
      <c r="F329" s="62" t="s">
        <v>4</v>
      </c>
      <c r="G329" s="29" t="s">
        <v>24</v>
      </c>
      <c r="H329" s="29" t="s">
        <v>26</v>
      </c>
    </row>
    <row r="330" customFormat="false" ht="14.25" hidden="false" customHeight="false" outlineLevel="0" collapsed="false">
      <c r="A330" s="1" t="n">
        <v>1333</v>
      </c>
      <c r="B330" s="30" t="n">
        <v>43147</v>
      </c>
      <c r="C330" s="29" t="s">
        <v>21</v>
      </c>
      <c r="D330" s="62" t="n">
        <v>12</v>
      </c>
      <c r="E330" s="62" t="n">
        <v>497.09</v>
      </c>
      <c r="F330" s="62" t="s">
        <v>4</v>
      </c>
      <c r="G330" s="29" t="s">
        <v>24</v>
      </c>
      <c r="H330" s="29" t="s">
        <v>26</v>
      </c>
    </row>
    <row r="331" customFormat="false" ht="14.25" hidden="false" customHeight="false" outlineLevel="0" collapsed="false">
      <c r="A331" s="1" t="n">
        <v>1334</v>
      </c>
      <c r="B331" s="30" t="n">
        <v>43457</v>
      </c>
      <c r="C331" s="29" t="s">
        <v>21</v>
      </c>
      <c r="D331" s="62" t="n">
        <v>12</v>
      </c>
      <c r="E331" s="62" t="n">
        <v>30.4</v>
      </c>
      <c r="F331" s="62" t="s">
        <v>3</v>
      </c>
      <c r="G331" s="29" t="s">
        <v>29</v>
      </c>
      <c r="H331" s="29" t="s">
        <v>34</v>
      </c>
    </row>
    <row r="332" customFormat="false" ht="14.25" hidden="false" customHeight="false" outlineLevel="0" collapsed="false">
      <c r="A332" s="1" t="n">
        <v>1335</v>
      </c>
      <c r="B332" s="30" t="n">
        <v>43143</v>
      </c>
      <c r="C332" s="29" t="s">
        <v>37</v>
      </c>
      <c r="D332" s="62" t="n">
        <v>27</v>
      </c>
      <c r="E332" s="62" t="n">
        <v>2831.09</v>
      </c>
      <c r="F332" s="62" t="s">
        <v>4</v>
      </c>
      <c r="G332" s="29" t="s">
        <v>22</v>
      </c>
      <c r="H332" s="29" t="s">
        <v>44</v>
      </c>
    </row>
    <row r="333" customFormat="false" ht="14.25" hidden="false" customHeight="false" outlineLevel="0" collapsed="false">
      <c r="A333" s="1" t="n">
        <v>1336</v>
      </c>
      <c r="B333" s="30" t="n">
        <v>43143</v>
      </c>
      <c r="C333" s="29" t="s">
        <v>37</v>
      </c>
      <c r="D333" s="62" t="n">
        <v>23</v>
      </c>
      <c r="E333" s="62" t="n">
        <v>136.07</v>
      </c>
      <c r="F333" s="62" t="s">
        <v>4</v>
      </c>
      <c r="G333" s="29" t="s">
        <v>29</v>
      </c>
      <c r="H333" s="29" t="s">
        <v>34</v>
      </c>
    </row>
    <row r="334" customFormat="false" ht="14.25" hidden="false" customHeight="false" outlineLevel="0" collapsed="false">
      <c r="A334" s="1" t="n">
        <v>1337</v>
      </c>
      <c r="B334" s="30" t="n">
        <v>43143</v>
      </c>
      <c r="C334" s="29" t="s">
        <v>37</v>
      </c>
      <c r="D334" s="62" t="n">
        <v>20</v>
      </c>
      <c r="E334" s="62" t="n">
        <v>2753.42</v>
      </c>
      <c r="F334" s="62" t="s">
        <v>4</v>
      </c>
      <c r="G334" s="29" t="s">
        <v>22</v>
      </c>
      <c r="H334" s="29" t="s">
        <v>40</v>
      </c>
    </row>
    <row r="335" customFormat="false" ht="14.25" hidden="false" customHeight="false" outlineLevel="0" collapsed="false">
      <c r="A335" s="1" t="n">
        <v>1338</v>
      </c>
      <c r="B335" s="30" t="n">
        <v>43354</v>
      </c>
      <c r="C335" s="29" t="s">
        <v>39</v>
      </c>
      <c r="D335" s="62" t="n">
        <v>25</v>
      </c>
      <c r="E335" s="62" t="n">
        <v>2041.25</v>
      </c>
      <c r="F335" s="62" t="s">
        <v>5</v>
      </c>
      <c r="G335" s="29" t="s">
        <v>22</v>
      </c>
      <c r="H335" s="29" t="s">
        <v>44</v>
      </c>
    </row>
    <row r="336" customFormat="false" ht="14.25" hidden="false" customHeight="false" outlineLevel="0" collapsed="false">
      <c r="A336" s="1" t="n">
        <v>1339</v>
      </c>
      <c r="B336" s="30" t="n">
        <v>43209</v>
      </c>
      <c r="C336" s="29" t="s">
        <v>21</v>
      </c>
      <c r="D336" s="62" t="n">
        <v>40</v>
      </c>
      <c r="E336" s="62" t="n">
        <v>5942.82</v>
      </c>
      <c r="F336" s="62" t="s">
        <v>6</v>
      </c>
      <c r="G336" s="29" t="s">
        <v>24</v>
      </c>
      <c r="H336" s="29" t="s">
        <v>25</v>
      </c>
    </row>
    <row r="337" customFormat="false" ht="14.25" hidden="false" customHeight="false" outlineLevel="0" collapsed="false">
      <c r="A337" s="1" t="n">
        <v>1340</v>
      </c>
      <c r="B337" s="30" t="n">
        <v>43294</v>
      </c>
      <c r="C337" s="29" t="s">
        <v>28</v>
      </c>
      <c r="D337" s="62" t="n">
        <v>7</v>
      </c>
      <c r="E337" s="62" t="n">
        <v>389.02</v>
      </c>
      <c r="F337" s="62" t="s">
        <v>4</v>
      </c>
      <c r="G337" s="29" t="s">
        <v>22</v>
      </c>
      <c r="H337" s="29" t="s">
        <v>27</v>
      </c>
    </row>
    <row r="338" customFormat="false" ht="14.25" hidden="false" customHeight="false" outlineLevel="0" collapsed="false">
      <c r="A338" s="1" t="n">
        <v>1341</v>
      </c>
      <c r="B338" s="30" t="n">
        <v>43294</v>
      </c>
      <c r="C338" s="29" t="s">
        <v>28</v>
      </c>
      <c r="D338" s="62" t="n">
        <v>9</v>
      </c>
      <c r="E338" s="62" t="n">
        <v>855.98</v>
      </c>
      <c r="F338" s="62" t="s">
        <v>4</v>
      </c>
      <c r="G338" s="29" t="s">
        <v>24</v>
      </c>
      <c r="H338" s="29" t="s">
        <v>42</v>
      </c>
    </row>
    <row r="339" customFormat="false" ht="14.25" hidden="false" customHeight="false" outlineLevel="0" collapsed="false">
      <c r="A339" s="1" t="n">
        <v>1342</v>
      </c>
      <c r="B339" s="30" t="n">
        <v>43383</v>
      </c>
      <c r="C339" s="29" t="s">
        <v>39</v>
      </c>
      <c r="D339" s="62" t="n">
        <v>49</v>
      </c>
      <c r="E339" s="62" t="n">
        <v>10434.91</v>
      </c>
      <c r="F339" s="62" t="s">
        <v>6</v>
      </c>
      <c r="G339" s="29" t="s">
        <v>22</v>
      </c>
      <c r="H339" s="29" t="s">
        <v>23</v>
      </c>
    </row>
    <row r="340" customFormat="false" ht="14.25" hidden="false" customHeight="false" outlineLevel="0" collapsed="false">
      <c r="A340" s="1" t="n">
        <v>1343</v>
      </c>
      <c r="B340" s="30" t="n">
        <v>43272</v>
      </c>
      <c r="C340" s="29" t="s">
        <v>21</v>
      </c>
      <c r="D340" s="62" t="n">
        <v>15</v>
      </c>
      <c r="E340" s="62" t="n">
        <v>333.82</v>
      </c>
      <c r="F340" s="62" t="s">
        <v>5</v>
      </c>
      <c r="G340" s="29" t="s">
        <v>29</v>
      </c>
      <c r="H340" s="29" t="s">
        <v>30</v>
      </c>
    </row>
    <row r="341" customFormat="false" ht="14.25" hidden="false" customHeight="false" outlineLevel="0" collapsed="false">
      <c r="A341" s="1" t="n">
        <v>1344</v>
      </c>
      <c r="B341" s="30" t="n">
        <v>43272</v>
      </c>
      <c r="C341" s="29" t="s">
        <v>21</v>
      </c>
      <c r="D341" s="62" t="n">
        <v>2</v>
      </c>
      <c r="E341" s="62" t="n">
        <v>240.02</v>
      </c>
      <c r="F341" s="62" t="s">
        <v>5</v>
      </c>
      <c r="G341" s="29" t="s">
        <v>22</v>
      </c>
      <c r="H341" s="29" t="s">
        <v>23</v>
      </c>
    </row>
    <row r="342" customFormat="false" ht="14.25" hidden="false" customHeight="false" outlineLevel="0" collapsed="false">
      <c r="A342" s="1" t="n">
        <v>1345</v>
      </c>
      <c r="B342" s="30" t="n">
        <v>43272</v>
      </c>
      <c r="C342" s="29" t="s">
        <v>21</v>
      </c>
      <c r="D342" s="62" t="n">
        <v>24</v>
      </c>
      <c r="E342" s="62" t="n">
        <v>8075.44</v>
      </c>
      <c r="F342" s="62" t="s">
        <v>5</v>
      </c>
      <c r="G342" s="29" t="s">
        <v>22</v>
      </c>
      <c r="H342" s="29" t="s">
        <v>40</v>
      </c>
    </row>
    <row r="343" customFormat="false" ht="14.25" hidden="false" customHeight="false" outlineLevel="0" collapsed="false">
      <c r="A343" s="1" t="n">
        <v>1346</v>
      </c>
      <c r="B343" s="30" t="n">
        <v>43425</v>
      </c>
      <c r="C343" s="29" t="s">
        <v>37</v>
      </c>
      <c r="D343" s="62" t="n">
        <v>38</v>
      </c>
      <c r="E343" s="62" t="n">
        <v>11307.17</v>
      </c>
      <c r="F343" s="62" t="s">
        <v>3</v>
      </c>
      <c r="G343" s="29" t="s">
        <v>24</v>
      </c>
      <c r="H343" s="29" t="s">
        <v>43</v>
      </c>
    </row>
    <row r="344" customFormat="false" ht="14.25" hidden="false" customHeight="false" outlineLevel="0" collapsed="false">
      <c r="A344" s="1" t="n">
        <v>1347</v>
      </c>
      <c r="B344" s="30" t="n">
        <v>43425</v>
      </c>
      <c r="C344" s="29" t="s">
        <v>37</v>
      </c>
      <c r="D344" s="62" t="n">
        <v>45</v>
      </c>
      <c r="E344" s="62" t="n">
        <v>5543.76</v>
      </c>
      <c r="F344" s="62" t="s">
        <v>3</v>
      </c>
      <c r="G344" s="29" t="s">
        <v>22</v>
      </c>
      <c r="H344" s="29" t="s">
        <v>44</v>
      </c>
    </row>
    <row r="345" customFormat="false" ht="14.25" hidden="false" customHeight="false" outlineLevel="0" collapsed="false">
      <c r="A345" s="1" t="n">
        <v>1348</v>
      </c>
      <c r="B345" s="30" t="n">
        <v>43425</v>
      </c>
      <c r="C345" s="29" t="s">
        <v>37</v>
      </c>
      <c r="D345" s="62" t="n">
        <v>2</v>
      </c>
      <c r="E345" s="62" t="n">
        <v>2199.89</v>
      </c>
      <c r="F345" s="62" t="s">
        <v>3</v>
      </c>
      <c r="G345" s="29" t="s">
        <v>24</v>
      </c>
      <c r="H345" s="29" t="s">
        <v>42</v>
      </c>
    </row>
    <row r="346" customFormat="false" ht="14.25" hidden="false" customHeight="false" outlineLevel="0" collapsed="false">
      <c r="A346" s="1" t="n">
        <v>1349</v>
      </c>
      <c r="B346" s="30" t="n">
        <v>43425</v>
      </c>
      <c r="C346" s="29" t="s">
        <v>37</v>
      </c>
      <c r="D346" s="62" t="n">
        <v>38</v>
      </c>
      <c r="E346" s="62" t="n">
        <v>1796.57</v>
      </c>
      <c r="F346" s="62" t="s">
        <v>3</v>
      </c>
      <c r="G346" s="29" t="s">
        <v>22</v>
      </c>
      <c r="H346" s="29" t="s">
        <v>23</v>
      </c>
    </row>
    <row r="347" customFormat="false" ht="14.25" hidden="false" customHeight="false" outlineLevel="0" collapsed="false">
      <c r="A347" s="1" t="n">
        <v>1350</v>
      </c>
      <c r="B347" s="30" t="n">
        <v>43412</v>
      </c>
      <c r="C347" s="29" t="s">
        <v>39</v>
      </c>
      <c r="D347" s="62" t="n">
        <v>4</v>
      </c>
      <c r="E347" s="62" t="n">
        <v>29.25</v>
      </c>
      <c r="F347" s="62" t="s">
        <v>5</v>
      </c>
      <c r="G347" s="29" t="s">
        <v>29</v>
      </c>
      <c r="H347" s="29" t="s">
        <v>36</v>
      </c>
    </row>
    <row r="348" customFormat="false" ht="14.25" hidden="false" customHeight="false" outlineLevel="0" collapsed="false">
      <c r="A348" s="1" t="n">
        <v>1351</v>
      </c>
      <c r="B348" s="30" t="n">
        <v>43412</v>
      </c>
      <c r="C348" s="29" t="s">
        <v>39</v>
      </c>
      <c r="D348" s="62" t="n">
        <v>23</v>
      </c>
      <c r="E348" s="62" t="n">
        <v>731.54</v>
      </c>
      <c r="F348" s="62" t="s">
        <v>5</v>
      </c>
      <c r="G348" s="29" t="s">
        <v>24</v>
      </c>
      <c r="H348" s="29" t="s">
        <v>26</v>
      </c>
    </row>
    <row r="349" customFormat="false" ht="14.25" hidden="false" customHeight="false" outlineLevel="0" collapsed="false">
      <c r="A349" s="1" t="n">
        <v>1352</v>
      </c>
      <c r="B349" s="30" t="n">
        <v>43101</v>
      </c>
      <c r="C349" s="29" t="s">
        <v>39</v>
      </c>
      <c r="D349" s="62" t="n">
        <v>24</v>
      </c>
      <c r="E349" s="62" t="n">
        <v>148.46</v>
      </c>
      <c r="F349" s="62" t="s">
        <v>4</v>
      </c>
      <c r="G349" s="29" t="s">
        <v>29</v>
      </c>
      <c r="H349" s="29" t="s">
        <v>30</v>
      </c>
    </row>
    <row r="350" customFormat="false" ht="14.25" hidden="false" customHeight="false" outlineLevel="0" collapsed="false">
      <c r="A350" s="1" t="n">
        <v>1353</v>
      </c>
      <c r="B350" s="30" t="n">
        <v>43246</v>
      </c>
      <c r="C350" s="29" t="s">
        <v>39</v>
      </c>
      <c r="D350" s="62" t="n">
        <v>46</v>
      </c>
      <c r="E350" s="62" t="n">
        <v>85.89</v>
      </c>
      <c r="F350" s="62" t="s">
        <v>4</v>
      </c>
      <c r="G350" s="29" t="s">
        <v>29</v>
      </c>
      <c r="H350" s="29" t="s">
        <v>30</v>
      </c>
    </row>
    <row r="351" customFormat="false" ht="14.25" hidden="false" customHeight="false" outlineLevel="0" collapsed="false">
      <c r="A351" s="1" t="n">
        <v>1354</v>
      </c>
      <c r="B351" s="30" t="n">
        <v>43246</v>
      </c>
      <c r="C351" s="29" t="s">
        <v>39</v>
      </c>
      <c r="D351" s="62" t="n">
        <v>25</v>
      </c>
      <c r="E351" s="62" t="n">
        <v>914.72</v>
      </c>
      <c r="F351" s="62" t="s">
        <v>4</v>
      </c>
      <c r="G351" s="29" t="s">
        <v>22</v>
      </c>
      <c r="H351" s="29" t="s">
        <v>23</v>
      </c>
    </row>
    <row r="352" customFormat="false" ht="14.25" hidden="false" customHeight="false" outlineLevel="0" collapsed="false">
      <c r="A352" s="1" t="n">
        <v>1355</v>
      </c>
      <c r="B352" s="30" t="n">
        <v>43231</v>
      </c>
      <c r="C352" s="29" t="s">
        <v>39</v>
      </c>
      <c r="D352" s="62" t="n">
        <v>45</v>
      </c>
      <c r="E352" s="62" t="n">
        <v>302.95</v>
      </c>
      <c r="F352" s="62" t="s">
        <v>5</v>
      </c>
      <c r="G352" s="29" t="s">
        <v>29</v>
      </c>
      <c r="H352" s="29" t="s">
        <v>36</v>
      </c>
    </row>
    <row r="353" customFormat="false" ht="14.25" hidden="false" customHeight="false" outlineLevel="0" collapsed="false">
      <c r="A353" s="1" t="n">
        <v>1356</v>
      </c>
      <c r="B353" s="30" t="n">
        <v>43221</v>
      </c>
      <c r="C353" s="29" t="s">
        <v>21</v>
      </c>
      <c r="D353" s="62" t="n">
        <v>39</v>
      </c>
      <c r="E353" s="62" t="n">
        <v>6773.19</v>
      </c>
      <c r="F353" s="62" t="s">
        <v>4</v>
      </c>
      <c r="G353" s="29" t="s">
        <v>24</v>
      </c>
      <c r="H353" s="29" t="s">
        <v>25</v>
      </c>
    </row>
    <row r="354" customFormat="false" ht="14.25" hidden="false" customHeight="false" outlineLevel="0" collapsed="false">
      <c r="A354" s="1" t="n">
        <v>1357</v>
      </c>
      <c r="B354" s="30" t="n">
        <v>43118</v>
      </c>
      <c r="C354" s="29" t="s">
        <v>28</v>
      </c>
      <c r="D354" s="62" t="n">
        <v>8</v>
      </c>
      <c r="E354" s="62" t="n">
        <v>43.08</v>
      </c>
      <c r="F354" s="62" t="s">
        <v>5</v>
      </c>
      <c r="G354" s="29" t="s">
        <v>29</v>
      </c>
      <c r="H354" s="29" t="s">
        <v>36</v>
      </c>
    </row>
    <row r="355" customFormat="false" ht="14.25" hidden="false" customHeight="false" outlineLevel="0" collapsed="false">
      <c r="A355" s="1" t="n">
        <v>1358</v>
      </c>
      <c r="B355" s="30" t="n">
        <v>43352</v>
      </c>
      <c r="C355" s="29" t="s">
        <v>31</v>
      </c>
      <c r="D355" s="62" t="n">
        <v>5</v>
      </c>
      <c r="E355" s="62" t="n">
        <v>102.06</v>
      </c>
      <c r="F355" s="62" t="s">
        <v>6</v>
      </c>
      <c r="G355" s="29" t="s">
        <v>29</v>
      </c>
      <c r="H355" s="29" t="s">
        <v>34</v>
      </c>
    </row>
    <row r="356" customFormat="false" ht="14.25" hidden="false" customHeight="false" outlineLevel="0" collapsed="false">
      <c r="A356" s="1" t="n">
        <v>1359</v>
      </c>
      <c r="B356" s="30" t="n">
        <v>43330</v>
      </c>
      <c r="C356" s="29" t="s">
        <v>28</v>
      </c>
      <c r="D356" s="62" t="n">
        <v>20</v>
      </c>
      <c r="E356" s="62" t="n">
        <v>428.61</v>
      </c>
      <c r="F356" s="62" t="s">
        <v>6</v>
      </c>
      <c r="G356" s="29" t="s">
        <v>29</v>
      </c>
      <c r="H356" s="29" t="s">
        <v>36</v>
      </c>
    </row>
    <row r="357" customFormat="false" ht="14.25" hidden="false" customHeight="false" outlineLevel="0" collapsed="false">
      <c r="A357" s="1" t="n">
        <v>1360</v>
      </c>
      <c r="B357" s="30" t="n">
        <v>43460</v>
      </c>
      <c r="C357" s="29" t="s">
        <v>28</v>
      </c>
      <c r="D357" s="62" t="n">
        <v>49</v>
      </c>
      <c r="E357" s="62" t="n">
        <v>2217.17</v>
      </c>
      <c r="F357" s="62" t="s">
        <v>6</v>
      </c>
      <c r="G357" s="29" t="s">
        <v>29</v>
      </c>
      <c r="H357" s="29" t="s">
        <v>30</v>
      </c>
    </row>
    <row r="358" customFormat="false" ht="14.25" hidden="false" customHeight="false" outlineLevel="0" collapsed="false">
      <c r="A358" s="1" t="n">
        <v>1361</v>
      </c>
      <c r="B358" s="30" t="n">
        <v>43460</v>
      </c>
      <c r="C358" s="29" t="s">
        <v>28</v>
      </c>
      <c r="D358" s="62" t="n">
        <v>33</v>
      </c>
      <c r="E358" s="62" t="n">
        <v>161.77</v>
      </c>
      <c r="F358" s="62" t="s">
        <v>6</v>
      </c>
      <c r="G358" s="29" t="s">
        <v>29</v>
      </c>
      <c r="H358" s="29" t="s">
        <v>33</v>
      </c>
    </row>
    <row r="359" customFormat="false" ht="14.25" hidden="false" customHeight="false" outlineLevel="0" collapsed="false">
      <c r="A359" s="1" t="n">
        <v>1362</v>
      </c>
      <c r="B359" s="30" t="n">
        <v>43168</v>
      </c>
      <c r="C359" s="29" t="s">
        <v>37</v>
      </c>
      <c r="D359" s="62" t="n">
        <v>23</v>
      </c>
      <c r="E359" s="62" t="n">
        <v>144.78</v>
      </c>
      <c r="F359" s="62" t="s">
        <v>6</v>
      </c>
      <c r="G359" s="29" t="s">
        <v>29</v>
      </c>
      <c r="H359" s="29" t="s">
        <v>34</v>
      </c>
    </row>
    <row r="360" customFormat="false" ht="14.25" hidden="false" customHeight="false" outlineLevel="0" collapsed="false">
      <c r="A360" s="1" t="n">
        <v>1363</v>
      </c>
      <c r="B360" s="30" t="n">
        <v>43415</v>
      </c>
      <c r="C360" s="29" t="s">
        <v>21</v>
      </c>
      <c r="D360" s="62" t="n">
        <v>9</v>
      </c>
      <c r="E360" s="62" t="n">
        <v>194.38</v>
      </c>
      <c r="F360" s="62" t="s">
        <v>6</v>
      </c>
      <c r="G360" s="29" t="s">
        <v>24</v>
      </c>
      <c r="H360" s="29" t="s">
        <v>42</v>
      </c>
    </row>
    <row r="361" customFormat="false" ht="14.25" hidden="false" customHeight="false" outlineLevel="0" collapsed="false">
      <c r="A361" s="1" t="n">
        <v>1364</v>
      </c>
      <c r="B361" s="30" t="n">
        <v>43376</v>
      </c>
      <c r="C361" s="29" t="s">
        <v>37</v>
      </c>
      <c r="D361" s="62" t="n">
        <v>7</v>
      </c>
      <c r="E361" s="62" t="n">
        <v>155.1</v>
      </c>
      <c r="F361" s="62" t="s">
        <v>6</v>
      </c>
      <c r="G361" s="29" t="s">
        <v>29</v>
      </c>
      <c r="H361" s="29" t="s">
        <v>36</v>
      </c>
    </row>
    <row r="362" customFormat="false" ht="14.25" hidden="false" customHeight="false" outlineLevel="0" collapsed="false">
      <c r="A362" s="1" t="n">
        <v>1365</v>
      </c>
      <c r="B362" s="30" t="n">
        <v>43376</v>
      </c>
      <c r="C362" s="29" t="s">
        <v>37</v>
      </c>
      <c r="D362" s="62" t="n">
        <v>15</v>
      </c>
      <c r="E362" s="62" t="n">
        <v>520.48</v>
      </c>
      <c r="F362" s="62" t="s">
        <v>6</v>
      </c>
      <c r="G362" s="29" t="s">
        <v>22</v>
      </c>
      <c r="H362" s="29" t="s">
        <v>23</v>
      </c>
    </row>
    <row r="363" customFormat="false" ht="14.25" hidden="false" customHeight="false" outlineLevel="0" collapsed="false">
      <c r="A363" s="1" t="n">
        <v>1366</v>
      </c>
      <c r="B363" s="30" t="n">
        <v>43395</v>
      </c>
      <c r="C363" s="29" t="s">
        <v>28</v>
      </c>
      <c r="D363" s="62" t="n">
        <v>44</v>
      </c>
      <c r="E363" s="62" t="n">
        <v>1179.44</v>
      </c>
      <c r="F363" s="62" t="s">
        <v>4</v>
      </c>
      <c r="G363" s="29" t="s">
        <v>29</v>
      </c>
      <c r="H363" s="29" t="s">
        <v>45</v>
      </c>
    </row>
    <row r="364" customFormat="false" ht="14.25" hidden="false" customHeight="false" outlineLevel="0" collapsed="false">
      <c r="A364" s="1" t="n">
        <v>1367</v>
      </c>
      <c r="B364" s="30" t="n">
        <v>43259</v>
      </c>
      <c r="C364" s="29" t="s">
        <v>21</v>
      </c>
      <c r="D364" s="62" t="n">
        <v>44</v>
      </c>
      <c r="E364" s="62" t="n">
        <v>7666.28</v>
      </c>
      <c r="F364" s="62" t="s">
        <v>4</v>
      </c>
      <c r="G364" s="29" t="s">
        <v>24</v>
      </c>
      <c r="H364" s="29" t="s">
        <v>25</v>
      </c>
    </row>
    <row r="365" customFormat="false" ht="14.25" hidden="false" customHeight="false" outlineLevel="0" collapsed="false">
      <c r="A365" s="1" t="n">
        <v>1368</v>
      </c>
      <c r="B365" s="30" t="n">
        <v>43259</v>
      </c>
      <c r="C365" s="29" t="s">
        <v>21</v>
      </c>
      <c r="D365" s="62" t="n">
        <v>21</v>
      </c>
      <c r="E365" s="62" t="n">
        <v>122.55</v>
      </c>
      <c r="F365" s="62" t="s">
        <v>4</v>
      </c>
      <c r="G365" s="29" t="s">
        <v>29</v>
      </c>
      <c r="H365" s="29" t="s">
        <v>32</v>
      </c>
    </row>
    <row r="366" customFormat="false" ht="14.25" hidden="false" customHeight="false" outlineLevel="0" collapsed="false">
      <c r="A366" s="1" t="n">
        <v>1369</v>
      </c>
      <c r="B366" s="30" t="n">
        <v>43173</v>
      </c>
      <c r="C366" s="29" t="s">
        <v>37</v>
      </c>
      <c r="D366" s="62" t="n">
        <v>18</v>
      </c>
      <c r="E366" s="62" t="n">
        <v>139.51</v>
      </c>
      <c r="F366" s="62" t="s">
        <v>3</v>
      </c>
      <c r="G366" s="29" t="s">
        <v>29</v>
      </c>
      <c r="H366" s="29" t="s">
        <v>36</v>
      </c>
    </row>
    <row r="367" customFormat="false" ht="14.25" hidden="false" customHeight="false" outlineLevel="0" collapsed="false">
      <c r="A367" s="1" t="n">
        <v>1370</v>
      </c>
      <c r="B367" s="30" t="n">
        <v>43116</v>
      </c>
      <c r="C367" s="29" t="s">
        <v>37</v>
      </c>
      <c r="D367" s="62" t="n">
        <v>7</v>
      </c>
      <c r="E367" s="62" t="n">
        <v>330.12</v>
      </c>
      <c r="F367" s="62" t="s">
        <v>4</v>
      </c>
      <c r="G367" s="29" t="s">
        <v>22</v>
      </c>
      <c r="H367" s="29" t="s">
        <v>23</v>
      </c>
    </row>
    <row r="368" customFormat="false" ht="14.25" hidden="false" customHeight="false" outlineLevel="0" collapsed="false">
      <c r="A368" s="1" t="n">
        <v>1371</v>
      </c>
      <c r="B368" s="30" t="n">
        <v>43116</v>
      </c>
      <c r="C368" s="29" t="s">
        <v>37</v>
      </c>
      <c r="D368" s="62" t="n">
        <v>29</v>
      </c>
      <c r="E368" s="62" t="n">
        <v>188.86</v>
      </c>
      <c r="F368" s="62" t="s">
        <v>4</v>
      </c>
      <c r="G368" s="29" t="s">
        <v>29</v>
      </c>
      <c r="H368" s="29" t="s">
        <v>36</v>
      </c>
    </row>
    <row r="369" customFormat="false" ht="14.25" hidden="false" customHeight="false" outlineLevel="0" collapsed="false">
      <c r="A369" s="1" t="n">
        <v>1372</v>
      </c>
      <c r="B369" s="30" t="n">
        <v>43341</v>
      </c>
      <c r="C369" s="29" t="s">
        <v>28</v>
      </c>
      <c r="D369" s="62" t="n">
        <v>25</v>
      </c>
      <c r="E369" s="62" t="n">
        <v>295.86</v>
      </c>
      <c r="F369" s="62" t="s">
        <v>4</v>
      </c>
      <c r="G369" s="29" t="s">
        <v>29</v>
      </c>
      <c r="H369" s="29" t="s">
        <v>45</v>
      </c>
    </row>
    <row r="370" customFormat="false" ht="14.25" hidden="false" customHeight="false" outlineLevel="0" collapsed="false">
      <c r="A370" s="1" t="n">
        <v>1373</v>
      </c>
      <c r="B370" s="30" t="n">
        <v>43280</v>
      </c>
      <c r="C370" s="29" t="s">
        <v>21</v>
      </c>
      <c r="D370" s="62" t="n">
        <v>15</v>
      </c>
      <c r="E370" s="62" t="n">
        <v>149.87</v>
      </c>
      <c r="F370" s="62" t="s">
        <v>4</v>
      </c>
      <c r="G370" s="29" t="s">
        <v>29</v>
      </c>
      <c r="H370" s="29" t="s">
        <v>34</v>
      </c>
    </row>
    <row r="371" customFormat="false" ht="14.25" hidden="false" customHeight="false" outlineLevel="0" collapsed="false">
      <c r="A371" s="1" t="n">
        <v>1374</v>
      </c>
      <c r="B371" s="30" t="n">
        <v>43390</v>
      </c>
      <c r="C371" s="29" t="s">
        <v>21</v>
      </c>
      <c r="D371" s="62" t="n">
        <v>46</v>
      </c>
      <c r="E371" s="62" t="n">
        <v>168.92</v>
      </c>
      <c r="F371" s="62" t="s">
        <v>4</v>
      </c>
      <c r="G371" s="29" t="s">
        <v>29</v>
      </c>
      <c r="H371" s="29" t="s">
        <v>30</v>
      </c>
    </row>
    <row r="372" customFormat="false" ht="14.25" hidden="false" customHeight="false" outlineLevel="0" collapsed="false">
      <c r="A372" s="1" t="n">
        <v>1375</v>
      </c>
      <c r="B372" s="30" t="n">
        <v>43272</v>
      </c>
      <c r="C372" s="29" t="s">
        <v>31</v>
      </c>
      <c r="D372" s="62" t="n">
        <v>23</v>
      </c>
      <c r="E372" s="62" t="n">
        <v>3177.51</v>
      </c>
      <c r="F372" s="62" t="s">
        <v>3</v>
      </c>
      <c r="G372" s="29" t="s">
        <v>24</v>
      </c>
      <c r="H372" s="29" t="s">
        <v>25</v>
      </c>
    </row>
    <row r="373" customFormat="false" ht="14.25" hidden="false" customHeight="false" outlineLevel="0" collapsed="false">
      <c r="A373" s="1" t="n">
        <v>1376</v>
      </c>
      <c r="B373" s="30" t="n">
        <v>43272</v>
      </c>
      <c r="C373" s="29" t="s">
        <v>31</v>
      </c>
      <c r="D373" s="62" t="n">
        <v>29</v>
      </c>
      <c r="E373" s="62" t="n">
        <v>516.71</v>
      </c>
      <c r="F373" s="62" t="s">
        <v>3</v>
      </c>
      <c r="G373" s="29" t="s">
        <v>29</v>
      </c>
      <c r="H373" s="29" t="s">
        <v>38</v>
      </c>
    </row>
    <row r="374" customFormat="false" ht="14.25" hidden="false" customHeight="false" outlineLevel="0" collapsed="false">
      <c r="A374" s="1" t="n">
        <v>1377</v>
      </c>
      <c r="B374" s="30" t="n">
        <v>43392</v>
      </c>
      <c r="C374" s="29" t="s">
        <v>31</v>
      </c>
      <c r="D374" s="62" t="n">
        <v>16</v>
      </c>
      <c r="E374" s="62" t="n">
        <v>119.73</v>
      </c>
      <c r="F374" s="62" t="s">
        <v>6</v>
      </c>
      <c r="G374" s="29" t="s">
        <v>29</v>
      </c>
      <c r="H374" s="29" t="s">
        <v>30</v>
      </c>
    </row>
    <row r="375" customFormat="false" ht="14.25" hidden="false" customHeight="false" outlineLevel="0" collapsed="false">
      <c r="A375" s="1" t="n">
        <v>1378</v>
      </c>
      <c r="B375" s="30" t="n">
        <v>43284</v>
      </c>
      <c r="C375" s="29" t="s">
        <v>21</v>
      </c>
      <c r="D375" s="62" t="n">
        <v>6</v>
      </c>
      <c r="E375" s="62" t="n">
        <v>1033.29</v>
      </c>
      <c r="F375" s="62" t="s">
        <v>4</v>
      </c>
      <c r="G375" s="29" t="s">
        <v>22</v>
      </c>
      <c r="H375" s="29" t="s">
        <v>27</v>
      </c>
    </row>
    <row r="376" customFormat="false" ht="14.25" hidden="false" customHeight="false" outlineLevel="0" collapsed="false">
      <c r="A376" s="1" t="n">
        <v>1379</v>
      </c>
      <c r="B376" s="30" t="n">
        <v>43198</v>
      </c>
      <c r="C376" s="29" t="s">
        <v>39</v>
      </c>
      <c r="D376" s="62" t="n">
        <v>33</v>
      </c>
      <c r="E376" s="62" t="n">
        <v>610.45</v>
      </c>
      <c r="F376" s="62" t="s">
        <v>4</v>
      </c>
      <c r="G376" s="29" t="s">
        <v>29</v>
      </c>
      <c r="H376" s="29" t="s">
        <v>38</v>
      </c>
    </row>
    <row r="377" customFormat="false" ht="14.25" hidden="false" customHeight="false" outlineLevel="0" collapsed="false">
      <c r="A377" s="1" t="n">
        <v>1380</v>
      </c>
      <c r="B377" s="30" t="n">
        <v>43198</v>
      </c>
      <c r="C377" s="29" t="s">
        <v>39</v>
      </c>
      <c r="D377" s="62" t="n">
        <v>1</v>
      </c>
      <c r="E377" s="62" t="n">
        <v>34.79</v>
      </c>
      <c r="F377" s="62" t="s">
        <v>4</v>
      </c>
      <c r="G377" s="29" t="s">
        <v>24</v>
      </c>
      <c r="H377" s="29" t="s">
        <v>26</v>
      </c>
    </row>
    <row r="378" customFormat="false" ht="14.25" hidden="false" customHeight="false" outlineLevel="0" collapsed="false">
      <c r="A378" s="1" t="n">
        <v>1381</v>
      </c>
      <c r="B378" s="30" t="n">
        <v>43152</v>
      </c>
      <c r="C378" s="29" t="s">
        <v>37</v>
      </c>
      <c r="D378" s="62" t="n">
        <v>19</v>
      </c>
      <c r="E378" s="62" t="n">
        <v>70.46</v>
      </c>
      <c r="F378" s="62" t="s">
        <v>6</v>
      </c>
      <c r="G378" s="29" t="s">
        <v>29</v>
      </c>
      <c r="H378" s="29" t="s">
        <v>30</v>
      </c>
    </row>
    <row r="379" customFormat="false" ht="14.25" hidden="false" customHeight="false" outlineLevel="0" collapsed="false">
      <c r="A379" s="1" t="n">
        <v>1382</v>
      </c>
      <c r="B379" s="30" t="n">
        <v>43413</v>
      </c>
      <c r="C379" s="29" t="s">
        <v>28</v>
      </c>
      <c r="D379" s="62" t="n">
        <v>25</v>
      </c>
      <c r="E379" s="62" t="n">
        <v>130.64</v>
      </c>
      <c r="F379" s="62" t="s">
        <v>5</v>
      </c>
      <c r="G379" s="29" t="s">
        <v>29</v>
      </c>
      <c r="H379" s="29" t="s">
        <v>36</v>
      </c>
    </row>
    <row r="380" customFormat="false" ht="14.25" hidden="false" customHeight="false" outlineLevel="0" collapsed="false">
      <c r="A380" s="1" t="n">
        <v>1383</v>
      </c>
      <c r="B380" s="30" t="n">
        <v>43413</v>
      </c>
      <c r="C380" s="29" t="s">
        <v>28</v>
      </c>
      <c r="D380" s="62" t="n">
        <v>37</v>
      </c>
      <c r="E380" s="62" t="n">
        <v>239.49</v>
      </c>
      <c r="F380" s="62" t="s">
        <v>5</v>
      </c>
      <c r="G380" s="29" t="s">
        <v>29</v>
      </c>
      <c r="H380" s="29" t="s">
        <v>36</v>
      </c>
    </row>
    <row r="381" customFormat="false" ht="14.25" hidden="false" customHeight="false" outlineLevel="0" collapsed="false">
      <c r="A381" s="1" t="n">
        <v>1384</v>
      </c>
      <c r="B381" s="30" t="n">
        <v>43413</v>
      </c>
      <c r="C381" s="29" t="s">
        <v>28</v>
      </c>
      <c r="D381" s="62" t="n">
        <v>35</v>
      </c>
      <c r="E381" s="62" t="n">
        <v>1234.93</v>
      </c>
      <c r="F381" s="62" t="s">
        <v>5</v>
      </c>
      <c r="G381" s="29" t="s">
        <v>24</v>
      </c>
      <c r="H381" s="29" t="s">
        <v>26</v>
      </c>
    </row>
    <row r="382" customFormat="false" ht="14.25" hidden="false" customHeight="false" outlineLevel="0" collapsed="false">
      <c r="A382" s="1" t="n">
        <v>1385</v>
      </c>
      <c r="B382" s="30" t="n">
        <v>43413</v>
      </c>
      <c r="C382" s="29" t="s">
        <v>28</v>
      </c>
      <c r="D382" s="62" t="n">
        <v>1</v>
      </c>
      <c r="E382" s="62" t="n">
        <v>65.77</v>
      </c>
      <c r="F382" s="62" t="s">
        <v>5</v>
      </c>
      <c r="G382" s="29" t="s">
        <v>24</v>
      </c>
      <c r="H382" s="29" t="s">
        <v>25</v>
      </c>
    </row>
    <row r="383" customFormat="false" ht="14.25" hidden="false" customHeight="false" outlineLevel="0" collapsed="false">
      <c r="A383" s="1" t="n">
        <v>1386</v>
      </c>
      <c r="B383" s="30" t="n">
        <v>43458</v>
      </c>
      <c r="C383" s="29" t="s">
        <v>21</v>
      </c>
      <c r="D383" s="62" t="n">
        <v>26</v>
      </c>
      <c r="E383" s="62" t="n">
        <v>202.16</v>
      </c>
      <c r="F383" s="62" t="s">
        <v>5</v>
      </c>
      <c r="G383" s="29" t="s">
        <v>29</v>
      </c>
      <c r="H383" s="29" t="s">
        <v>36</v>
      </c>
    </row>
    <row r="384" customFormat="false" ht="14.25" hidden="false" customHeight="false" outlineLevel="0" collapsed="false">
      <c r="A384" s="1" t="n">
        <v>1387</v>
      </c>
      <c r="B384" s="30" t="n">
        <v>43135</v>
      </c>
      <c r="C384" s="29" t="s">
        <v>28</v>
      </c>
      <c r="D384" s="62" t="n">
        <v>17</v>
      </c>
      <c r="E384" s="62" t="n">
        <v>469.31</v>
      </c>
      <c r="F384" s="62" t="s">
        <v>5</v>
      </c>
      <c r="G384" s="29" t="s">
        <v>24</v>
      </c>
      <c r="H384" s="29" t="s">
        <v>25</v>
      </c>
    </row>
    <row r="385" customFormat="false" ht="14.25" hidden="false" customHeight="false" outlineLevel="0" collapsed="false">
      <c r="A385" s="1" t="n">
        <v>1388</v>
      </c>
      <c r="B385" s="30" t="n">
        <v>43135</v>
      </c>
      <c r="C385" s="29" t="s">
        <v>28</v>
      </c>
      <c r="D385" s="62" t="n">
        <v>3</v>
      </c>
      <c r="E385" s="62" t="n">
        <v>1676.48</v>
      </c>
      <c r="F385" s="62" t="s">
        <v>5</v>
      </c>
      <c r="G385" s="29" t="s">
        <v>24</v>
      </c>
      <c r="H385" s="29" t="s">
        <v>42</v>
      </c>
    </row>
    <row r="386" customFormat="false" ht="14.25" hidden="false" customHeight="false" outlineLevel="0" collapsed="false">
      <c r="A386" s="1" t="n">
        <v>1389</v>
      </c>
      <c r="B386" s="30" t="n">
        <v>43135</v>
      </c>
      <c r="C386" s="29" t="s">
        <v>28</v>
      </c>
      <c r="D386" s="62" t="n">
        <v>30</v>
      </c>
      <c r="E386" s="62" t="n">
        <v>659.13</v>
      </c>
      <c r="F386" s="62" t="s">
        <v>5</v>
      </c>
      <c r="G386" s="29" t="s">
        <v>29</v>
      </c>
      <c r="H386" s="29" t="s">
        <v>30</v>
      </c>
    </row>
    <row r="387" customFormat="false" ht="14.25" hidden="false" customHeight="false" outlineLevel="0" collapsed="false">
      <c r="A387" s="1" t="n">
        <v>1390</v>
      </c>
      <c r="B387" s="30" t="n">
        <v>43354</v>
      </c>
      <c r="C387" s="29" t="s">
        <v>39</v>
      </c>
      <c r="D387" s="62" t="n">
        <v>22</v>
      </c>
      <c r="E387" s="62" t="n">
        <v>375.86</v>
      </c>
      <c r="F387" s="62" t="s">
        <v>3</v>
      </c>
      <c r="G387" s="29" t="s">
        <v>29</v>
      </c>
      <c r="H387" s="29" t="s">
        <v>32</v>
      </c>
    </row>
    <row r="388" customFormat="false" ht="14.25" hidden="false" customHeight="false" outlineLevel="0" collapsed="false">
      <c r="A388" s="1" t="n">
        <v>1391</v>
      </c>
      <c r="B388" s="30" t="n">
        <v>43283</v>
      </c>
      <c r="C388" s="29" t="s">
        <v>21</v>
      </c>
      <c r="D388" s="62" t="n">
        <v>47</v>
      </c>
      <c r="E388" s="62" t="n">
        <v>5405.52</v>
      </c>
      <c r="F388" s="62" t="s">
        <v>5</v>
      </c>
      <c r="G388" s="29" t="s">
        <v>22</v>
      </c>
      <c r="H388" s="29" t="s">
        <v>23</v>
      </c>
    </row>
    <row r="389" customFormat="false" ht="14.25" hidden="false" customHeight="false" outlineLevel="0" collapsed="false">
      <c r="A389" s="1" t="n">
        <v>1392</v>
      </c>
      <c r="B389" s="30" t="n">
        <v>43265</v>
      </c>
      <c r="C389" s="29" t="s">
        <v>21</v>
      </c>
      <c r="D389" s="62" t="n">
        <v>21</v>
      </c>
      <c r="E389" s="62" t="n">
        <v>52.68</v>
      </c>
      <c r="F389" s="62" t="s">
        <v>5</v>
      </c>
      <c r="G389" s="29" t="s">
        <v>29</v>
      </c>
      <c r="H389" s="29" t="s">
        <v>34</v>
      </c>
    </row>
    <row r="390" customFormat="false" ht="14.25" hidden="false" customHeight="false" outlineLevel="0" collapsed="false">
      <c r="A390" s="1" t="n">
        <v>1393</v>
      </c>
      <c r="B390" s="30" t="n">
        <v>43174</v>
      </c>
      <c r="C390" s="29" t="s">
        <v>39</v>
      </c>
      <c r="D390" s="62" t="n">
        <v>31</v>
      </c>
      <c r="E390" s="62" t="n">
        <v>117.15</v>
      </c>
      <c r="F390" s="62" t="s">
        <v>4</v>
      </c>
      <c r="G390" s="29" t="s">
        <v>29</v>
      </c>
      <c r="H390" s="29" t="s">
        <v>30</v>
      </c>
    </row>
    <row r="391" customFormat="false" ht="14.25" hidden="false" customHeight="false" outlineLevel="0" collapsed="false">
      <c r="A391" s="1" t="n">
        <v>1394</v>
      </c>
      <c r="B391" s="30" t="n">
        <v>43202</v>
      </c>
      <c r="C391" s="29" t="s">
        <v>31</v>
      </c>
      <c r="D391" s="62" t="n">
        <v>43</v>
      </c>
      <c r="E391" s="62" t="n">
        <v>225.41</v>
      </c>
      <c r="F391" s="62" t="s">
        <v>5</v>
      </c>
      <c r="G391" s="29" t="s">
        <v>29</v>
      </c>
      <c r="H391" s="29" t="s">
        <v>34</v>
      </c>
    </row>
    <row r="392" customFormat="false" ht="14.25" hidden="false" customHeight="false" outlineLevel="0" collapsed="false">
      <c r="A392" s="1" t="n">
        <v>1395</v>
      </c>
      <c r="B392" s="30" t="n">
        <v>43280</v>
      </c>
      <c r="C392" s="29" t="s">
        <v>39</v>
      </c>
      <c r="D392" s="62" t="n">
        <v>14</v>
      </c>
      <c r="E392" s="62" t="n">
        <v>144.67</v>
      </c>
      <c r="F392" s="62" t="s">
        <v>3</v>
      </c>
      <c r="G392" s="29" t="s">
        <v>29</v>
      </c>
      <c r="H392" s="29" t="s">
        <v>36</v>
      </c>
    </row>
    <row r="393" customFormat="false" ht="14.25" hidden="false" customHeight="false" outlineLevel="0" collapsed="false">
      <c r="A393" s="1" t="n">
        <v>1396</v>
      </c>
      <c r="B393" s="30" t="n">
        <v>43136</v>
      </c>
      <c r="C393" s="29" t="s">
        <v>37</v>
      </c>
      <c r="D393" s="62" t="n">
        <v>27</v>
      </c>
      <c r="E393" s="62" t="n">
        <v>4752.99</v>
      </c>
      <c r="F393" s="62" t="s">
        <v>6</v>
      </c>
      <c r="G393" s="29" t="s">
        <v>24</v>
      </c>
      <c r="H393" s="29" t="s">
        <v>25</v>
      </c>
    </row>
    <row r="394" customFormat="false" ht="14.25" hidden="false" customHeight="false" outlineLevel="0" collapsed="false">
      <c r="A394" s="1" t="n">
        <v>1397</v>
      </c>
      <c r="B394" s="30" t="n">
        <v>43442</v>
      </c>
      <c r="C394" s="29" t="s">
        <v>28</v>
      </c>
      <c r="D394" s="62" t="n">
        <v>42</v>
      </c>
      <c r="E394" s="62" t="n">
        <v>1363.73</v>
      </c>
      <c r="F394" s="62" t="s">
        <v>3</v>
      </c>
      <c r="G394" s="29" t="s">
        <v>24</v>
      </c>
      <c r="H394" s="29" t="s">
        <v>25</v>
      </c>
    </row>
    <row r="395" customFormat="false" ht="14.25" hidden="false" customHeight="false" outlineLevel="0" collapsed="false">
      <c r="A395" s="1" t="n">
        <v>1398</v>
      </c>
      <c r="B395" s="30" t="n">
        <v>43442</v>
      </c>
      <c r="C395" s="29" t="s">
        <v>28</v>
      </c>
      <c r="D395" s="62" t="n">
        <v>37</v>
      </c>
      <c r="E395" s="62" t="n">
        <v>734.23</v>
      </c>
      <c r="F395" s="62" t="s">
        <v>3</v>
      </c>
      <c r="G395" s="29" t="s">
        <v>22</v>
      </c>
      <c r="H395" s="29" t="s">
        <v>23</v>
      </c>
    </row>
    <row r="396" customFormat="false" ht="14.25" hidden="false" customHeight="false" outlineLevel="0" collapsed="false">
      <c r="A396" s="1" t="n">
        <v>1399</v>
      </c>
      <c r="B396" s="30" t="n">
        <v>43159</v>
      </c>
      <c r="C396" s="29" t="s">
        <v>31</v>
      </c>
      <c r="D396" s="62" t="n">
        <v>19</v>
      </c>
      <c r="E396" s="62" t="n">
        <v>3590.01</v>
      </c>
      <c r="F396" s="62" t="s">
        <v>4</v>
      </c>
      <c r="G396" s="29" t="s">
        <v>24</v>
      </c>
      <c r="H396" s="29" t="s">
        <v>25</v>
      </c>
    </row>
    <row r="397" customFormat="false" ht="14.25" hidden="false" customHeight="false" outlineLevel="0" collapsed="false">
      <c r="A397" s="1" t="n">
        <v>1400</v>
      </c>
      <c r="B397" s="30" t="n">
        <v>43447</v>
      </c>
      <c r="C397" s="29" t="s">
        <v>39</v>
      </c>
      <c r="D397" s="62" t="n">
        <v>2</v>
      </c>
      <c r="E397" s="62" t="n">
        <v>20.33</v>
      </c>
      <c r="F397" s="62" t="s">
        <v>4</v>
      </c>
      <c r="G397" s="29" t="s">
        <v>29</v>
      </c>
      <c r="H397" s="29" t="s">
        <v>34</v>
      </c>
    </row>
    <row r="398" customFormat="false" ht="14.25" hidden="false" customHeight="false" outlineLevel="0" collapsed="false">
      <c r="A398" s="1" t="n">
        <v>1401</v>
      </c>
      <c r="B398" s="30" t="n">
        <v>43447</v>
      </c>
      <c r="C398" s="29" t="s">
        <v>39</v>
      </c>
      <c r="D398" s="62" t="n">
        <v>50</v>
      </c>
      <c r="E398" s="62" t="n">
        <v>8869.78</v>
      </c>
      <c r="F398" s="62" t="s">
        <v>4</v>
      </c>
      <c r="G398" s="29" t="s">
        <v>29</v>
      </c>
      <c r="H398" s="29" t="s">
        <v>38</v>
      </c>
    </row>
    <row r="399" customFormat="false" ht="14.25" hidden="false" customHeight="false" outlineLevel="0" collapsed="false">
      <c r="A399" s="1" t="n">
        <v>1402</v>
      </c>
      <c r="B399" s="30" t="n">
        <v>43443</v>
      </c>
      <c r="C399" s="29" t="s">
        <v>39</v>
      </c>
      <c r="D399" s="62" t="n">
        <v>45</v>
      </c>
      <c r="E399" s="62" t="n">
        <v>1297.83</v>
      </c>
      <c r="F399" s="62" t="s">
        <v>5</v>
      </c>
      <c r="G399" s="29" t="s">
        <v>22</v>
      </c>
      <c r="H399" s="29" t="s">
        <v>27</v>
      </c>
    </row>
    <row r="400" customFormat="false" ht="14.25" hidden="false" customHeight="false" outlineLevel="0" collapsed="false">
      <c r="A400" s="1" t="n">
        <v>1403</v>
      </c>
      <c r="B400" s="30" t="n">
        <v>43286</v>
      </c>
      <c r="C400" s="29" t="s">
        <v>21</v>
      </c>
      <c r="D400" s="62" t="n">
        <v>12</v>
      </c>
      <c r="E400" s="62" t="n">
        <v>551.75</v>
      </c>
      <c r="F400" s="62" t="s">
        <v>4</v>
      </c>
      <c r="G400" s="29" t="s">
        <v>29</v>
      </c>
      <c r="H400" s="29" t="s">
        <v>41</v>
      </c>
    </row>
    <row r="401" customFormat="false" ht="14.25" hidden="false" customHeight="false" outlineLevel="0" collapsed="false">
      <c r="A401" s="1" t="n">
        <v>1404</v>
      </c>
      <c r="B401" s="30" t="n">
        <v>43457</v>
      </c>
      <c r="C401" s="29" t="s">
        <v>39</v>
      </c>
      <c r="D401" s="62" t="n">
        <v>25</v>
      </c>
      <c r="E401" s="62" t="n">
        <v>3230.77</v>
      </c>
      <c r="F401" s="62" t="s">
        <v>4</v>
      </c>
      <c r="G401" s="29" t="s">
        <v>24</v>
      </c>
      <c r="H401" s="29" t="s">
        <v>42</v>
      </c>
    </row>
    <row r="402" customFormat="false" ht="14.25" hidden="false" customHeight="false" outlineLevel="0" collapsed="false">
      <c r="A402" s="1" t="n">
        <v>1405</v>
      </c>
      <c r="B402" s="30" t="n">
        <v>43268</v>
      </c>
      <c r="C402" s="29" t="s">
        <v>21</v>
      </c>
      <c r="D402" s="62" t="n">
        <v>31</v>
      </c>
      <c r="E402" s="62" t="n">
        <v>302.99</v>
      </c>
      <c r="F402" s="62" t="s">
        <v>5</v>
      </c>
      <c r="G402" s="29" t="s">
        <v>29</v>
      </c>
      <c r="H402" s="29" t="s">
        <v>45</v>
      </c>
    </row>
    <row r="403" customFormat="false" ht="14.25" hidden="false" customHeight="false" outlineLevel="0" collapsed="false">
      <c r="A403" s="1" t="n">
        <v>1406</v>
      </c>
      <c r="B403" s="30" t="n">
        <v>43453</v>
      </c>
      <c r="C403" s="29" t="s">
        <v>31</v>
      </c>
      <c r="D403" s="62" t="n">
        <v>35</v>
      </c>
      <c r="E403" s="62" t="n">
        <v>576.95</v>
      </c>
      <c r="F403" s="62" t="s">
        <v>4</v>
      </c>
      <c r="G403" s="29" t="s">
        <v>22</v>
      </c>
      <c r="H403" s="29" t="s">
        <v>27</v>
      </c>
    </row>
    <row r="404" customFormat="false" ht="14.25" hidden="false" customHeight="false" outlineLevel="0" collapsed="false">
      <c r="A404" s="1" t="n">
        <v>1407</v>
      </c>
      <c r="B404" s="30" t="n">
        <v>43230</v>
      </c>
      <c r="C404" s="29" t="s">
        <v>31</v>
      </c>
      <c r="D404" s="62" t="n">
        <v>36</v>
      </c>
      <c r="E404" s="62" t="n">
        <v>3677.48</v>
      </c>
      <c r="F404" s="62" t="s">
        <v>6</v>
      </c>
      <c r="G404" s="29" t="s">
        <v>22</v>
      </c>
      <c r="H404" s="29" t="s">
        <v>23</v>
      </c>
    </row>
    <row r="405" customFormat="false" ht="14.25" hidden="false" customHeight="false" outlineLevel="0" collapsed="false">
      <c r="A405" s="1" t="n">
        <v>1408</v>
      </c>
      <c r="B405" s="30" t="n">
        <v>43191</v>
      </c>
      <c r="C405" s="29" t="s">
        <v>28</v>
      </c>
      <c r="D405" s="62" t="n">
        <v>32</v>
      </c>
      <c r="E405" s="62" t="n">
        <v>549.7</v>
      </c>
      <c r="F405" s="62" t="s">
        <v>4</v>
      </c>
      <c r="G405" s="29" t="s">
        <v>29</v>
      </c>
      <c r="H405" s="29" t="s">
        <v>34</v>
      </c>
    </row>
    <row r="406" customFormat="false" ht="14.25" hidden="false" customHeight="false" outlineLevel="0" collapsed="false">
      <c r="A406" s="1" t="n">
        <v>1409</v>
      </c>
      <c r="B406" s="30" t="n">
        <v>43191</v>
      </c>
      <c r="C406" s="29" t="s">
        <v>28</v>
      </c>
      <c r="D406" s="62" t="n">
        <v>4</v>
      </c>
      <c r="E406" s="62" t="n">
        <v>39.38</v>
      </c>
      <c r="F406" s="62" t="s">
        <v>4</v>
      </c>
      <c r="G406" s="29" t="s">
        <v>22</v>
      </c>
      <c r="H406" s="29" t="s">
        <v>23</v>
      </c>
    </row>
    <row r="407" customFormat="false" ht="14.25" hidden="false" customHeight="false" outlineLevel="0" collapsed="false">
      <c r="A407" s="1" t="n">
        <v>1410</v>
      </c>
      <c r="B407" s="30" t="n">
        <v>43132</v>
      </c>
      <c r="C407" s="29" t="s">
        <v>31</v>
      </c>
      <c r="D407" s="62" t="n">
        <v>4</v>
      </c>
      <c r="E407" s="62" t="n">
        <v>132.49</v>
      </c>
      <c r="F407" s="62" t="s">
        <v>6</v>
      </c>
      <c r="G407" s="29" t="s">
        <v>22</v>
      </c>
      <c r="H407" s="29" t="s">
        <v>23</v>
      </c>
    </row>
    <row r="408" customFormat="false" ht="14.25" hidden="false" customHeight="false" outlineLevel="0" collapsed="false">
      <c r="A408" s="1" t="n">
        <v>1411</v>
      </c>
      <c r="B408" s="30" t="n">
        <v>43247</v>
      </c>
      <c r="C408" s="29" t="s">
        <v>28</v>
      </c>
      <c r="D408" s="62" t="n">
        <v>14</v>
      </c>
      <c r="E408" s="62" t="n">
        <v>241.25</v>
      </c>
      <c r="F408" s="62" t="s">
        <v>4</v>
      </c>
      <c r="G408" s="29" t="s">
        <v>29</v>
      </c>
      <c r="H408" s="29" t="s">
        <v>38</v>
      </c>
    </row>
    <row r="409" customFormat="false" ht="14.25" hidden="false" customHeight="false" outlineLevel="0" collapsed="false">
      <c r="A409" s="1" t="n">
        <v>1412</v>
      </c>
      <c r="B409" s="30" t="n">
        <v>43247</v>
      </c>
      <c r="C409" s="29" t="s">
        <v>28</v>
      </c>
      <c r="D409" s="62" t="n">
        <v>45</v>
      </c>
      <c r="E409" s="62" t="n">
        <v>180.47</v>
      </c>
      <c r="F409" s="62" t="s">
        <v>4</v>
      </c>
      <c r="G409" s="29" t="s">
        <v>29</v>
      </c>
      <c r="H409" s="29" t="s">
        <v>41</v>
      </c>
    </row>
    <row r="410" customFormat="false" ht="14.25" hidden="false" customHeight="false" outlineLevel="0" collapsed="false">
      <c r="A410" s="1" t="n">
        <v>1413</v>
      </c>
      <c r="B410" s="30" t="n">
        <v>43247</v>
      </c>
      <c r="C410" s="29" t="s">
        <v>28</v>
      </c>
      <c r="D410" s="62" t="n">
        <v>36</v>
      </c>
      <c r="E410" s="62" t="n">
        <v>224.2</v>
      </c>
      <c r="F410" s="62" t="s">
        <v>4</v>
      </c>
      <c r="G410" s="29" t="s">
        <v>29</v>
      </c>
      <c r="H410" s="29" t="s">
        <v>36</v>
      </c>
    </row>
    <row r="411" customFormat="false" ht="14.25" hidden="false" customHeight="false" outlineLevel="0" collapsed="false">
      <c r="A411" s="1" t="n">
        <v>1414</v>
      </c>
      <c r="B411" s="30" t="n">
        <v>43387</v>
      </c>
      <c r="C411" s="29" t="s">
        <v>31</v>
      </c>
      <c r="D411" s="62" t="n">
        <v>12</v>
      </c>
      <c r="E411" s="62" t="n">
        <v>23625.03</v>
      </c>
      <c r="F411" s="62" t="s">
        <v>4</v>
      </c>
      <c r="G411" s="29" t="s">
        <v>24</v>
      </c>
      <c r="H411" s="29" t="s">
        <v>42</v>
      </c>
    </row>
    <row r="412" customFormat="false" ht="14.25" hidden="false" customHeight="false" outlineLevel="0" collapsed="false">
      <c r="A412" s="1" t="n">
        <v>1415</v>
      </c>
      <c r="B412" s="30" t="n">
        <v>43411</v>
      </c>
      <c r="C412" s="29" t="s">
        <v>31</v>
      </c>
      <c r="D412" s="62" t="n">
        <v>33</v>
      </c>
      <c r="E412" s="62" t="n">
        <v>257.09</v>
      </c>
      <c r="F412" s="62" t="s">
        <v>6</v>
      </c>
      <c r="G412" s="29" t="s">
        <v>29</v>
      </c>
      <c r="H412" s="29" t="s">
        <v>34</v>
      </c>
    </row>
    <row r="413" customFormat="false" ht="14.25" hidden="false" customHeight="false" outlineLevel="0" collapsed="false">
      <c r="A413" s="1" t="n">
        <v>1416</v>
      </c>
      <c r="B413" s="30" t="n">
        <v>43411</v>
      </c>
      <c r="C413" s="29" t="s">
        <v>31</v>
      </c>
      <c r="D413" s="62" t="n">
        <v>24</v>
      </c>
      <c r="E413" s="62" t="n">
        <v>7278.54</v>
      </c>
      <c r="F413" s="62" t="s">
        <v>6</v>
      </c>
      <c r="G413" s="29" t="s">
        <v>22</v>
      </c>
      <c r="H413" s="29" t="s">
        <v>40</v>
      </c>
    </row>
    <row r="414" customFormat="false" ht="14.25" hidden="false" customHeight="false" outlineLevel="0" collapsed="false">
      <c r="A414" s="1" t="n">
        <v>1417</v>
      </c>
      <c r="B414" s="30" t="n">
        <v>43290</v>
      </c>
      <c r="C414" s="29" t="s">
        <v>31</v>
      </c>
      <c r="D414" s="62" t="n">
        <v>37</v>
      </c>
      <c r="E414" s="62" t="n">
        <v>796.08</v>
      </c>
      <c r="F414" s="62" t="s">
        <v>4</v>
      </c>
      <c r="G414" s="29" t="s">
        <v>24</v>
      </c>
      <c r="H414" s="29" t="s">
        <v>26</v>
      </c>
    </row>
    <row r="415" customFormat="false" ht="14.25" hidden="false" customHeight="false" outlineLevel="0" collapsed="false">
      <c r="A415" s="1" t="n">
        <v>1418</v>
      </c>
      <c r="B415" s="30" t="n">
        <v>43290</v>
      </c>
      <c r="C415" s="29" t="s">
        <v>31</v>
      </c>
      <c r="D415" s="62" t="n">
        <v>12</v>
      </c>
      <c r="E415" s="62" t="n">
        <v>416.09</v>
      </c>
      <c r="F415" s="62" t="s">
        <v>4</v>
      </c>
      <c r="G415" s="29" t="s">
        <v>24</v>
      </c>
      <c r="H415" s="29" t="s">
        <v>25</v>
      </c>
    </row>
    <row r="416" customFormat="false" ht="14.25" hidden="false" customHeight="false" outlineLevel="0" collapsed="false">
      <c r="A416" s="1" t="n">
        <v>1419</v>
      </c>
      <c r="B416" s="30" t="n">
        <v>43150</v>
      </c>
      <c r="C416" s="29" t="s">
        <v>21</v>
      </c>
      <c r="D416" s="62" t="n">
        <v>42</v>
      </c>
      <c r="E416" s="62" t="n">
        <v>1811.04</v>
      </c>
      <c r="F416" s="62" t="s">
        <v>4</v>
      </c>
      <c r="G416" s="29" t="s">
        <v>29</v>
      </c>
      <c r="H416" s="29" t="s">
        <v>41</v>
      </c>
    </row>
    <row r="417" customFormat="false" ht="14.25" hidden="false" customHeight="false" outlineLevel="0" collapsed="false">
      <c r="A417" s="1" t="n">
        <v>1420</v>
      </c>
      <c r="B417" s="30" t="n">
        <v>43150</v>
      </c>
      <c r="C417" s="29" t="s">
        <v>21</v>
      </c>
      <c r="D417" s="62" t="n">
        <v>31</v>
      </c>
      <c r="E417" s="62" t="n">
        <v>3297.02</v>
      </c>
      <c r="F417" s="62" t="s">
        <v>4</v>
      </c>
      <c r="G417" s="29" t="s">
        <v>22</v>
      </c>
      <c r="H417" s="29" t="s">
        <v>44</v>
      </c>
    </row>
    <row r="418" customFormat="false" ht="14.25" hidden="false" customHeight="false" outlineLevel="0" collapsed="false">
      <c r="A418" s="1" t="n">
        <v>1421</v>
      </c>
      <c r="B418" s="30" t="n">
        <v>43266</v>
      </c>
      <c r="C418" s="29" t="s">
        <v>28</v>
      </c>
      <c r="D418" s="62" t="n">
        <v>5</v>
      </c>
      <c r="E418" s="62" t="n">
        <v>75.25</v>
      </c>
      <c r="F418" s="62" t="s">
        <v>5</v>
      </c>
      <c r="G418" s="29" t="s">
        <v>29</v>
      </c>
      <c r="H418" s="29" t="s">
        <v>36</v>
      </c>
    </row>
    <row r="419" customFormat="false" ht="14.25" hidden="false" customHeight="false" outlineLevel="0" collapsed="false">
      <c r="A419" s="1" t="n">
        <v>1422</v>
      </c>
      <c r="B419" s="30" t="n">
        <v>43387</v>
      </c>
      <c r="C419" s="29" t="s">
        <v>37</v>
      </c>
      <c r="D419" s="62" t="n">
        <v>13</v>
      </c>
      <c r="E419" s="62" t="n">
        <v>203.29</v>
      </c>
      <c r="F419" s="62" t="s">
        <v>5</v>
      </c>
      <c r="G419" s="29" t="s">
        <v>29</v>
      </c>
      <c r="H419" s="29" t="s">
        <v>34</v>
      </c>
    </row>
    <row r="420" customFormat="false" ht="14.25" hidden="false" customHeight="false" outlineLevel="0" collapsed="false">
      <c r="A420" s="1" t="n">
        <v>1423</v>
      </c>
      <c r="B420" s="30" t="n">
        <v>43152</v>
      </c>
      <c r="C420" s="29" t="s">
        <v>39</v>
      </c>
      <c r="D420" s="62" t="n">
        <v>2</v>
      </c>
      <c r="E420" s="62" t="n">
        <v>114.62</v>
      </c>
      <c r="F420" s="62" t="s">
        <v>5</v>
      </c>
      <c r="G420" s="29" t="s">
        <v>29</v>
      </c>
      <c r="H420" s="29" t="s">
        <v>36</v>
      </c>
    </row>
    <row r="421" customFormat="false" ht="14.25" hidden="false" customHeight="false" outlineLevel="0" collapsed="false">
      <c r="A421" s="1" t="n">
        <v>1424</v>
      </c>
      <c r="B421" s="30" t="n">
        <v>43152</v>
      </c>
      <c r="C421" s="29" t="s">
        <v>39</v>
      </c>
      <c r="D421" s="62" t="n">
        <v>25</v>
      </c>
      <c r="E421" s="62" t="n">
        <v>723.58</v>
      </c>
      <c r="F421" s="62" t="s">
        <v>5</v>
      </c>
      <c r="G421" s="29" t="s">
        <v>29</v>
      </c>
      <c r="H421" s="29" t="s">
        <v>36</v>
      </c>
    </row>
    <row r="422" customFormat="false" ht="14.25" hidden="false" customHeight="false" outlineLevel="0" collapsed="false">
      <c r="A422" s="1" t="n">
        <v>1425</v>
      </c>
      <c r="B422" s="30" t="n">
        <v>43152</v>
      </c>
      <c r="C422" s="29" t="s">
        <v>39</v>
      </c>
      <c r="D422" s="62" t="n">
        <v>24</v>
      </c>
      <c r="E422" s="62" t="n">
        <v>3925.4</v>
      </c>
      <c r="F422" s="62" t="s">
        <v>5</v>
      </c>
      <c r="G422" s="29" t="s">
        <v>29</v>
      </c>
      <c r="H422" s="29" t="s">
        <v>38</v>
      </c>
    </row>
    <row r="423" customFormat="false" ht="14.25" hidden="false" customHeight="false" outlineLevel="0" collapsed="false">
      <c r="A423" s="1" t="n">
        <v>1426</v>
      </c>
      <c r="B423" s="30" t="n">
        <v>43110</v>
      </c>
      <c r="C423" s="29" t="s">
        <v>39</v>
      </c>
      <c r="D423" s="62" t="n">
        <v>6</v>
      </c>
      <c r="E423" s="62" t="n">
        <v>18.19</v>
      </c>
      <c r="F423" s="62" t="s">
        <v>4</v>
      </c>
      <c r="G423" s="29" t="s">
        <v>29</v>
      </c>
      <c r="H423" s="29" t="s">
        <v>34</v>
      </c>
    </row>
    <row r="424" customFormat="false" ht="14.25" hidden="false" customHeight="false" outlineLevel="0" collapsed="false">
      <c r="A424" s="1" t="n">
        <v>1427</v>
      </c>
      <c r="B424" s="30" t="n">
        <v>43110</v>
      </c>
      <c r="C424" s="29" t="s">
        <v>39</v>
      </c>
      <c r="D424" s="62" t="n">
        <v>21</v>
      </c>
      <c r="E424" s="62" t="n">
        <v>83.05</v>
      </c>
      <c r="F424" s="62" t="s">
        <v>4</v>
      </c>
      <c r="G424" s="29" t="s">
        <v>29</v>
      </c>
      <c r="H424" s="29" t="s">
        <v>30</v>
      </c>
    </row>
    <row r="425" customFormat="false" ht="14.25" hidden="false" customHeight="false" outlineLevel="0" collapsed="false">
      <c r="A425" s="1" t="n">
        <v>1428</v>
      </c>
      <c r="B425" s="30" t="n">
        <v>43110</v>
      </c>
      <c r="C425" s="29" t="s">
        <v>39</v>
      </c>
      <c r="D425" s="62" t="n">
        <v>15</v>
      </c>
      <c r="E425" s="62" t="n">
        <v>72.13</v>
      </c>
      <c r="F425" s="62" t="s">
        <v>4</v>
      </c>
      <c r="G425" s="29" t="s">
        <v>22</v>
      </c>
      <c r="H425" s="29" t="s">
        <v>23</v>
      </c>
    </row>
    <row r="426" customFormat="false" ht="14.25" hidden="false" customHeight="false" outlineLevel="0" collapsed="false">
      <c r="A426" s="1" t="n">
        <v>1429</v>
      </c>
      <c r="B426" s="30" t="n">
        <v>43110</v>
      </c>
      <c r="C426" s="29" t="s">
        <v>39</v>
      </c>
      <c r="D426" s="62" t="n">
        <v>19</v>
      </c>
      <c r="E426" s="62" t="n">
        <v>139.82</v>
      </c>
      <c r="F426" s="62" t="s">
        <v>4</v>
      </c>
      <c r="G426" s="29" t="s">
        <v>29</v>
      </c>
      <c r="H426" s="29" t="s">
        <v>36</v>
      </c>
    </row>
    <row r="427" customFormat="false" ht="14.25" hidden="false" customHeight="false" outlineLevel="0" collapsed="false">
      <c r="A427" s="1" t="n">
        <v>1430</v>
      </c>
      <c r="B427" s="30" t="n">
        <v>43457</v>
      </c>
      <c r="C427" s="29" t="s">
        <v>28</v>
      </c>
      <c r="D427" s="62" t="n">
        <v>20</v>
      </c>
      <c r="E427" s="62" t="n">
        <v>814.52</v>
      </c>
      <c r="F427" s="62" t="s">
        <v>6</v>
      </c>
      <c r="G427" s="29" t="s">
        <v>29</v>
      </c>
      <c r="H427" s="29" t="s">
        <v>45</v>
      </c>
    </row>
    <row r="428" customFormat="false" ht="14.25" hidden="false" customHeight="false" outlineLevel="0" collapsed="false">
      <c r="A428" s="1" t="n">
        <v>1431</v>
      </c>
      <c r="B428" s="30" t="n">
        <v>43169</v>
      </c>
      <c r="C428" s="29" t="s">
        <v>28</v>
      </c>
      <c r="D428" s="62" t="n">
        <v>6</v>
      </c>
      <c r="E428" s="62" t="n">
        <v>136.41</v>
      </c>
      <c r="F428" s="62" t="s">
        <v>4</v>
      </c>
      <c r="G428" s="29" t="s">
        <v>24</v>
      </c>
      <c r="H428" s="29" t="s">
        <v>26</v>
      </c>
    </row>
    <row r="429" customFormat="false" ht="14.25" hidden="false" customHeight="false" outlineLevel="0" collapsed="false">
      <c r="A429" s="1" t="n">
        <v>1432</v>
      </c>
      <c r="B429" s="30" t="n">
        <v>43159</v>
      </c>
      <c r="C429" s="29" t="s">
        <v>31</v>
      </c>
      <c r="D429" s="62" t="n">
        <v>31</v>
      </c>
      <c r="E429" s="62" t="n">
        <v>57.06</v>
      </c>
      <c r="F429" s="62" t="s">
        <v>3</v>
      </c>
      <c r="G429" s="29" t="s">
        <v>29</v>
      </c>
      <c r="H429" s="29" t="s">
        <v>30</v>
      </c>
    </row>
    <row r="430" customFormat="false" ht="14.25" hidden="false" customHeight="false" outlineLevel="0" collapsed="false">
      <c r="A430" s="1" t="n">
        <v>1433</v>
      </c>
      <c r="B430" s="30" t="n">
        <v>43159</v>
      </c>
      <c r="C430" s="29" t="s">
        <v>31</v>
      </c>
      <c r="D430" s="62" t="n">
        <v>2</v>
      </c>
      <c r="E430" s="62" t="n">
        <v>10.03</v>
      </c>
      <c r="F430" s="62" t="s">
        <v>3</v>
      </c>
      <c r="G430" s="29" t="s">
        <v>29</v>
      </c>
      <c r="H430" s="29" t="s">
        <v>36</v>
      </c>
    </row>
    <row r="431" customFormat="false" ht="14.25" hidden="false" customHeight="false" outlineLevel="0" collapsed="false">
      <c r="A431" s="1" t="n">
        <v>1434</v>
      </c>
      <c r="B431" s="30" t="n">
        <v>43376</v>
      </c>
      <c r="C431" s="29" t="s">
        <v>28</v>
      </c>
      <c r="D431" s="62" t="n">
        <v>46</v>
      </c>
      <c r="E431" s="62" t="n">
        <v>491.41</v>
      </c>
      <c r="F431" s="62" t="s">
        <v>6</v>
      </c>
      <c r="G431" s="29" t="s">
        <v>29</v>
      </c>
      <c r="H431" s="29" t="s">
        <v>32</v>
      </c>
    </row>
    <row r="432" customFormat="false" ht="14.25" hidden="false" customHeight="false" outlineLevel="0" collapsed="false">
      <c r="A432" s="1" t="n">
        <v>1435</v>
      </c>
      <c r="B432" s="30" t="n">
        <v>43298</v>
      </c>
      <c r="C432" s="29" t="s">
        <v>28</v>
      </c>
      <c r="D432" s="62" t="n">
        <v>31</v>
      </c>
      <c r="E432" s="62" t="n">
        <v>226.36</v>
      </c>
      <c r="F432" s="62" t="s">
        <v>4</v>
      </c>
      <c r="G432" s="29" t="s">
        <v>29</v>
      </c>
      <c r="H432" s="29" t="s">
        <v>36</v>
      </c>
    </row>
    <row r="433" customFormat="false" ht="14.25" hidden="false" customHeight="false" outlineLevel="0" collapsed="false">
      <c r="A433" s="1" t="n">
        <v>1436</v>
      </c>
      <c r="B433" s="30" t="n">
        <v>43298</v>
      </c>
      <c r="C433" s="29" t="s">
        <v>28</v>
      </c>
      <c r="D433" s="62" t="n">
        <v>39</v>
      </c>
      <c r="E433" s="62" t="n">
        <v>151.39</v>
      </c>
      <c r="F433" s="62" t="s">
        <v>4</v>
      </c>
      <c r="G433" s="29" t="s">
        <v>29</v>
      </c>
      <c r="H433" s="29" t="s">
        <v>35</v>
      </c>
    </row>
    <row r="434" customFormat="false" ht="14.25" hidden="false" customHeight="false" outlineLevel="0" collapsed="false">
      <c r="A434" s="1" t="n">
        <v>1437</v>
      </c>
      <c r="B434" s="30" t="n">
        <v>43427</v>
      </c>
      <c r="C434" s="29" t="s">
        <v>21</v>
      </c>
      <c r="D434" s="62" t="n">
        <v>49</v>
      </c>
      <c r="E434" s="62" t="n">
        <v>1227.97</v>
      </c>
      <c r="F434" s="62" t="s">
        <v>4</v>
      </c>
      <c r="G434" s="29" t="s">
        <v>29</v>
      </c>
      <c r="H434" s="29" t="s">
        <v>41</v>
      </c>
    </row>
    <row r="435" customFormat="false" ht="14.25" hidden="false" customHeight="false" outlineLevel="0" collapsed="false">
      <c r="A435" s="1" t="n">
        <v>1438</v>
      </c>
      <c r="B435" s="30" t="n">
        <v>43447</v>
      </c>
      <c r="C435" s="29" t="s">
        <v>28</v>
      </c>
      <c r="D435" s="62" t="n">
        <v>34</v>
      </c>
      <c r="E435" s="62" t="n">
        <v>3827.51</v>
      </c>
      <c r="F435" s="62" t="s">
        <v>4</v>
      </c>
      <c r="G435" s="29" t="s">
        <v>22</v>
      </c>
      <c r="H435" s="29" t="s">
        <v>44</v>
      </c>
    </row>
    <row r="436" customFormat="false" ht="14.25" hidden="false" customHeight="false" outlineLevel="0" collapsed="false">
      <c r="A436" s="1" t="n">
        <v>1439</v>
      </c>
      <c r="B436" s="30" t="n">
        <v>43391</v>
      </c>
      <c r="C436" s="29" t="s">
        <v>28</v>
      </c>
      <c r="D436" s="62" t="n">
        <v>45</v>
      </c>
      <c r="E436" s="62" t="n">
        <v>6768.45</v>
      </c>
      <c r="F436" s="62" t="s">
        <v>3</v>
      </c>
      <c r="G436" s="29" t="s">
        <v>22</v>
      </c>
      <c r="H436" s="29" t="s">
        <v>40</v>
      </c>
    </row>
    <row r="437" customFormat="false" ht="14.25" hidden="false" customHeight="false" outlineLevel="0" collapsed="false">
      <c r="A437" s="1" t="n">
        <v>1440</v>
      </c>
      <c r="B437" s="30" t="n">
        <v>43391</v>
      </c>
      <c r="C437" s="29" t="s">
        <v>28</v>
      </c>
      <c r="D437" s="62" t="n">
        <v>2</v>
      </c>
      <c r="E437" s="62" t="n">
        <v>407.26</v>
      </c>
      <c r="F437" s="62" t="s">
        <v>3</v>
      </c>
      <c r="G437" s="29" t="s">
        <v>22</v>
      </c>
      <c r="H437" s="29" t="s">
        <v>27</v>
      </c>
    </row>
    <row r="438" customFormat="false" ht="14.25" hidden="false" customHeight="false" outlineLevel="0" collapsed="false">
      <c r="A438" s="1" t="n">
        <v>1441</v>
      </c>
      <c r="B438" s="30" t="n">
        <v>43391</v>
      </c>
      <c r="C438" s="29" t="s">
        <v>28</v>
      </c>
      <c r="D438" s="62" t="n">
        <v>43</v>
      </c>
      <c r="E438" s="62" t="n">
        <v>25929.89</v>
      </c>
      <c r="F438" s="62" t="s">
        <v>3</v>
      </c>
      <c r="G438" s="29" t="s">
        <v>24</v>
      </c>
      <c r="H438" s="29" t="s">
        <v>43</v>
      </c>
    </row>
    <row r="439" customFormat="false" ht="14.25" hidden="false" customHeight="false" outlineLevel="0" collapsed="false">
      <c r="A439" s="1" t="n">
        <v>1442</v>
      </c>
      <c r="B439" s="30" t="n">
        <v>43377</v>
      </c>
      <c r="C439" s="29" t="s">
        <v>39</v>
      </c>
      <c r="D439" s="62" t="n">
        <v>12</v>
      </c>
      <c r="E439" s="62" t="n">
        <v>537.15</v>
      </c>
      <c r="F439" s="62" t="s">
        <v>4</v>
      </c>
      <c r="G439" s="29" t="s">
        <v>22</v>
      </c>
      <c r="H439" s="29" t="s">
        <v>23</v>
      </c>
    </row>
    <row r="440" customFormat="false" ht="14.25" hidden="false" customHeight="false" outlineLevel="0" collapsed="false">
      <c r="A440" s="1" t="n">
        <v>1443</v>
      </c>
      <c r="B440" s="30" t="n">
        <v>43328</v>
      </c>
      <c r="C440" s="29" t="s">
        <v>37</v>
      </c>
      <c r="D440" s="62" t="n">
        <v>41</v>
      </c>
      <c r="E440" s="62" t="n">
        <v>11464.81</v>
      </c>
      <c r="F440" s="62" t="s">
        <v>3</v>
      </c>
      <c r="G440" s="29" t="s">
        <v>22</v>
      </c>
      <c r="H440" s="29" t="s">
        <v>27</v>
      </c>
    </row>
    <row r="441" customFormat="false" ht="14.25" hidden="false" customHeight="false" outlineLevel="0" collapsed="false">
      <c r="A441" s="1" t="n">
        <v>1444</v>
      </c>
      <c r="B441" s="30" t="n">
        <v>43398</v>
      </c>
      <c r="C441" s="29" t="s">
        <v>31</v>
      </c>
      <c r="D441" s="62" t="n">
        <v>26</v>
      </c>
      <c r="E441" s="62" t="n">
        <v>113.45</v>
      </c>
      <c r="F441" s="62" t="s">
        <v>5</v>
      </c>
      <c r="G441" s="29" t="s">
        <v>29</v>
      </c>
      <c r="H441" s="29" t="s">
        <v>35</v>
      </c>
    </row>
    <row r="442" customFormat="false" ht="14.25" hidden="false" customHeight="false" outlineLevel="0" collapsed="false">
      <c r="A442" s="1" t="n">
        <v>1445</v>
      </c>
      <c r="B442" s="30" t="n">
        <v>43199</v>
      </c>
      <c r="C442" s="29" t="s">
        <v>31</v>
      </c>
      <c r="D442" s="62" t="n">
        <v>16</v>
      </c>
      <c r="E442" s="62" t="n">
        <v>50.77</v>
      </c>
      <c r="F442" s="62" t="s">
        <v>4</v>
      </c>
      <c r="G442" s="29" t="s">
        <v>29</v>
      </c>
      <c r="H442" s="29" t="s">
        <v>34</v>
      </c>
    </row>
    <row r="443" customFormat="false" ht="14.25" hidden="false" customHeight="false" outlineLevel="0" collapsed="false">
      <c r="A443" s="1" t="n">
        <v>1446</v>
      </c>
      <c r="B443" s="30" t="n">
        <v>43199</v>
      </c>
      <c r="C443" s="29" t="s">
        <v>31</v>
      </c>
      <c r="D443" s="62" t="n">
        <v>13</v>
      </c>
      <c r="E443" s="62" t="n">
        <v>602.6</v>
      </c>
      <c r="F443" s="62" t="s">
        <v>4</v>
      </c>
      <c r="G443" s="29" t="s">
        <v>29</v>
      </c>
      <c r="H443" s="29" t="s">
        <v>41</v>
      </c>
    </row>
    <row r="444" customFormat="false" ht="14.25" hidden="false" customHeight="false" outlineLevel="0" collapsed="false">
      <c r="A444" s="1" t="n">
        <v>1447</v>
      </c>
      <c r="B444" s="30" t="n">
        <v>43207</v>
      </c>
      <c r="C444" s="29" t="s">
        <v>21</v>
      </c>
      <c r="D444" s="62" t="n">
        <v>27</v>
      </c>
      <c r="E444" s="62" t="n">
        <v>161.98</v>
      </c>
      <c r="F444" s="62" t="s">
        <v>3</v>
      </c>
      <c r="G444" s="29" t="s">
        <v>29</v>
      </c>
      <c r="H444" s="29" t="s">
        <v>45</v>
      </c>
    </row>
    <row r="445" customFormat="false" ht="14.25" hidden="false" customHeight="false" outlineLevel="0" collapsed="false">
      <c r="A445" s="1" t="n">
        <v>1448</v>
      </c>
      <c r="B445" s="30" t="n">
        <v>43207</v>
      </c>
      <c r="C445" s="29" t="s">
        <v>21</v>
      </c>
      <c r="D445" s="62" t="n">
        <v>46</v>
      </c>
      <c r="E445" s="62" t="n">
        <v>1951.82</v>
      </c>
      <c r="F445" s="62" t="s">
        <v>3</v>
      </c>
      <c r="G445" s="29" t="s">
        <v>24</v>
      </c>
      <c r="H445" s="29" t="s">
        <v>26</v>
      </c>
    </row>
    <row r="446" customFormat="false" ht="14.25" hidden="false" customHeight="false" outlineLevel="0" collapsed="false">
      <c r="A446" s="1" t="n">
        <v>1449</v>
      </c>
      <c r="B446" s="30" t="n">
        <v>43372</v>
      </c>
      <c r="C446" s="29" t="s">
        <v>21</v>
      </c>
      <c r="D446" s="62" t="n">
        <v>49</v>
      </c>
      <c r="E446" s="62" t="n">
        <v>730.56</v>
      </c>
      <c r="F446" s="62" t="s">
        <v>3</v>
      </c>
      <c r="G446" s="29" t="s">
        <v>24</v>
      </c>
      <c r="H446" s="29" t="s">
        <v>26</v>
      </c>
    </row>
    <row r="447" customFormat="false" ht="14.25" hidden="false" customHeight="false" outlineLevel="0" collapsed="false">
      <c r="A447" s="1" t="n">
        <v>1450</v>
      </c>
      <c r="B447" s="30" t="n">
        <v>43352</v>
      </c>
      <c r="C447" s="29" t="s">
        <v>39</v>
      </c>
      <c r="D447" s="62" t="n">
        <v>6</v>
      </c>
      <c r="E447" s="62" t="n">
        <v>223.63</v>
      </c>
      <c r="F447" s="62" t="s">
        <v>6</v>
      </c>
      <c r="G447" s="29" t="s">
        <v>29</v>
      </c>
      <c r="H447" s="29" t="s">
        <v>36</v>
      </c>
    </row>
    <row r="448" customFormat="false" ht="14.25" hidden="false" customHeight="false" outlineLevel="0" collapsed="false">
      <c r="A448" s="1" t="n">
        <v>1451</v>
      </c>
      <c r="B448" s="30" t="n">
        <v>43228</v>
      </c>
      <c r="C448" s="29" t="s">
        <v>21</v>
      </c>
      <c r="D448" s="62" t="n">
        <v>26</v>
      </c>
      <c r="E448" s="62" t="n">
        <v>3870.87</v>
      </c>
      <c r="F448" s="62" t="s">
        <v>4</v>
      </c>
      <c r="G448" s="29" t="s">
        <v>22</v>
      </c>
      <c r="H448" s="29" t="s">
        <v>27</v>
      </c>
    </row>
    <row r="449" customFormat="false" ht="14.25" hidden="false" customHeight="false" outlineLevel="0" collapsed="false">
      <c r="A449" s="1" t="n">
        <v>1452</v>
      </c>
      <c r="B449" s="30" t="n">
        <v>43293</v>
      </c>
      <c r="C449" s="29" t="s">
        <v>37</v>
      </c>
      <c r="D449" s="62" t="n">
        <v>31</v>
      </c>
      <c r="E449" s="62" t="n">
        <v>132.61</v>
      </c>
      <c r="F449" s="62" t="s">
        <v>5</v>
      </c>
      <c r="G449" s="29" t="s">
        <v>29</v>
      </c>
      <c r="H449" s="29" t="s">
        <v>30</v>
      </c>
    </row>
    <row r="450" customFormat="false" ht="14.25" hidden="false" customHeight="false" outlineLevel="0" collapsed="false">
      <c r="A450" s="1" t="n">
        <v>1453</v>
      </c>
      <c r="B450" s="30" t="n">
        <v>43199</v>
      </c>
      <c r="C450" s="29" t="s">
        <v>28</v>
      </c>
      <c r="D450" s="62" t="n">
        <v>37</v>
      </c>
      <c r="E450" s="62" t="n">
        <v>1394.2</v>
      </c>
      <c r="F450" s="62" t="s">
        <v>6</v>
      </c>
      <c r="G450" s="29" t="s">
        <v>29</v>
      </c>
      <c r="H450" s="29" t="s">
        <v>36</v>
      </c>
    </row>
    <row r="451" customFormat="false" ht="14.25" hidden="false" customHeight="false" outlineLevel="0" collapsed="false">
      <c r="A451" s="1" t="n">
        <v>1454</v>
      </c>
      <c r="B451" s="30" t="n">
        <v>43199</v>
      </c>
      <c r="C451" s="29" t="s">
        <v>28</v>
      </c>
      <c r="D451" s="62" t="n">
        <v>30</v>
      </c>
      <c r="E451" s="62" t="n">
        <v>536.41</v>
      </c>
      <c r="F451" s="62" t="s">
        <v>6</v>
      </c>
      <c r="G451" s="29" t="s">
        <v>29</v>
      </c>
      <c r="H451" s="29" t="s">
        <v>34</v>
      </c>
    </row>
    <row r="452" customFormat="false" ht="14.25" hidden="false" customHeight="false" outlineLevel="0" collapsed="false">
      <c r="A452" s="1" t="n">
        <v>1455</v>
      </c>
      <c r="B452" s="30" t="n">
        <v>43199</v>
      </c>
      <c r="C452" s="29" t="s">
        <v>28</v>
      </c>
      <c r="D452" s="62" t="n">
        <v>23</v>
      </c>
      <c r="E452" s="62" t="n">
        <v>294.42</v>
      </c>
      <c r="F452" s="62" t="s">
        <v>6</v>
      </c>
      <c r="G452" s="29" t="s">
        <v>29</v>
      </c>
      <c r="H452" s="29" t="s">
        <v>36</v>
      </c>
    </row>
    <row r="453" customFormat="false" ht="14.25" hidden="false" customHeight="false" outlineLevel="0" collapsed="false">
      <c r="A453" s="1" t="n">
        <v>1456</v>
      </c>
      <c r="B453" s="30" t="n">
        <v>43346</v>
      </c>
      <c r="C453" s="29" t="s">
        <v>37</v>
      </c>
      <c r="D453" s="62" t="n">
        <v>49</v>
      </c>
      <c r="E453" s="62" t="n">
        <v>13887.64</v>
      </c>
      <c r="F453" s="62" t="s">
        <v>6</v>
      </c>
      <c r="G453" s="29" t="s">
        <v>22</v>
      </c>
      <c r="H453" s="29" t="s">
        <v>40</v>
      </c>
    </row>
    <row r="454" customFormat="false" ht="14.25" hidden="false" customHeight="false" outlineLevel="0" collapsed="false">
      <c r="A454" s="1" t="n">
        <v>1457</v>
      </c>
      <c r="B454" s="30" t="n">
        <v>43250</v>
      </c>
      <c r="C454" s="29" t="s">
        <v>31</v>
      </c>
      <c r="D454" s="62" t="n">
        <v>32</v>
      </c>
      <c r="E454" s="62" t="n">
        <v>407.93</v>
      </c>
      <c r="F454" s="62" t="s">
        <v>3</v>
      </c>
      <c r="G454" s="29" t="s">
        <v>29</v>
      </c>
      <c r="H454" s="29" t="s">
        <v>36</v>
      </c>
    </row>
    <row r="455" customFormat="false" ht="14.25" hidden="false" customHeight="false" outlineLevel="0" collapsed="false">
      <c r="A455" s="1" t="n">
        <v>1458</v>
      </c>
      <c r="B455" s="30" t="n">
        <v>43383</v>
      </c>
      <c r="C455" s="29" t="s">
        <v>21</v>
      </c>
      <c r="D455" s="62" t="n">
        <v>46</v>
      </c>
      <c r="E455" s="62" t="n">
        <v>2039.2</v>
      </c>
      <c r="F455" s="62" t="s">
        <v>3</v>
      </c>
      <c r="G455" s="29" t="s">
        <v>24</v>
      </c>
      <c r="H455" s="29" t="s">
        <v>26</v>
      </c>
    </row>
    <row r="456" customFormat="false" ht="14.25" hidden="false" customHeight="false" outlineLevel="0" collapsed="false">
      <c r="A456" s="1" t="n">
        <v>1459</v>
      </c>
      <c r="B456" s="30" t="n">
        <v>43165</v>
      </c>
      <c r="C456" s="29" t="s">
        <v>21</v>
      </c>
      <c r="D456" s="62" t="n">
        <v>12</v>
      </c>
      <c r="E456" s="62" t="n">
        <v>28.94</v>
      </c>
      <c r="F456" s="62" t="s">
        <v>4</v>
      </c>
      <c r="G456" s="29" t="s">
        <v>29</v>
      </c>
      <c r="H456" s="29" t="s">
        <v>30</v>
      </c>
    </row>
    <row r="457" customFormat="false" ht="14.25" hidden="false" customHeight="false" outlineLevel="0" collapsed="false">
      <c r="A457" s="1" t="n">
        <v>1460</v>
      </c>
      <c r="B457" s="30" t="n">
        <v>43315</v>
      </c>
      <c r="C457" s="29" t="s">
        <v>21</v>
      </c>
      <c r="D457" s="62" t="n">
        <v>22</v>
      </c>
      <c r="E457" s="62" t="n">
        <v>8793.43</v>
      </c>
      <c r="F457" s="62" t="s">
        <v>5</v>
      </c>
      <c r="G457" s="29" t="s">
        <v>22</v>
      </c>
      <c r="H457" s="29" t="s">
        <v>27</v>
      </c>
    </row>
    <row r="458" customFormat="false" ht="14.25" hidden="false" customHeight="false" outlineLevel="0" collapsed="false">
      <c r="A458" s="1" t="n">
        <v>1461</v>
      </c>
      <c r="B458" s="30" t="n">
        <v>43381</v>
      </c>
      <c r="C458" s="29" t="s">
        <v>21</v>
      </c>
      <c r="D458" s="62" t="n">
        <v>1</v>
      </c>
      <c r="E458" s="62" t="n">
        <v>42.91</v>
      </c>
      <c r="F458" s="62" t="s">
        <v>6</v>
      </c>
      <c r="G458" s="29" t="s">
        <v>29</v>
      </c>
      <c r="H458" s="29" t="s">
        <v>34</v>
      </c>
    </row>
    <row r="459" customFormat="false" ht="14.25" hidden="false" customHeight="false" outlineLevel="0" collapsed="false">
      <c r="A459" s="1" t="n">
        <v>1462</v>
      </c>
      <c r="B459" s="30" t="n">
        <v>43381</v>
      </c>
      <c r="C459" s="29" t="s">
        <v>21</v>
      </c>
      <c r="D459" s="62" t="n">
        <v>42</v>
      </c>
      <c r="E459" s="62" t="n">
        <v>1513.03</v>
      </c>
      <c r="F459" s="62" t="s">
        <v>6</v>
      </c>
      <c r="G459" s="29" t="s">
        <v>29</v>
      </c>
      <c r="H459" s="29" t="s">
        <v>34</v>
      </c>
    </row>
    <row r="460" customFormat="false" ht="14.25" hidden="false" customHeight="false" outlineLevel="0" collapsed="false">
      <c r="A460" s="1" t="n">
        <v>1463</v>
      </c>
      <c r="B460" s="30" t="n">
        <v>43227</v>
      </c>
      <c r="C460" s="29" t="s">
        <v>21</v>
      </c>
      <c r="D460" s="62" t="n">
        <v>35</v>
      </c>
      <c r="E460" s="62" t="n">
        <v>1154.08</v>
      </c>
      <c r="F460" s="62" t="s">
        <v>4</v>
      </c>
      <c r="G460" s="29" t="s">
        <v>24</v>
      </c>
      <c r="H460" s="29" t="s">
        <v>26</v>
      </c>
    </row>
    <row r="461" customFormat="false" ht="14.25" hidden="false" customHeight="false" outlineLevel="0" collapsed="false">
      <c r="A461" s="1" t="n">
        <v>1464</v>
      </c>
      <c r="B461" s="30" t="n">
        <v>43327</v>
      </c>
      <c r="C461" s="29" t="s">
        <v>31</v>
      </c>
      <c r="D461" s="62" t="n">
        <v>4</v>
      </c>
      <c r="E461" s="62" t="n">
        <v>15.78</v>
      </c>
      <c r="F461" s="62" t="s">
        <v>5</v>
      </c>
      <c r="G461" s="29" t="s">
        <v>29</v>
      </c>
      <c r="H461" s="29" t="s">
        <v>33</v>
      </c>
    </row>
    <row r="462" customFormat="false" ht="14.25" hidden="false" customHeight="false" outlineLevel="0" collapsed="false">
      <c r="A462" s="1" t="n">
        <v>1465</v>
      </c>
      <c r="B462" s="30" t="n">
        <v>43352</v>
      </c>
      <c r="C462" s="29" t="s">
        <v>21</v>
      </c>
      <c r="D462" s="62" t="n">
        <v>5</v>
      </c>
      <c r="E462" s="62" t="n">
        <v>558.6</v>
      </c>
      <c r="F462" s="62" t="s">
        <v>3</v>
      </c>
      <c r="G462" s="29" t="s">
        <v>22</v>
      </c>
      <c r="H462" s="29" t="s">
        <v>23</v>
      </c>
    </row>
    <row r="463" customFormat="false" ht="14.25" hidden="false" customHeight="false" outlineLevel="0" collapsed="false">
      <c r="A463" s="1" t="n">
        <v>1466</v>
      </c>
      <c r="B463" s="30" t="n">
        <v>43352</v>
      </c>
      <c r="C463" s="29" t="s">
        <v>21</v>
      </c>
      <c r="D463" s="62" t="n">
        <v>37</v>
      </c>
      <c r="E463" s="62" t="n">
        <v>1303.35</v>
      </c>
      <c r="F463" s="62" t="s">
        <v>3</v>
      </c>
      <c r="G463" s="29" t="s">
        <v>29</v>
      </c>
      <c r="H463" s="29" t="s">
        <v>30</v>
      </c>
    </row>
    <row r="464" customFormat="false" ht="14.25" hidden="false" customHeight="false" outlineLevel="0" collapsed="false">
      <c r="A464" s="1" t="n">
        <v>1467</v>
      </c>
      <c r="B464" s="30" t="n">
        <v>43315</v>
      </c>
      <c r="C464" s="29" t="s">
        <v>28</v>
      </c>
      <c r="D464" s="62" t="n">
        <v>10</v>
      </c>
      <c r="E464" s="62" t="n">
        <v>996.33</v>
      </c>
      <c r="F464" s="62" t="s">
        <v>6</v>
      </c>
      <c r="G464" s="29" t="s">
        <v>24</v>
      </c>
      <c r="H464" s="29" t="s">
        <v>25</v>
      </c>
    </row>
    <row r="465" customFormat="false" ht="14.25" hidden="false" customHeight="false" outlineLevel="0" collapsed="false">
      <c r="A465" s="1" t="n">
        <v>1468</v>
      </c>
      <c r="B465" s="30" t="n">
        <v>43145</v>
      </c>
      <c r="C465" s="29" t="s">
        <v>28</v>
      </c>
      <c r="D465" s="62" t="n">
        <v>39</v>
      </c>
      <c r="E465" s="62" t="n">
        <v>5065.25</v>
      </c>
      <c r="F465" s="62" t="s">
        <v>4</v>
      </c>
      <c r="G465" s="29" t="s">
        <v>24</v>
      </c>
      <c r="H465" s="29" t="s">
        <v>42</v>
      </c>
    </row>
    <row r="466" customFormat="false" ht="14.25" hidden="false" customHeight="false" outlineLevel="0" collapsed="false">
      <c r="A466" s="1" t="n">
        <v>1469</v>
      </c>
      <c r="B466" s="30" t="n">
        <v>43245</v>
      </c>
      <c r="C466" s="29" t="s">
        <v>28</v>
      </c>
      <c r="D466" s="62" t="n">
        <v>44</v>
      </c>
      <c r="E466" s="62" t="n">
        <v>881.28</v>
      </c>
      <c r="F466" s="62" t="s">
        <v>4</v>
      </c>
      <c r="G466" s="29" t="s">
        <v>22</v>
      </c>
      <c r="H466" s="29" t="s">
        <v>23</v>
      </c>
    </row>
    <row r="467" customFormat="false" ht="14.25" hidden="false" customHeight="false" outlineLevel="0" collapsed="false">
      <c r="A467" s="1" t="n">
        <v>1470</v>
      </c>
      <c r="B467" s="30" t="n">
        <v>43245</v>
      </c>
      <c r="C467" s="29" t="s">
        <v>28</v>
      </c>
      <c r="D467" s="62" t="n">
        <v>42</v>
      </c>
      <c r="E467" s="62" t="n">
        <v>306.8</v>
      </c>
      <c r="F467" s="62" t="s">
        <v>4</v>
      </c>
      <c r="G467" s="29" t="s">
        <v>29</v>
      </c>
      <c r="H467" s="29" t="s">
        <v>36</v>
      </c>
    </row>
    <row r="468" customFormat="false" ht="14.25" hidden="false" customHeight="false" outlineLevel="0" collapsed="false">
      <c r="A468" s="1" t="n">
        <v>1471</v>
      </c>
      <c r="B468" s="30" t="n">
        <v>43274</v>
      </c>
      <c r="C468" s="29" t="s">
        <v>28</v>
      </c>
      <c r="D468" s="62" t="n">
        <v>46</v>
      </c>
      <c r="E468" s="62" t="n">
        <v>1778.88</v>
      </c>
      <c r="F468" s="62" t="s">
        <v>3</v>
      </c>
      <c r="G468" s="29" t="s">
        <v>29</v>
      </c>
      <c r="H468" s="29" t="s">
        <v>30</v>
      </c>
    </row>
    <row r="469" customFormat="false" ht="14.25" hidden="false" customHeight="false" outlineLevel="0" collapsed="false">
      <c r="A469" s="1" t="n">
        <v>1472</v>
      </c>
      <c r="B469" s="30" t="n">
        <v>43274</v>
      </c>
      <c r="C469" s="29" t="s">
        <v>28</v>
      </c>
      <c r="D469" s="62" t="n">
        <v>44</v>
      </c>
      <c r="E469" s="62" t="n">
        <v>898.48</v>
      </c>
      <c r="F469" s="62" t="s">
        <v>3</v>
      </c>
      <c r="G469" s="29" t="s">
        <v>29</v>
      </c>
      <c r="H469" s="29" t="s">
        <v>36</v>
      </c>
    </row>
    <row r="470" customFormat="false" ht="14.25" hidden="false" customHeight="false" outlineLevel="0" collapsed="false">
      <c r="A470" s="1" t="n">
        <v>1473</v>
      </c>
      <c r="B470" s="30" t="n">
        <v>43135</v>
      </c>
      <c r="C470" s="29" t="s">
        <v>28</v>
      </c>
      <c r="D470" s="62" t="n">
        <v>14</v>
      </c>
      <c r="E470" s="62" t="n">
        <v>469.16</v>
      </c>
      <c r="F470" s="62" t="s">
        <v>4</v>
      </c>
      <c r="G470" s="29" t="s">
        <v>29</v>
      </c>
      <c r="H470" s="29" t="s">
        <v>34</v>
      </c>
    </row>
    <row r="471" customFormat="false" ht="14.25" hidden="false" customHeight="false" outlineLevel="0" collapsed="false">
      <c r="A471" s="1" t="n">
        <v>1474</v>
      </c>
      <c r="B471" s="30" t="n">
        <v>43435</v>
      </c>
      <c r="C471" s="29" t="s">
        <v>31</v>
      </c>
      <c r="D471" s="62" t="n">
        <v>31</v>
      </c>
      <c r="E471" s="62" t="n">
        <v>1019.76</v>
      </c>
      <c r="F471" s="62" t="s">
        <v>4</v>
      </c>
      <c r="G471" s="29" t="s">
        <v>24</v>
      </c>
      <c r="H471" s="29" t="s">
        <v>25</v>
      </c>
    </row>
    <row r="472" customFormat="false" ht="14.25" hidden="false" customHeight="false" outlineLevel="0" collapsed="false">
      <c r="A472" s="1" t="n">
        <v>1475</v>
      </c>
      <c r="B472" s="30" t="n">
        <v>43419</v>
      </c>
      <c r="C472" s="29" t="s">
        <v>21</v>
      </c>
      <c r="D472" s="62" t="n">
        <v>48</v>
      </c>
      <c r="E472" s="62" t="n">
        <v>5499.67</v>
      </c>
      <c r="F472" s="62" t="s">
        <v>4</v>
      </c>
      <c r="G472" s="29" t="s">
        <v>24</v>
      </c>
      <c r="H472" s="29" t="s">
        <v>25</v>
      </c>
    </row>
    <row r="473" customFormat="false" ht="14.25" hidden="false" customHeight="false" outlineLevel="0" collapsed="false">
      <c r="A473" s="1" t="n">
        <v>1476</v>
      </c>
      <c r="B473" s="30" t="n">
        <v>43419</v>
      </c>
      <c r="C473" s="29" t="s">
        <v>21</v>
      </c>
      <c r="D473" s="62" t="n">
        <v>24</v>
      </c>
      <c r="E473" s="62" t="n">
        <v>42.47</v>
      </c>
      <c r="F473" s="62" t="s">
        <v>4</v>
      </c>
      <c r="G473" s="29" t="s">
        <v>29</v>
      </c>
      <c r="H473" s="29" t="s">
        <v>30</v>
      </c>
    </row>
    <row r="474" customFormat="false" ht="14.25" hidden="false" customHeight="false" outlineLevel="0" collapsed="false">
      <c r="A474" s="1" t="n">
        <v>1477</v>
      </c>
      <c r="B474" s="30" t="n">
        <v>43419</v>
      </c>
      <c r="C474" s="29" t="s">
        <v>21</v>
      </c>
      <c r="D474" s="62" t="n">
        <v>48</v>
      </c>
      <c r="E474" s="62" t="n">
        <v>275.79</v>
      </c>
      <c r="F474" s="62" t="s">
        <v>4</v>
      </c>
      <c r="G474" s="29" t="s">
        <v>29</v>
      </c>
      <c r="H474" s="29" t="s">
        <v>36</v>
      </c>
    </row>
    <row r="475" customFormat="false" ht="14.25" hidden="false" customHeight="false" outlineLevel="0" collapsed="false">
      <c r="A475" s="1" t="n">
        <v>1478</v>
      </c>
      <c r="B475" s="30" t="n">
        <v>43108</v>
      </c>
      <c r="C475" s="29" t="s">
        <v>31</v>
      </c>
      <c r="D475" s="62" t="n">
        <v>38</v>
      </c>
      <c r="E475" s="62" t="n">
        <v>907.17</v>
      </c>
      <c r="F475" s="62" t="s">
        <v>4</v>
      </c>
      <c r="G475" s="29" t="s">
        <v>29</v>
      </c>
      <c r="H475" s="29" t="s">
        <v>38</v>
      </c>
    </row>
    <row r="476" customFormat="false" ht="14.25" hidden="false" customHeight="false" outlineLevel="0" collapsed="false">
      <c r="A476" s="1" t="n">
        <v>1479</v>
      </c>
      <c r="B476" s="30" t="n">
        <v>43108</v>
      </c>
      <c r="C476" s="29" t="s">
        <v>31</v>
      </c>
      <c r="D476" s="62" t="n">
        <v>39</v>
      </c>
      <c r="E476" s="62" t="n">
        <v>287.77</v>
      </c>
      <c r="F476" s="62" t="s">
        <v>4</v>
      </c>
      <c r="G476" s="29" t="s">
        <v>29</v>
      </c>
      <c r="H476" s="29" t="s">
        <v>36</v>
      </c>
    </row>
    <row r="477" customFormat="false" ht="14.25" hidden="false" customHeight="false" outlineLevel="0" collapsed="false">
      <c r="A477" s="1" t="n">
        <v>1480</v>
      </c>
      <c r="B477" s="30" t="n">
        <v>43457</v>
      </c>
      <c r="C477" s="29" t="s">
        <v>37</v>
      </c>
      <c r="D477" s="62" t="n">
        <v>9</v>
      </c>
      <c r="E477" s="62" t="n">
        <v>4066.43</v>
      </c>
      <c r="F477" s="62" t="s">
        <v>3</v>
      </c>
      <c r="G477" s="29" t="s">
        <v>29</v>
      </c>
      <c r="H477" s="29" t="s">
        <v>34</v>
      </c>
    </row>
    <row r="478" customFormat="false" ht="14.25" hidden="false" customHeight="false" outlineLevel="0" collapsed="false">
      <c r="A478" s="1" t="n">
        <v>1481</v>
      </c>
      <c r="B478" s="30" t="n">
        <v>43225</v>
      </c>
      <c r="C478" s="29" t="s">
        <v>39</v>
      </c>
      <c r="D478" s="62" t="n">
        <v>47</v>
      </c>
      <c r="E478" s="62" t="n">
        <v>5485.27</v>
      </c>
      <c r="F478" s="62" t="s">
        <v>4</v>
      </c>
      <c r="G478" s="29" t="s">
        <v>24</v>
      </c>
      <c r="H478" s="29" t="s">
        <v>25</v>
      </c>
    </row>
    <row r="479" customFormat="false" ht="14.25" hidden="false" customHeight="false" outlineLevel="0" collapsed="false">
      <c r="A479" s="1" t="n">
        <v>1482</v>
      </c>
      <c r="B479" s="30" t="n">
        <v>43225</v>
      </c>
      <c r="C479" s="29" t="s">
        <v>39</v>
      </c>
      <c r="D479" s="62" t="n">
        <v>38</v>
      </c>
      <c r="E479" s="62" t="n">
        <v>1046.89</v>
      </c>
      <c r="F479" s="62" t="s">
        <v>4</v>
      </c>
      <c r="G479" s="29" t="s">
        <v>22</v>
      </c>
      <c r="H479" s="29" t="s">
        <v>40</v>
      </c>
    </row>
    <row r="480" customFormat="false" ht="14.25" hidden="false" customHeight="false" outlineLevel="0" collapsed="false">
      <c r="A480" s="1" t="n">
        <v>1483</v>
      </c>
      <c r="B480" s="30" t="n">
        <v>43369</v>
      </c>
      <c r="C480" s="29" t="s">
        <v>21</v>
      </c>
      <c r="D480" s="62" t="n">
        <v>6</v>
      </c>
      <c r="E480" s="62" t="n">
        <v>507.16</v>
      </c>
      <c r="F480" s="62" t="s">
        <v>4</v>
      </c>
      <c r="G480" s="29" t="s">
        <v>24</v>
      </c>
      <c r="H480" s="29" t="s">
        <v>25</v>
      </c>
    </row>
    <row r="481" customFormat="false" ht="14.25" hidden="false" customHeight="false" outlineLevel="0" collapsed="false">
      <c r="A481" s="1" t="n">
        <v>1484</v>
      </c>
      <c r="B481" s="30" t="n">
        <v>43247</v>
      </c>
      <c r="C481" s="29" t="s">
        <v>37</v>
      </c>
      <c r="D481" s="62" t="n">
        <v>6</v>
      </c>
      <c r="E481" s="62" t="n">
        <v>693.12</v>
      </c>
      <c r="F481" s="62" t="s">
        <v>6</v>
      </c>
      <c r="G481" s="29" t="s">
        <v>22</v>
      </c>
      <c r="H481" s="29" t="s">
        <v>44</v>
      </c>
    </row>
    <row r="482" customFormat="false" ht="14.25" hidden="false" customHeight="false" outlineLevel="0" collapsed="false">
      <c r="A482" s="1" t="n">
        <v>1485</v>
      </c>
      <c r="B482" s="30" t="n">
        <v>43236</v>
      </c>
      <c r="C482" s="29" t="s">
        <v>37</v>
      </c>
      <c r="D482" s="62" t="n">
        <v>34</v>
      </c>
      <c r="E482" s="62" t="n">
        <v>2973.74</v>
      </c>
      <c r="F482" s="62" t="s">
        <v>5</v>
      </c>
      <c r="G482" s="29" t="s">
        <v>24</v>
      </c>
      <c r="H482" s="29" t="s">
        <v>26</v>
      </c>
    </row>
    <row r="483" customFormat="false" ht="14.25" hidden="false" customHeight="false" outlineLevel="0" collapsed="false">
      <c r="A483" s="1" t="n">
        <v>1486</v>
      </c>
      <c r="B483" s="30" t="n">
        <v>43236</v>
      </c>
      <c r="C483" s="29" t="s">
        <v>37</v>
      </c>
      <c r="D483" s="62" t="n">
        <v>26</v>
      </c>
      <c r="E483" s="62" t="n">
        <v>69.77</v>
      </c>
      <c r="F483" s="62" t="s">
        <v>5</v>
      </c>
      <c r="G483" s="29" t="s">
        <v>29</v>
      </c>
      <c r="H483" s="29" t="s">
        <v>30</v>
      </c>
    </row>
    <row r="484" customFormat="false" ht="14.25" hidden="false" customHeight="false" outlineLevel="0" collapsed="false">
      <c r="A484" s="1" t="n">
        <v>1487</v>
      </c>
      <c r="B484" s="30" t="n">
        <v>43302</v>
      </c>
      <c r="C484" s="29" t="s">
        <v>21</v>
      </c>
      <c r="D484" s="62" t="n">
        <v>46</v>
      </c>
      <c r="E484" s="62" t="n">
        <v>247.54</v>
      </c>
      <c r="F484" s="62" t="s">
        <v>4</v>
      </c>
      <c r="G484" s="29" t="s">
        <v>29</v>
      </c>
      <c r="H484" s="29" t="s">
        <v>36</v>
      </c>
    </row>
    <row r="485" customFormat="false" ht="14.25" hidden="false" customHeight="false" outlineLevel="0" collapsed="false">
      <c r="A485" s="1" t="n">
        <v>1488</v>
      </c>
      <c r="B485" s="30" t="n">
        <v>43454</v>
      </c>
      <c r="C485" s="29" t="s">
        <v>28</v>
      </c>
      <c r="D485" s="62" t="n">
        <v>46</v>
      </c>
      <c r="E485" s="62" t="n">
        <v>1284.14</v>
      </c>
      <c r="F485" s="62" t="s">
        <v>6</v>
      </c>
      <c r="G485" s="29" t="s">
        <v>29</v>
      </c>
      <c r="H485" s="29" t="s">
        <v>30</v>
      </c>
    </row>
    <row r="486" customFormat="false" ht="14.25" hidden="false" customHeight="false" outlineLevel="0" collapsed="false">
      <c r="A486" s="1" t="n">
        <v>1489</v>
      </c>
      <c r="B486" s="30" t="n">
        <v>43454</v>
      </c>
      <c r="C486" s="29" t="s">
        <v>28</v>
      </c>
      <c r="D486" s="62" t="n">
        <v>28</v>
      </c>
      <c r="E486" s="62" t="n">
        <v>245.49</v>
      </c>
      <c r="F486" s="62" t="s">
        <v>6</v>
      </c>
      <c r="G486" s="29" t="s">
        <v>29</v>
      </c>
      <c r="H486" s="29" t="s">
        <v>45</v>
      </c>
    </row>
    <row r="487" customFormat="false" ht="14.25" hidden="false" customHeight="false" outlineLevel="0" collapsed="false">
      <c r="A487" s="1" t="n">
        <v>1490</v>
      </c>
      <c r="B487" s="30" t="n">
        <v>43126</v>
      </c>
      <c r="C487" s="29" t="s">
        <v>28</v>
      </c>
      <c r="D487" s="62" t="n">
        <v>42</v>
      </c>
      <c r="E487" s="62" t="n">
        <v>303.43</v>
      </c>
      <c r="F487" s="62" t="s">
        <v>5</v>
      </c>
      <c r="G487" s="29" t="s">
        <v>22</v>
      </c>
      <c r="H487" s="29" t="s">
        <v>23</v>
      </c>
    </row>
    <row r="488" customFormat="false" ht="14.25" hidden="false" customHeight="false" outlineLevel="0" collapsed="false">
      <c r="A488" s="1" t="n">
        <v>1491</v>
      </c>
      <c r="B488" s="30" t="n">
        <v>43126</v>
      </c>
      <c r="C488" s="29" t="s">
        <v>28</v>
      </c>
      <c r="D488" s="62" t="n">
        <v>39</v>
      </c>
      <c r="E488" s="62" t="n">
        <v>5781.61</v>
      </c>
      <c r="F488" s="62" t="s">
        <v>5</v>
      </c>
      <c r="G488" s="29" t="s">
        <v>24</v>
      </c>
      <c r="H488" s="29" t="s">
        <v>42</v>
      </c>
    </row>
    <row r="489" customFormat="false" ht="14.25" hidden="false" customHeight="false" outlineLevel="0" collapsed="false">
      <c r="A489" s="1" t="n">
        <v>1492</v>
      </c>
      <c r="B489" s="30" t="n">
        <v>43126</v>
      </c>
      <c r="C489" s="29" t="s">
        <v>28</v>
      </c>
      <c r="D489" s="62" t="n">
        <v>35</v>
      </c>
      <c r="E489" s="62" t="n">
        <v>87.9</v>
      </c>
      <c r="F489" s="62" t="s">
        <v>5</v>
      </c>
      <c r="G489" s="29" t="s">
        <v>29</v>
      </c>
      <c r="H489" s="29" t="s">
        <v>30</v>
      </c>
    </row>
    <row r="490" customFormat="false" ht="14.25" hidden="false" customHeight="false" outlineLevel="0" collapsed="false">
      <c r="A490" s="1" t="n">
        <v>1493</v>
      </c>
      <c r="B490" s="30" t="n">
        <v>43175</v>
      </c>
      <c r="C490" s="29" t="s">
        <v>31</v>
      </c>
      <c r="D490" s="62" t="n">
        <v>42</v>
      </c>
      <c r="E490" s="62" t="n">
        <v>1876.26</v>
      </c>
      <c r="F490" s="62" t="s">
        <v>4</v>
      </c>
      <c r="G490" s="29" t="s">
        <v>22</v>
      </c>
      <c r="H490" s="29" t="s">
        <v>23</v>
      </c>
    </row>
    <row r="491" customFormat="false" ht="14.25" hidden="false" customHeight="false" outlineLevel="0" collapsed="false">
      <c r="A491" s="1" t="n">
        <v>1494</v>
      </c>
      <c r="B491" s="30" t="n">
        <v>43175</v>
      </c>
      <c r="C491" s="29" t="s">
        <v>31</v>
      </c>
      <c r="D491" s="62" t="n">
        <v>18</v>
      </c>
      <c r="E491" s="62" t="n">
        <v>4927.74</v>
      </c>
      <c r="F491" s="62" t="s">
        <v>4</v>
      </c>
      <c r="G491" s="29" t="s">
        <v>22</v>
      </c>
      <c r="H491" s="29" t="s">
        <v>40</v>
      </c>
    </row>
    <row r="492" customFormat="false" ht="14.25" hidden="false" customHeight="false" outlineLevel="0" collapsed="false">
      <c r="A492" s="1" t="n">
        <v>1495</v>
      </c>
      <c r="B492" s="30" t="n">
        <v>43420</v>
      </c>
      <c r="C492" s="29" t="s">
        <v>37</v>
      </c>
      <c r="D492" s="62" t="n">
        <v>13</v>
      </c>
      <c r="E492" s="62" t="n">
        <v>96.46</v>
      </c>
      <c r="F492" s="62" t="s">
        <v>5</v>
      </c>
      <c r="G492" s="29" t="s">
        <v>29</v>
      </c>
      <c r="H492" s="29" t="s">
        <v>35</v>
      </c>
    </row>
    <row r="493" customFormat="false" ht="14.25" hidden="false" customHeight="false" outlineLevel="0" collapsed="false">
      <c r="A493" s="1" t="n">
        <v>1496</v>
      </c>
      <c r="B493" s="30" t="n">
        <v>43420</v>
      </c>
      <c r="C493" s="29" t="s">
        <v>37</v>
      </c>
      <c r="D493" s="62" t="n">
        <v>3</v>
      </c>
      <c r="E493" s="62" t="n">
        <v>3832.23</v>
      </c>
      <c r="F493" s="62" t="s">
        <v>5</v>
      </c>
      <c r="G493" s="29" t="s">
        <v>29</v>
      </c>
      <c r="H493" s="29" t="s">
        <v>34</v>
      </c>
    </row>
    <row r="494" customFormat="false" ht="14.25" hidden="false" customHeight="false" outlineLevel="0" collapsed="false">
      <c r="A494" s="1" t="n">
        <v>1497</v>
      </c>
      <c r="B494" s="30" t="n">
        <v>43138</v>
      </c>
      <c r="C494" s="29" t="s">
        <v>21</v>
      </c>
      <c r="D494" s="62" t="n">
        <v>42</v>
      </c>
      <c r="E494" s="62" t="n">
        <v>245.97</v>
      </c>
      <c r="F494" s="62" t="s">
        <v>5</v>
      </c>
      <c r="G494" s="29" t="s">
        <v>29</v>
      </c>
      <c r="H494" s="29" t="s">
        <v>36</v>
      </c>
    </row>
    <row r="495" customFormat="false" ht="14.25" hidden="false" customHeight="false" outlineLevel="0" collapsed="false">
      <c r="A495" s="1" t="n">
        <v>1498</v>
      </c>
      <c r="B495" s="30" t="n">
        <v>43305</v>
      </c>
      <c r="C495" s="29" t="s">
        <v>39</v>
      </c>
      <c r="D495" s="62" t="n">
        <v>29</v>
      </c>
      <c r="E495" s="62" t="n">
        <v>3098.87</v>
      </c>
      <c r="F495" s="62" t="s">
        <v>5</v>
      </c>
      <c r="G495" s="29" t="s">
        <v>24</v>
      </c>
      <c r="H495" s="29" t="s">
        <v>26</v>
      </c>
    </row>
    <row r="496" customFormat="false" ht="14.25" hidden="false" customHeight="false" outlineLevel="0" collapsed="false">
      <c r="A496" s="1" t="n">
        <v>1499</v>
      </c>
      <c r="B496" s="30" t="n">
        <v>43139</v>
      </c>
      <c r="C496" s="29" t="s">
        <v>31</v>
      </c>
      <c r="D496" s="62" t="n">
        <v>10</v>
      </c>
      <c r="E496" s="62" t="n">
        <v>1007.54</v>
      </c>
      <c r="F496" s="62" t="s">
        <v>6</v>
      </c>
      <c r="G496" s="29" t="s">
        <v>24</v>
      </c>
      <c r="H496" s="29" t="s">
        <v>25</v>
      </c>
    </row>
    <row r="497" customFormat="false" ht="14.25" hidden="false" customHeight="false" outlineLevel="0" collapsed="false">
      <c r="A497" s="1" t="n">
        <v>1500</v>
      </c>
      <c r="B497" s="30" t="n">
        <v>43139</v>
      </c>
      <c r="C497" s="29" t="s">
        <v>31</v>
      </c>
      <c r="D497" s="62" t="n">
        <v>50</v>
      </c>
      <c r="E497" s="62" t="n">
        <v>1546.11</v>
      </c>
      <c r="F497" s="62" t="s">
        <v>6</v>
      </c>
      <c r="G497" s="29" t="s">
        <v>24</v>
      </c>
      <c r="H497" s="29" t="s">
        <v>26</v>
      </c>
    </row>
    <row r="498" customFormat="false" ht="14.25" hidden="false" customHeight="false" outlineLevel="0" collapsed="false">
      <c r="A498" s="1" t="n">
        <v>1501</v>
      </c>
      <c r="B498" s="30" t="n">
        <v>43156</v>
      </c>
      <c r="C498" s="29" t="s">
        <v>31</v>
      </c>
      <c r="D498" s="62" t="n">
        <v>20</v>
      </c>
      <c r="E498" s="62" t="n">
        <v>923.02</v>
      </c>
      <c r="F498" s="62" t="s">
        <v>5</v>
      </c>
      <c r="G498" s="29" t="s">
        <v>29</v>
      </c>
      <c r="H498" s="29" t="s">
        <v>34</v>
      </c>
    </row>
    <row r="499" customFormat="false" ht="14.25" hidden="false" customHeight="false" outlineLevel="0" collapsed="false">
      <c r="A499" s="1" t="n">
        <v>1502</v>
      </c>
      <c r="B499" s="30" t="n">
        <v>43278</v>
      </c>
      <c r="C499" s="29" t="s">
        <v>39</v>
      </c>
      <c r="D499" s="62" t="n">
        <v>9</v>
      </c>
      <c r="E499" s="62" t="n">
        <v>1524.97</v>
      </c>
      <c r="F499" s="62" t="s">
        <v>4</v>
      </c>
      <c r="G499" s="29" t="s">
        <v>22</v>
      </c>
      <c r="H499" s="29" t="s">
        <v>40</v>
      </c>
    </row>
    <row r="500" customFormat="false" ht="14.25" hidden="false" customHeight="false" outlineLevel="0" collapsed="false">
      <c r="A500" s="1" t="n">
        <v>1503</v>
      </c>
      <c r="B500" s="30" t="n">
        <v>43278</v>
      </c>
      <c r="C500" s="29" t="s">
        <v>39</v>
      </c>
      <c r="D500" s="62" t="n">
        <v>36</v>
      </c>
      <c r="E500" s="62" t="n">
        <v>131.75</v>
      </c>
      <c r="F500" s="62" t="s">
        <v>4</v>
      </c>
      <c r="G500" s="29" t="s">
        <v>29</v>
      </c>
      <c r="H500" s="29" t="s">
        <v>33</v>
      </c>
    </row>
    <row r="501" customFormat="false" ht="14.25" hidden="false" customHeight="false" outlineLevel="0" collapsed="false">
      <c r="A501" s="1" t="n">
        <v>1504</v>
      </c>
      <c r="B501" s="30" t="n">
        <v>43366</v>
      </c>
      <c r="C501" s="29" t="s">
        <v>31</v>
      </c>
      <c r="D501" s="62" t="n">
        <v>39</v>
      </c>
      <c r="E501" s="62" t="n">
        <v>1183.06</v>
      </c>
      <c r="F501" s="62" t="s">
        <v>3</v>
      </c>
      <c r="G501" s="29" t="s">
        <v>29</v>
      </c>
      <c r="H501" s="29" t="s">
        <v>38</v>
      </c>
    </row>
    <row r="502" customFormat="false" ht="14.25" hidden="false" customHeight="false" outlineLevel="0" collapsed="false">
      <c r="A502" s="1" t="n">
        <v>1505</v>
      </c>
      <c r="B502" s="30" t="n">
        <v>43366</v>
      </c>
      <c r="C502" s="29" t="s">
        <v>31</v>
      </c>
      <c r="D502" s="62" t="n">
        <v>18</v>
      </c>
      <c r="E502" s="62" t="n">
        <v>38</v>
      </c>
      <c r="F502" s="62" t="s">
        <v>3</v>
      </c>
      <c r="G502" s="29" t="s">
        <v>29</v>
      </c>
      <c r="H502" s="29" t="s">
        <v>30</v>
      </c>
    </row>
    <row r="503" customFormat="false" ht="14.25" hidden="false" customHeight="false" outlineLevel="0" collapsed="false">
      <c r="A503" s="1" t="n">
        <v>1506</v>
      </c>
      <c r="B503" s="30" t="n">
        <v>43336</v>
      </c>
      <c r="C503" s="29" t="s">
        <v>21</v>
      </c>
      <c r="D503" s="62" t="n">
        <v>21</v>
      </c>
      <c r="E503" s="62" t="n">
        <v>145.51</v>
      </c>
      <c r="F503" s="62" t="s">
        <v>3</v>
      </c>
      <c r="G503" s="29" t="s">
        <v>29</v>
      </c>
      <c r="H503" s="29" t="s">
        <v>36</v>
      </c>
    </row>
    <row r="504" customFormat="false" ht="14.25" hidden="false" customHeight="false" outlineLevel="0" collapsed="false">
      <c r="A504" s="1" t="n">
        <v>1507</v>
      </c>
      <c r="B504" s="30" t="n">
        <v>43336</v>
      </c>
      <c r="C504" s="29" t="s">
        <v>21</v>
      </c>
      <c r="D504" s="62" t="n">
        <v>34</v>
      </c>
      <c r="E504" s="62" t="n">
        <v>9181.94</v>
      </c>
      <c r="F504" s="62" t="s">
        <v>3</v>
      </c>
      <c r="G504" s="29" t="s">
        <v>22</v>
      </c>
      <c r="H504" s="29" t="s">
        <v>44</v>
      </c>
    </row>
    <row r="505" customFormat="false" ht="14.25" hidden="false" customHeight="false" outlineLevel="0" collapsed="false">
      <c r="A505" s="1" t="n">
        <v>1508</v>
      </c>
      <c r="B505" s="30" t="n">
        <v>43285</v>
      </c>
      <c r="C505" s="29" t="s">
        <v>21</v>
      </c>
      <c r="D505" s="62" t="n">
        <v>50</v>
      </c>
      <c r="E505" s="62" t="n">
        <v>2686.46</v>
      </c>
      <c r="F505" s="62" t="s">
        <v>5</v>
      </c>
      <c r="G505" s="29" t="s">
        <v>29</v>
      </c>
      <c r="H505" s="29" t="s">
        <v>41</v>
      </c>
    </row>
    <row r="506" customFormat="false" ht="14.25" hidden="false" customHeight="false" outlineLevel="0" collapsed="false">
      <c r="A506" s="1" t="n">
        <v>1509</v>
      </c>
      <c r="B506" s="30" t="n">
        <v>43117</v>
      </c>
      <c r="C506" s="29" t="s">
        <v>31</v>
      </c>
      <c r="D506" s="62" t="n">
        <v>18</v>
      </c>
      <c r="E506" s="62" t="n">
        <v>5783.82</v>
      </c>
      <c r="F506" s="62" t="s">
        <v>5</v>
      </c>
      <c r="G506" s="29" t="s">
        <v>22</v>
      </c>
      <c r="H506" s="29" t="s">
        <v>40</v>
      </c>
    </row>
    <row r="507" customFormat="false" ht="14.25" hidden="false" customHeight="false" outlineLevel="0" collapsed="false">
      <c r="A507" s="1" t="n">
        <v>1510</v>
      </c>
      <c r="B507" s="30" t="n">
        <v>43202</v>
      </c>
      <c r="C507" s="29" t="s">
        <v>31</v>
      </c>
      <c r="D507" s="62" t="n">
        <v>19</v>
      </c>
      <c r="E507" s="62" t="n">
        <v>76.79</v>
      </c>
      <c r="F507" s="62" t="s">
        <v>4</v>
      </c>
      <c r="G507" s="29" t="s">
        <v>29</v>
      </c>
      <c r="H507" s="29" t="s">
        <v>33</v>
      </c>
    </row>
    <row r="508" customFormat="false" ht="14.25" hidden="false" customHeight="false" outlineLevel="0" collapsed="false">
      <c r="A508" s="1" t="n">
        <v>1511</v>
      </c>
      <c r="B508" s="30" t="n">
        <v>43200</v>
      </c>
      <c r="C508" s="29" t="s">
        <v>21</v>
      </c>
      <c r="D508" s="62" t="n">
        <v>36</v>
      </c>
      <c r="E508" s="62" t="n">
        <v>3982.85</v>
      </c>
      <c r="F508" s="62" t="s">
        <v>5</v>
      </c>
      <c r="G508" s="29" t="s">
        <v>22</v>
      </c>
      <c r="H508" s="29" t="s">
        <v>23</v>
      </c>
    </row>
    <row r="509" customFormat="false" ht="14.25" hidden="false" customHeight="false" outlineLevel="0" collapsed="false">
      <c r="A509" s="1" t="n">
        <v>1512</v>
      </c>
      <c r="B509" s="30" t="n">
        <v>43200</v>
      </c>
      <c r="C509" s="29" t="s">
        <v>21</v>
      </c>
      <c r="D509" s="62" t="n">
        <v>36</v>
      </c>
      <c r="E509" s="62" t="n">
        <v>1966.06</v>
      </c>
      <c r="F509" s="62" t="s">
        <v>5</v>
      </c>
      <c r="G509" s="29" t="s">
        <v>22</v>
      </c>
      <c r="H509" s="29" t="s">
        <v>44</v>
      </c>
    </row>
    <row r="510" customFormat="false" ht="14.25" hidden="false" customHeight="false" outlineLevel="0" collapsed="false">
      <c r="A510" s="1" t="n">
        <v>1513</v>
      </c>
      <c r="B510" s="30" t="n">
        <v>43200</v>
      </c>
      <c r="C510" s="29" t="s">
        <v>21</v>
      </c>
      <c r="D510" s="62" t="n">
        <v>4</v>
      </c>
      <c r="E510" s="62" t="n">
        <v>30.01</v>
      </c>
      <c r="F510" s="62" t="s">
        <v>5</v>
      </c>
      <c r="G510" s="29" t="s">
        <v>29</v>
      </c>
      <c r="H510" s="29" t="s">
        <v>36</v>
      </c>
    </row>
    <row r="511" customFormat="false" ht="14.25" hidden="false" customHeight="false" outlineLevel="0" collapsed="false">
      <c r="A511" s="1" t="n">
        <v>1514</v>
      </c>
      <c r="B511" s="30" t="n">
        <v>43443</v>
      </c>
      <c r="C511" s="29" t="s">
        <v>28</v>
      </c>
      <c r="D511" s="62" t="n">
        <v>15</v>
      </c>
      <c r="E511" s="62" t="n">
        <v>1017.67</v>
      </c>
      <c r="F511" s="62" t="s">
        <v>3</v>
      </c>
      <c r="G511" s="29" t="s">
        <v>22</v>
      </c>
      <c r="H511" s="29" t="s">
        <v>44</v>
      </c>
    </row>
    <row r="512" customFormat="false" ht="14.25" hidden="false" customHeight="false" outlineLevel="0" collapsed="false">
      <c r="A512" s="1" t="n">
        <v>1515</v>
      </c>
      <c r="B512" s="30" t="n">
        <v>43320</v>
      </c>
      <c r="C512" s="29" t="s">
        <v>28</v>
      </c>
      <c r="D512" s="62" t="n">
        <v>2</v>
      </c>
      <c r="E512" s="62" t="n">
        <v>15.4</v>
      </c>
      <c r="F512" s="62" t="s">
        <v>6</v>
      </c>
      <c r="G512" s="29" t="s">
        <v>29</v>
      </c>
      <c r="H512" s="29" t="s">
        <v>33</v>
      </c>
    </row>
    <row r="513" customFormat="false" ht="14.25" hidden="false" customHeight="false" outlineLevel="0" collapsed="false">
      <c r="A513" s="1" t="n">
        <v>1516</v>
      </c>
      <c r="B513" s="30" t="n">
        <v>43320</v>
      </c>
      <c r="C513" s="29" t="s">
        <v>28</v>
      </c>
      <c r="D513" s="62" t="n">
        <v>3</v>
      </c>
      <c r="E513" s="62" t="n">
        <v>11.05</v>
      </c>
      <c r="F513" s="62" t="s">
        <v>6</v>
      </c>
      <c r="G513" s="29" t="s">
        <v>29</v>
      </c>
      <c r="H513" s="29" t="s">
        <v>33</v>
      </c>
    </row>
    <row r="514" customFormat="false" ht="14.25" hidden="false" customHeight="false" outlineLevel="0" collapsed="false">
      <c r="A514" s="1" t="n">
        <v>1517</v>
      </c>
      <c r="B514" s="30" t="n">
        <v>43118</v>
      </c>
      <c r="C514" s="29" t="s">
        <v>21</v>
      </c>
      <c r="D514" s="62" t="n">
        <v>9</v>
      </c>
      <c r="E514" s="62" t="n">
        <v>45.16</v>
      </c>
      <c r="F514" s="62" t="s">
        <v>3</v>
      </c>
      <c r="G514" s="29" t="s">
        <v>29</v>
      </c>
      <c r="H514" s="29" t="s">
        <v>35</v>
      </c>
    </row>
    <row r="515" customFormat="false" ht="14.25" hidden="false" customHeight="false" outlineLevel="0" collapsed="false">
      <c r="A515" s="1" t="n">
        <v>1518</v>
      </c>
      <c r="B515" s="30" t="n">
        <v>43165</v>
      </c>
      <c r="C515" s="29" t="s">
        <v>37</v>
      </c>
      <c r="D515" s="62" t="n">
        <v>44</v>
      </c>
      <c r="E515" s="62" t="n">
        <v>242.01</v>
      </c>
      <c r="F515" s="62" t="s">
        <v>4</v>
      </c>
      <c r="G515" s="29" t="s">
        <v>22</v>
      </c>
      <c r="H515" s="29" t="s">
        <v>23</v>
      </c>
    </row>
    <row r="516" customFormat="false" ht="14.25" hidden="false" customHeight="false" outlineLevel="0" collapsed="false">
      <c r="A516" s="1" t="n">
        <v>1519</v>
      </c>
      <c r="B516" s="30" t="n">
        <v>43227</v>
      </c>
      <c r="C516" s="29" t="s">
        <v>21</v>
      </c>
      <c r="D516" s="62" t="n">
        <v>46</v>
      </c>
      <c r="E516" s="62" t="n">
        <v>3176.47</v>
      </c>
      <c r="F516" s="62" t="s">
        <v>4</v>
      </c>
      <c r="G516" s="29" t="s">
        <v>22</v>
      </c>
      <c r="H516" s="29" t="s">
        <v>23</v>
      </c>
    </row>
    <row r="517" customFormat="false" ht="14.25" hidden="false" customHeight="false" outlineLevel="0" collapsed="false">
      <c r="A517" s="1" t="n">
        <v>1520</v>
      </c>
      <c r="B517" s="30" t="n">
        <v>43303</v>
      </c>
      <c r="C517" s="29" t="s">
        <v>31</v>
      </c>
      <c r="D517" s="62" t="n">
        <v>50</v>
      </c>
      <c r="E517" s="62" t="n">
        <v>550.9</v>
      </c>
      <c r="F517" s="62" t="s">
        <v>5</v>
      </c>
      <c r="G517" s="29" t="s">
        <v>29</v>
      </c>
      <c r="H517" s="29" t="s">
        <v>41</v>
      </c>
    </row>
    <row r="518" customFormat="false" ht="14.25" hidden="false" customHeight="false" outlineLevel="0" collapsed="false">
      <c r="A518" s="1" t="n">
        <v>1521</v>
      </c>
      <c r="B518" s="30" t="n">
        <v>43286</v>
      </c>
      <c r="C518" s="29" t="s">
        <v>37</v>
      </c>
      <c r="D518" s="62" t="n">
        <v>1</v>
      </c>
      <c r="E518" s="62" t="n">
        <v>10.37</v>
      </c>
      <c r="F518" s="62" t="s">
        <v>4</v>
      </c>
      <c r="G518" s="29" t="s">
        <v>29</v>
      </c>
      <c r="H518" s="29" t="s">
        <v>36</v>
      </c>
    </row>
    <row r="519" customFormat="false" ht="14.25" hidden="false" customHeight="false" outlineLevel="0" collapsed="false">
      <c r="A519" s="1" t="n">
        <v>1522</v>
      </c>
      <c r="B519" s="30" t="n">
        <v>43286</v>
      </c>
      <c r="C519" s="29" t="s">
        <v>37</v>
      </c>
      <c r="D519" s="62" t="n">
        <v>48</v>
      </c>
      <c r="E519" s="62" t="n">
        <v>355.23</v>
      </c>
      <c r="F519" s="62" t="s">
        <v>4</v>
      </c>
      <c r="G519" s="29" t="s">
        <v>29</v>
      </c>
      <c r="H519" s="29" t="s">
        <v>30</v>
      </c>
    </row>
    <row r="520" customFormat="false" ht="14.25" hidden="false" customHeight="false" outlineLevel="0" collapsed="false">
      <c r="A520" s="1" t="n">
        <v>1523</v>
      </c>
      <c r="B520" s="30" t="n">
        <v>43416</v>
      </c>
      <c r="C520" s="29" t="s">
        <v>21</v>
      </c>
      <c r="D520" s="62" t="n">
        <v>47</v>
      </c>
      <c r="E520" s="62" t="n">
        <v>16007.3</v>
      </c>
      <c r="F520" s="62" t="s">
        <v>4</v>
      </c>
      <c r="G520" s="29" t="s">
        <v>22</v>
      </c>
      <c r="H520" s="29" t="s">
        <v>27</v>
      </c>
    </row>
    <row r="521" customFormat="false" ht="14.25" hidden="false" customHeight="false" outlineLevel="0" collapsed="false">
      <c r="A521" s="1" t="n">
        <v>1524</v>
      </c>
      <c r="B521" s="30" t="n">
        <v>43197</v>
      </c>
      <c r="C521" s="29" t="s">
        <v>28</v>
      </c>
      <c r="D521" s="62" t="n">
        <v>31</v>
      </c>
      <c r="E521" s="62" t="n">
        <v>957.26</v>
      </c>
      <c r="F521" s="62" t="s">
        <v>3</v>
      </c>
      <c r="G521" s="29" t="s">
        <v>22</v>
      </c>
      <c r="H521" s="29" t="s">
        <v>23</v>
      </c>
    </row>
    <row r="522" customFormat="false" ht="14.25" hidden="false" customHeight="false" outlineLevel="0" collapsed="false">
      <c r="A522" s="1" t="n">
        <v>1525</v>
      </c>
      <c r="B522" s="30" t="n">
        <v>43392</v>
      </c>
      <c r="C522" s="29" t="s">
        <v>28</v>
      </c>
      <c r="D522" s="62" t="n">
        <v>17</v>
      </c>
      <c r="E522" s="62" t="n">
        <v>1986.96</v>
      </c>
      <c r="F522" s="62" t="s">
        <v>6</v>
      </c>
      <c r="G522" s="29" t="s">
        <v>24</v>
      </c>
      <c r="H522" s="29" t="s">
        <v>25</v>
      </c>
    </row>
    <row r="523" customFormat="false" ht="14.25" hidden="false" customHeight="false" outlineLevel="0" collapsed="false">
      <c r="A523" s="1" t="n">
        <v>1526</v>
      </c>
      <c r="B523" s="30" t="n">
        <v>43313</v>
      </c>
      <c r="C523" s="29" t="s">
        <v>31</v>
      </c>
      <c r="D523" s="62" t="n">
        <v>6</v>
      </c>
      <c r="E523" s="62" t="n">
        <v>169</v>
      </c>
      <c r="F523" s="62" t="s">
        <v>4</v>
      </c>
      <c r="G523" s="29" t="s">
        <v>29</v>
      </c>
      <c r="H523" s="29" t="s">
        <v>41</v>
      </c>
    </row>
    <row r="524" customFormat="false" ht="14.25" hidden="false" customHeight="false" outlineLevel="0" collapsed="false">
      <c r="A524" s="1" t="n">
        <v>1527</v>
      </c>
      <c r="B524" s="30" t="n">
        <v>43381</v>
      </c>
      <c r="C524" s="29" t="s">
        <v>31</v>
      </c>
      <c r="D524" s="62" t="n">
        <v>16</v>
      </c>
      <c r="E524" s="62" t="n">
        <v>183.51</v>
      </c>
      <c r="F524" s="62" t="s">
        <v>6</v>
      </c>
      <c r="G524" s="29" t="s">
        <v>29</v>
      </c>
      <c r="H524" s="29" t="s">
        <v>32</v>
      </c>
    </row>
    <row r="525" customFormat="false" ht="14.25" hidden="false" customHeight="false" outlineLevel="0" collapsed="false">
      <c r="A525" s="1" t="n">
        <v>1528</v>
      </c>
      <c r="B525" s="30" t="n">
        <v>43381</v>
      </c>
      <c r="C525" s="29" t="s">
        <v>31</v>
      </c>
      <c r="D525" s="62" t="n">
        <v>40</v>
      </c>
      <c r="E525" s="62" t="n">
        <v>291.05</v>
      </c>
      <c r="F525" s="62" t="s">
        <v>6</v>
      </c>
      <c r="G525" s="29" t="s">
        <v>29</v>
      </c>
      <c r="H525" s="29" t="s">
        <v>36</v>
      </c>
    </row>
    <row r="526" customFormat="false" ht="14.25" hidden="false" customHeight="false" outlineLevel="0" collapsed="false">
      <c r="A526" s="1" t="n">
        <v>1529</v>
      </c>
      <c r="B526" s="30" t="n">
        <v>43234</v>
      </c>
      <c r="C526" s="29" t="s">
        <v>37</v>
      </c>
      <c r="D526" s="62" t="n">
        <v>12</v>
      </c>
      <c r="E526" s="62" t="n">
        <v>78.65</v>
      </c>
      <c r="F526" s="62" t="s">
        <v>6</v>
      </c>
      <c r="G526" s="29" t="s">
        <v>29</v>
      </c>
      <c r="H526" s="29" t="s">
        <v>45</v>
      </c>
    </row>
    <row r="527" customFormat="false" ht="14.25" hidden="false" customHeight="false" outlineLevel="0" collapsed="false">
      <c r="A527" s="1" t="n">
        <v>1530</v>
      </c>
      <c r="B527" s="30" t="n">
        <v>43148</v>
      </c>
      <c r="C527" s="29" t="s">
        <v>39</v>
      </c>
      <c r="D527" s="62" t="n">
        <v>47</v>
      </c>
      <c r="E527" s="62" t="n">
        <v>21683.79</v>
      </c>
      <c r="F527" s="62" t="s">
        <v>4</v>
      </c>
      <c r="G527" s="29" t="s">
        <v>24</v>
      </c>
      <c r="H527" s="29" t="s">
        <v>42</v>
      </c>
    </row>
    <row r="528" customFormat="false" ht="14.25" hidden="false" customHeight="false" outlineLevel="0" collapsed="false">
      <c r="A528" s="1" t="n">
        <v>1531</v>
      </c>
      <c r="B528" s="30" t="n">
        <v>43148</v>
      </c>
      <c r="C528" s="29" t="s">
        <v>39</v>
      </c>
      <c r="D528" s="62" t="n">
        <v>50</v>
      </c>
      <c r="E528" s="62" t="n">
        <v>3305.29</v>
      </c>
      <c r="F528" s="62" t="s">
        <v>4</v>
      </c>
      <c r="G528" s="29" t="s">
        <v>29</v>
      </c>
      <c r="H528" s="29" t="s">
        <v>41</v>
      </c>
    </row>
    <row r="529" customFormat="false" ht="14.25" hidden="false" customHeight="false" outlineLevel="0" collapsed="false">
      <c r="A529" s="1" t="n">
        <v>1532</v>
      </c>
      <c r="B529" s="30" t="n">
        <v>43260</v>
      </c>
      <c r="C529" s="29" t="s">
        <v>37</v>
      </c>
      <c r="D529" s="62" t="n">
        <v>39</v>
      </c>
      <c r="E529" s="62" t="n">
        <v>170.1</v>
      </c>
      <c r="F529" s="62" t="s">
        <v>6</v>
      </c>
      <c r="G529" s="29" t="s">
        <v>29</v>
      </c>
      <c r="H529" s="29" t="s">
        <v>34</v>
      </c>
    </row>
    <row r="530" customFormat="false" ht="14.25" hidden="false" customHeight="false" outlineLevel="0" collapsed="false">
      <c r="A530" s="1" t="n">
        <v>1533</v>
      </c>
      <c r="B530" s="30" t="n">
        <v>43260</v>
      </c>
      <c r="C530" s="29" t="s">
        <v>37</v>
      </c>
      <c r="D530" s="62" t="n">
        <v>49</v>
      </c>
      <c r="E530" s="62" t="n">
        <v>148.69</v>
      </c>
      <c r="F530" s="62" t="s">
        <v>6</v>
      </c>
      <c r="G530" s="29" t="s">
        <v>29</v>
      </c>
      <c r="H530" s="29" t="s">
        <v>30</v>
      </c>
    </row>
    <row r="531" customFormat="false" ht="14.25" hidden="false" customHeight="false" outlineLevel="0" collapsed="false">
      <c r="A531" s="1" t="n">
        <v>1534</v>
      </c>
      <c r="B531" s="30" t="n">
        <v>43373</v>
      </c>
      <c r="C531" s="29" t="s">
        <v>31</v>
      </c>
      <c r="D531" s="62" t="n">
        <v>26</v>
      </c>
      <c r="E531" s="62" t="n">
        <v>7240.54</v>
      </c>
      <c r="F531" s="62" t="s">
        <v>5</v>
      </c>
      <c r="G531" s="29" t="s">
        <v>22</v>
      </c>
      <c r="H531" s="29" t="s">
        <v>27</v>
      </c>
    </row>
    <row r="532" customFormat="false" ht="14.25" hidden="false" customHeight="false" outlineLevel="0" collapsed="false">
      <c r="A532" s="1" t="n">
        <v>1535</v>
      </c>
      <c r="B532" s="30" t="n">
        <v>43160</v>
      </c>
      <c r="C532" s="29" t="s">
        <v>28</v>
      </c>
      <c r="D532" s="62" t="n">
        <v>46</v>
      </c>
      <c r="E532" s="62" t="n">
        <v>8175.04</v>
      </c>
      <c r="F532" s="62" t="s">
        <v>4</v>
      </c>
      <c r="G532" s="29" t="s">
        <v>24</v>
      </c>
      <c r="H532" s="29" t="s">
        <v>25</v>
      </c>
    </row>
    <row r="533" customFormat="false" ht="14.25" hidden="false" customHeight="false" outlineLevel="0" collapsed="false">
      <c r="A533" s="1" t="n">
        <v>1536</v>
      </c>
      <c r="B533" s="30" t="n">
        <v>43218</v>
      </c>
      <c r="C533" s="29" t="s">
        <v>39</v>
      </c>
      <c r="D533" s="62" t="n">
        <v>39</v>
      </c>
      <c r="E533" s="62" t="n">
        <v>15057.72</v>
      </c>
      <c r="F533" s="62" t="s">
        <v>6</v>
      </c>
      <c r="G533" s="29" t="s">
        <v>22</v>
      </c>
      <c r="H533" s="29" t="s">
        <v>40</v>
      </c>
    </row>
    <row r="534" customFormat="false" ht="14.25" hidden="false" customHeight="false" outlineLevel="0" collapsed="false">
      <c r="A534" s="1" t="n">
        <v>1537</v>
      </c>
      <c r="B534" s="30" t="n">
        <v>43218</v>
      </c>
      <c r="C534" s="29" t="s">
        <v>39</v>
      </c>
      <c r="D534" s="62" t="n">
        <v>49</v>
      </c>
      <c r="E534" s="62" t="n">
        <v>2096.59</v>
      </c>
      <c r="F534" s="62" t="s">
        <v>6</v>
      </c>
      <c r="G534" s="29" t="s">
        <v>29</v>
      </c>
      <c r="H534" s="29" t="s">
        <v>41</v>
      </c>
    </row>
    <row r="535" customFormat="false" ht="14.25" hidden="false" customHeight="false" outlineLevel="0" collapsed="false">
      <c r="A535" s="1" t="n">
        <v>1538</v>
      </c>
      <c r="B535" s="30" t="n">
        <v>43213</v>
      </c>
      <c r="C535" s="29" t="s">
        <v>21</v>
      </c>
      <c r="D535" s="62" t="n">
        <v>47</v>
      </c>
      <c r="E535" s="62" t="n">
        <v>5938.28</v>
      </c>
      <c r="F535" s="62" t="s">
        <v>3</v>
      </c>
      <c r="G535" s="29" t="s">
        <v>24</v>
      </c>
      <c r="H535" s="29" t="s">
        <v>42</v>
      </c>
    </row>
    <row r="536" customFormat="false" ht="14.25" hidden="false" customHeight="false" outlineLevel="0" collapsed="false">
      <c r="A536" s="1" t="n">
        <v>1539</v>
      </c>
      <c r="B536" s="30" t="n">
        <v>43270</v>
      </c>
      <c r="C536" s="29" t="s">
        <v>28</v>
      </c>
      <c r="D536" s="62" t="n">
        <v>15</v>
      </c>
      <c r="E536" s="62" t="n">
        <v>1487.82</v>
      </c>
      <c r="F536" s="62" t="s">
        <v>5</v>
      </c>
      <c r="G536" s="29" t="s">
        <v>29</v>
      </c>
      <c r="H536" s="29" t="s">
        <v>45</v>
      </c>
    </row>
    <row r="537" customFormat="false" ht="14.25" hidden="false" customHeight="false" outlineLevel="0" collapsed="false">
      <c r="A537" s="1" t="n">
        <v>1540</v>
      </c>
      <c r="B537" s="30" t="n">
        <v>43209</v>
      </c>
      <c r="C537" s="29" t="s">
        <v>37</v>
      </c>
      <c r="D537" s="62" t="n">
        <v>44</v>
      </c>
      <c r="E537" s="62" t="n">
        <v>323.77</v>
      </c>
      <c r="F537" s="62" t="s">
        <v>5</v>
      </c>
      <c r="G537" s="29" t="s">
        <v>29</v>
      </c>
      <c r="H537" s="29" t="s">
        <v>36</v>
      </c>
    </row>
    <row r="538" customFormat="false" ht="14.25" hidden="false" customHeight="false" outlineLevel="0" collapsed="false">
      <c r="A538" s="1" t="n">
        <v>1541</v>
      </c>
      <c r="B538" s="30" t="n">
        <v>43209</v>
      </c>
      <c r="C538" s="29" t="s">
        <v>37</v>
      </c>
      <c r="D538" s="62" t="n">
        <v>26</v>
      </c>
      <c r="E538" s="62" t="n">
        <v>2892.69</v>
      </c>
      <c r="F538" s="62" t="s">
        <v>5</v>
      </c>
      <c r="G538" s="29" t="s">
        <v>29</v>
      </c>
      <c r="H538" s="29" t="s">
        <v>38</v>
      </c>
    </row>
    <row r="539" customFormat="false" ht="14.25" hidden="false" customHeight="false" outlineLevel="0" collapsed="false">
      <c r="A539" s="1" t="n">
        <v>1542</v>
      </c>
      <c r="B539" s="30" t="n">
        <v>43463</v>
      </c>
      <c r="C539" s="29" t="s">
        <v>39</v>
      </c>
      <c r="D539" s="62" t="n">
        <v>29</v>
      </c>
      <c r="E539" s="62" t="n">
        <v>912.44</v>
      </c>
      <c r="F539" s="62" t="s">
        <v>4</v>
      </c>
      <c r="G539" s="29" t="s">
        <v>29</v>
      </c>
      <c r="H539" s="29" t="s">
        <v>34</v>
      </c>
    </row>
    <row r="540" customFormat="false" ht="14.25" hidden="false" customHeight="false" outlineLevel="0" collapsed="false">
      <c r="A540" s="1" t="n">
        <v>1543</v>
      </c>
      <c r="B540" s="30" t="n">
        <v>43463</v>
      </c>
      <c r="C540" s="29" t="s">
        <v>39</v>
      </c>
      <c r="D540" s="62" t="n">
        <v>26</v>
      </c>
      <c r="E540" s="62" t="n">
        <v>184.39</v>
      </c>
      <c r="F540" s="62" t="s">
        <v>4</v>
      </c>
      <c r="G540" s="29" t="s">
        <v>29</v>
      </c>
      <c r="H540" s="29" t="s">
        <v>36</v>
      </c>
    </row>
    <row r="541" customFormat="false" ht="14.25" hidden="false" customHeight="false" outlineLevel="0" collapsed="false">
      <c r="A541" s="1" t="n">
        <v>1544</v>
      </c>
      <c r="B541" s="30" t="n">
        <v>43120</v>
      </c>
      <c r="C541" s="29" t="s">
        <v>28</v>
      </c>
      <c r="D541" s="62" t="n">
        <v>4</v>
      </c>
      <c r="E541" s="62" t="n">
        <v>1066.79</v>
      </c>
      <c r="F541" s="62" t="s">
        <v>3</v>
      </c>
      <c r="G541" s="29" t="s">
        <v>22</v>
      </c>
      <c r="H541" s="29" t="s">
        <v>40</v>
      </c>
    </row>
    <row r="542" customFormat="false" ht="14.25" hidden="false" customHeight="false" outlineLevel="0" collapsed="false">
      <c r="A542" s="1" t="n">
        <v>1545</v>
      </c>
      <c r="B542" s="30" t="n">
        <v>43330</v>
      </c>
      <c r="C542" s="29" t="s">
        <v>39</v>
      </c>
      <c r="D542" s="62" t="n">
        <v>5</v>
      </c>
      <c r="E542" s="62" t="n">
        <v>425.38</v>
      </c>
      <c r="F542" s="62" t="s">
        <v>4</v>
      </c>
      <c r="G542" s="29" t="s">
        <v>24</v>
      </c>
      <c r="H542" s="29" t="s">
        <v>26</v>
      </c>
    </row>
    <row r="543" customFormat="false" ht="14.25" hidden="false" customHeight="false" outlineLevel="0" collapsed="false">
      <c r="A543" s="1" t="n">
        <v>1546</v>
      </c>
      <c r="B543" s="30" t="n">
        <v>43330</v>
      </c>
      <c r="C543" s="29" t="s">
        <v>39</v>
      </c>
      <c r="D543" s="62" t="n">
        <v>34</v>
      </c>
      <c r="E543" s="62" t="n">
        <v>723.6</v>
      </c>
      <c r="F543" s="62" t="s">
        <v>4</v>
      </c>
      <c r="G543" s="29" t="s">
        <v>29</v>
      </c>
      <c r="H543" s="29" t="s">
        <v>36</v>
      </c>
    </row>
    <row r="544" customFormat="false" ht="14.25" hidden="false" customHeight="false" outlineLevel="0" collapsed="false">
      <c r="A544" s="1" t="n">
        <v>1547</v>
      </c>
      <c r="B544" s="30" t="n">
        <v>43419</v>
      </c>
      <c r="C544" s="29" t="s">
        <v>37</v>
      </c>
      <c r="D544" s="62" t="n">
        <v>8</v>
      </c>
      <c r="E544" s="62" t="n">
        <v>1480.79</v>
      </c>
      <c r="F544" s="62" t="s">
        <v>6</v>
      </c>
      <c r="G544" s="29" t="s">
        <v>24</v>
      </c>
      <c r="H544" s="29" t="s">
        <v>25</v>
      </c>
    </row>
    <row r="545" customFormat="false" ht="14.25" hidden="false" customHeight="false" outlineLevel="0" collapsed="false">
      <c r="A545" s="1" t="n">
        <v>1548</v>
      </c>
      <c r="B545" s="30" t="n">
        <v>43218</v>
      </c>
      <c r="C545" s="29" t="s">
        <v>28</v>
      </c>
      <c r="D545" s="62" t="n">
        <v>48</v>
      </c>
      <c r="E545" s="62" t="n">
        <v>2443.05</v>
      </c>
      <c r="F545" s="62" t="s">
        <v>3</v>
      </c>
      <c r="G545" s="29" t="s">
        <v>29</v>
      </c>
      <c r="H545" s="29" t="s">
        <v>36</v>
      </c>
    </row>
    <row r="546" customFormat="false" ht="14.25" hidden="false" customHeight="false" outlineLevel="0" collapsed="false">
      <c r="A546" s="1" t="n">
        <v>1549</v>
      </c>
      <c r="B546" s="30" t="n">
        <v>43218</v>
      </c>
      <c r="C546" s="29" t="s">
        <v>28</v>
      </c>
      <c r="D546" s="62" t="n">
        <v>49</v>
      </c>
      <c r="E546" s="62" t="n">
        <v>12161.21</v>
      </c>
      <c r="F546" s="62" t="s">
        <v>3</v>
      </c>
      <c r="G546" s="29" t="s">
        <v>22</v>
      </c>
      <c r="H546" s="29" t="s">
        <v>27</v>
      </c>
    </row>
    <row r="547" customFormat="false" ht="14.25" hidden="false" customHeight="false" outlineLevel="0" collapsed="false">
      <c r="A547" s="1" t="n">
        <v>1550</v>
      </c>
      <c r="B547" s="30" t="n">
        <v>43328</v>
      </c>
      <c r="C547" s="29" t="s">
        <v>31</v>
      </c>
      <c r="D547" s="62" t="n">
        <v>13</v>
      </c>
      <c r="E547" s="62" t="n">
        <v>53.7</v>
      </c>
      <c r="F547" s="62" t="s">
        <v>4</v>
      </c>
      <c r="G547" s="29" t="s">
        <v>29</v>
      </c>
      <c r="H547" s="29" t="s">
        <v>34</v>
      </c>
    </row>
    <row r="548" customFormat="false" ht="14.25" hidden="false" customHeight="false" outlineLevel="0" collapsed="false">
      <c r="A548" s="1" t="n">
        <v>1551</v>
      </c>
      <c r="B548" s="30" t="n">
        <v>43356</v>
      </c>
      <c r="C548" s="29" t="s">
        <v>28</v>
      </c>
      <c r="D548" s="62" t="n">
        <v>4</v>
      </c>
      <c r="E548" s="62" t="n">
        <v>5855.17</v>
      </c>
      <c r="F548" s="62" t="s">
        <v>5</v>
      </c>
      <c r="G548" s="29" t="s">
        <v>24</v>
      </c>
      <c r="H548" s="29" t="s">
        <v>42</v>
      </c>
    </row>
    <row r="549" customFormat="false" ht="14.25" hidden="false" customHeight="false" outlineLevel="0" collapsed="false">
      <c r="A549" s="1" t="n">
        <v>1552</v>
      </c>
      <c r="B549" s="30" t="n">
        <v>43194</v>
      </c>
      <c r="C549" s="29" t="s">
        <v>21</v>
      </c>
      <c r="D549" s="62" t="n">
        <v>26</v>
      </c>
      <c r="E549" s="62" t="n">
        <v>4667.02</v>
      </c>
      <c r="F549" s="62" t="s">
        <v>5</v>
      </c>
      <c r="G549" s="29" t="s">
        <v>24</v>
      </c>
      <c r="H549" s="29" t="s">
        <v>25</v>
      </c>
    </row>
    <row r="550" customFormat="false" ht="14.25" hidden="false" customHeight="false" outlineLevel="0" collapsed="false">
      <c r="A550" s="1" t="n">
        <v>1553</v>
      </c>
      <c r="B550" s="30" t="n">
        <v>43194</v>
      </c>
      <c r="C550" s="29" t="s">
        <v>21</v>
      </c>
      <c r="D550" s="62" t="n">
        <v>11</v>
      </c>
      <c r="E550" s="62" t="n">
        <v>4877.28</v>
      </c>
      <c r="F550" s="62" t="s">
        <v>5</v>
      </c>
      <c r="G550" s="29" t="s">
        <v>29</v>
      </c>
      <c r="H550" s="29" t="s">
        <v>38</v>
      </c>
    </row>
    <row r="551" customFormat="false" ht="14.25" hidden="false" customHeight="false" outlineLevel="0" collapsed="false">
      <c r="A551" s="1" t="n">
        <v>1554</v>
      </c>
      <c r="B551" s="30" t="n">
        <v>43194</v>
      </c>
      <c r="C551" s="29" t="s">
        <v>21</v>
      </c>
      <c r="D551" s="62" t="n">
        <v>38</v>
      </c>
      <c r="E551" s="62" t="n">
        <v>6199</v>
      </c>
      <c r="F551" s="62" t="s">
        <v>5</v>
      </c>
      <c r="G551" s="29" t="s">
        <v>24</v>
      </c>
      <c r="H551" s="29" t="s">
        <v>42</v>
      </c>
    </row>
    <row r="552" customFormat="false" ht="14.25" hidden="false" customHeight="false" outlineLevel="0" collapsed="false">
      <c r="A552" s="1" t="n">
        <v>1555</v>
      </c>
      <c r="B552" s="30" t="n">
        <v>43239</v>
      </c>
      <c r="C552" s="29" t="s">
        <v>28</v>
      </c>
      <c r="D552" s="62" t="n">
        <v>41</v>
      </c>
      <c r="E552" s="62" t="n">
        <v>4933.01</v>
      </c>
      <c r="F552" s="62" t="s">
        <v>5</v>
      </c>
      <c r="G552" s="29" t="s">
        <v>24</v>
      </c>
      <c r="H552" s="29" t="s">
        <v>25</v>
      </c>
    </row>
    <row r="553" customFormat="false" ht="14.25" hidden="false" customHeight="false" outlineLevel="0" collapsed="false">
      <c r="A553" s="1" t="n">
        <v>1556</v>
      </c>
      <c r="B553" s="30" t="n">
        <v>43239</v>
      </c>
      <c r="C553" s="29" t="s">
        <v>28</v>
      </c>
      <c r="D553" s="62" t="n">
        <v>37</v>
      </c>
      <c r="E553" s="62" t="n">
        <v>276.64</v>
      </c>
      <c r="F553" s="62" t="s">
        <v>5</v>
      </c>
      <c r="G553" s="29" t="s">
        <v>29</v>
      </c>
      <c r="H553" s="29" t="s">
        <v>36</v>
      </c>
    </row>
    <row r="554" customFormat="false" ht="14.25" hidden="false" customHeight="false" outlineLevel="0" collapsed="false">
      <c r="A554" s="1" t="n">
        <v>1557</v>
      </c>
      <c r="B554" s="30" t="n">
        <v>43313</v>
      </c>
      <c r="C554" s="29" t="s">
        <v>31</v>
      </c>
      <c r="D554" s="62" t="n">
        <v>23</v>
      </c>
      <c r="E554" s="62" t="n">
        <v>209.3</v>
      </c>
      <c r="F554" s="62" t="s">
        <v>6</v>
      </c>
      <c r="G554" s="29" t="s">
        <v>29</v>
      </c>
      <c r="H554" s="29" t="s">
        <v>36</v>
      </c>
    </row>
    <row r="555" customFormat="false" ht="14.25" hidden="false" customHeight="false" outlineLevel="0" collapsed="false">
      <c r="A555" s="1" t="n">
        <v>1558</v>
      </c>
      <c r="B555" s="30" t="n">
        <v>43437</v>
      </c>
      <c r="C555" s="29" t="s">
        <v>21</v>
      </c>
      <c r="D555" s="62" t="n">
        <v>44</v>
      </c>
      <c r="E555" s="62" t="n">
        <v>1206.76</v>
      </c>
      <c r="F555" s="62" t="s">
        <v>4</v>
      </c>
      <c r="G555" s="29" t="s">
        <v>24</v>
      </c>
      <c r="H555" s="29" t="s">
        <v>26</v>
      </c>
    </row>
    <row r="556" customFormat="false" ht="14.25" hidden="false" customHeight="false" outlineLevel="0" collapsed="false">
      <c r="A556" s="1" t="n">
        <v>1559</v>
      </c>
      <c r="B556" s="30" t="n">
        <v>43400</v>
      </c>
      <c r="C556" s="29" t="s">
        <v>39</v>
      </c>
      <c r="D556" s="62" t="n">
        <v>39</v>
      </c>
      <c r="E556" s="62" t="n">
        <v>118.11</v>
      </c>
      <c r="F556" s="62" t="s">
        <v>4</v>
      </c>
      <c r="G556" s="29" t="s">
        <v>29</v>
      </c>
      <c r="H556" s="29" t="s">
        <v>30</v>
      </c>
    </row>
    <row r="557" customFormat="false" ht="14.25" hidden="false" customHeight="false" outlineLevel="0" collapsed="false">
      <c r="A557" s="1" t="n">
        <v>1560</v>
      </c>
      <c r="B557" s="30" t="n">
        <v>43325</v>
      </c>
      <c r="C557" s="29" t="s">
        <v>31</v>
      </c>
      <c r="D557" s="62" t="n">
        <v>29</v>
      </c>
      <c r="E557" s="62" t="n">
        <v>3443.71</v>
      </c>
      <c r="F557" s="62" t="s">
        <v>3</v>
      </c>
      <c r="G557" s="29" t="s">
        <v>22</v>
      </c>
      <c r="H557" s="29" t="s">
        <v>44</v>
      </c>
    </row>
    <row r="558" customFormat="false" ht="14.25" hidden="false" customHeight="false" outlineLevel="0" collapsed="false">
      <c r="A558" s="1" t="n">
        <v>1561</v>
      </c>
      <c r="B558" s="30" t="n">
        <v>43284</v>
      </c>
      <c r="C558" s="29" t="s">
        <v>28</v>
      </c>
      <c r="D558" s="62" t="n">
        <v>20</v>
      </c>
      <c r="E558" s="62" t="n">
        <v>2314.21</v>
      </c>
      <c r="F558" s="62" t="s">
        <v>5</v>
      </c>
      <c r="G558" s="29" t="s">
        <v>24</v>
      </c>
      <c r="H558" s="29" t="s">
        <v>25</v>
      </c>
    </row>
    <row r="559" customFormat="false" ht="14.25" hidden="false" customHeight="false" outlineLevel="0" collapsed="false">
      <c r="A559" s="1" t="n">
        <v>1562</v>
      </c>
      <c r="B559" s="30" t="n">
        <v>43332</v>
      </c>
      <c r="C559" s="29" t="s">
        <v>28</v>
      </c>
      <c r="D559" s="62" t="n">
        <v>33</v>
      </c>
      <c r="E559" s="62" t="n">
        <v>266.94</v>
      </c>
      <c r="F559" s="62" t="s">
        <v>6</v>
      </c>
      <c r="G559" s="29" t="s">
        <v>24</v>
      </c>
      <c r="H559" s="29" t="s">
        <v>26</v>
      </c>
    </row>
    <row r="560" customFormat="false" ht="14.25" hidden="false" customHeight="false" outlineLevel="0" collapsed="false">
      <c r="A560" s="1" t="n">
        <v>1563</v>
      </c>
      <c r="B560" s="30" t="n">
        <v>43357</v>
      </c>
      <c r="C560" s="29" t="s">
        <v>28</v>
      </c>
      <c r="D560" s="62" t="n">
        <v>10</v>
      </c>
      <c r="E560" s="62" t="n">
        <v>1636.36</v>
      </c>
      <c r="F560" s="62" t="s">
        <v>3</v>
      </c>
      <c r="G560" s="29" t="s">
        <v>24</v>
      </c>
      <c r="H560" s="29" t="s">
        <v>25</v>
      </c>
    </row>
    <row r="561" customFormat="false" ht="14.25" hidden="false" customHeight="false" outlineLevel="0" collapsed="false">
      <c r="A561" s="1" t="n">
        <v>1564</v>
      </c>
      <c r="B561" s="30" t="n">
        <v>43357</v>
      </c>
      <c r="C561" s="29" t="s">
        <v>28</v>
      </c>
      <c r="D561" s="62" t="n">
        <v>28</v>
      </c>
      <c r="E561" s="62" t="n">
        <v>408.52</v>
      </c>
      <c r="F561" s="62" t="s">
        <v>3</v>
      </c>
      <c r="G561" s="29" t="s">
        <v>22</v>
      </c>
      <c r="H561" s="29" t="s">
        <v>23</v>
      </c>
    </row>
    <row r="562" customFormat="false" ht="14.25" hidden="false" customHeight="false" outlineLevel="0" collapsed="false">
      <c r="A562" s="1" t="n">
        <v>1565</v>
      </c>
      <c r="B562" s="30" t="n">
        <v>43346</v>
      </c>
      <c r="C562" s="29" t="s">
        <v>39</v>
      </c>
      <c r="D562" s="62" t="n">
        <v>47</v>
      </c>
      <c r="E562" s="62" t="n">
        <v>23064.49</v>
      </c>
      <c r="F562" s="62" t="s">
        <v>6</v>
      </c>
      <c r="G562" s="29" t="s">
        <v>24</v>
      </c>
      <c r="H562" s="29" t="s">
        <v>43</v>
      </c>
    </row>
    <row r="563" customFormat="false" ht="14.25" hidden="false" customHeight="false" outlineLevel="0" collapsed="false">
      <c r="A563" s="1" t="n">
        <v>1566</v>
      </c>
      <c r="B563" s="30" t="n">
        <v>43346</v>
      </c>
      <c r="C563" s="29" t="s">
        <v>39</v>
      </c>
      <c r="D563" s="62" t="n">
        <v>23</v>
      </c>
      <c r="E563" s="62" t="n">
        <v>236.44</v>
      </c>
      <c r="F563" s="62" t="s">
        <v>6</v>
      </c>
      <c r="G563" s="29" t="s">
        <v>22</v>
      </c>
      <c r="H563" s="29" t="s">
        <v>23</v>
      </c>
    </row>
    <row r="564" customFormat="false" ht="14.25" hidden="false" customHeight="false" outlineLevel="0" collapsed="false">
      <c r="A564" s="1" t="n">
        <v>1567</v>
      </c>
      <c r="B564" s="30" t="n">
        <v>43357</v>
      </c>
      <c r="C564" s="29" t="s">
        <v>28</v>
      </c>
      <c r="D564" s="62" t="n">
        <v>36</v>
      </c>
      <c r="E564" s="62" t="n">
        <v>84.55</v>
      </c>
      <c r="F564" s="62" t="s">
        <v>6</v>
      </c>
      <c r="G564" s="29" t="s">
        <v>29</v>
      </c>
      <c r="H564" s="29" t="s">
        <v>34</v>
      </c>
    </row>
    <row r="565" customFormat="false" ht="14.25" hidden="false" customHeight="false" outlineLevel="0" collapsed="false">
      <c r="A565" s="1" t="n">
        <v>1568</v>
      </c>
      <c r="B565" s="30" t="n">
        <v>43195</v>
      </c>
      <c r="C565" s="29" t="s">
        <v>31</v>
      </c>
      <c r="D565" s="62" t="n">
        <v>16</v>
      </c>
      <c r="E565" s="62" t="n">
        <v>148.73</v>
      </c>
      <c r="F565" s="62" t="s">
        <v>6</v>
      </c>
      <c r="G565" s="29" t="s">
        <v>29</v>
      </c>
      <c r="H565" s="29" t="s">
        <v>41</v>
      </c>
    </row>
    <row r="566" customFormat="false" ht="14.25" hidden="false" customHeight="false" outlineLevel="0" collapsed="false">
      <c r="A566" s="1" t="n">
        <v>1569</v>
      </c>
      <c r="B566" s="30" t="n">
        <v>43337</v>
      </c>
      <c r="C566" s="29" t="s">
        <v>31</v>
      </c>
      <c r="D566" s="62" t="n">
        <v>42</v>
      </c>
      <c r="E566" s="62" t="n">
        <v>2683</v>
      </c>
      <c r="F566" s="62" t="s">
        <v>3</v>
      </c>
      <c r="G566" s="29" t="s">
        <v>29</v>
      </c>
      <c r="H566" s="29" t="s">
        <v>41</v>
      </c>
    </row>
    <row r="567" customFormat="false" ht="14.25" hidden="false" customHeight="false" outlineLevel="0" collapsed="false">
      <c r="A567" s="1" t="n">
        <v>1570</v>
      </c>
      <c r="B567" s="30" t="n">
        <v>43413</v>
      </c>
      <c r="C567" s="29" t="s">
        <v>31</v>
      </c>
      <c r="D567" s="62" t="n">
        <v>37</v>
      </c>
      <c r="E567" s="62" t="n">
        <v>650.91</v>
      </c>
      <c r="F567" s="62" t="s">
        <v>3</v>
      </c>
      <c r="G567" s="29" t="s">
        <v>29</v>
      </c>
      <c r="H567" s="29" t="s">
        <v>38</v>
      </c>
    </row>
    <row r="568" customFormat="false" ht="14.25" hidden="false" customHeight="false" outlineLevel="0" collapsed="false">
      <c r="A568" s="1" t="n">
        <v>1571</v>
      </c>
      <c r="B568" s="30" t="n">
        <v>43322</v>
      </c>
      <c r="C568" s="29" t="s">
        <v>39</v>
      </c>
      <c r="D568" s="62" t="n">
        <v>33</v>
      </c>
      <c r="E568" s="62" t="n">
        <v>1127.5</v>
      </c>
      <c r="F568" s="62" t="s">
        <v>5</v>
      </c>
      <c r="G568" s="29" t="s">
        <v>22</v>
      </c>
      <c r="H568" s="29" t="s">
        <v>23</v>
      </c>
    </row>
    <row r="569" customFormat="false" ht="14.25" hidden="false" customHeight="false" outlineLevel="0" collapsed="false">
      <c r="A569" s="1" t="n">
        <v>1572</v>
      </c>
      <c r="B569" s="30" t="n">
        <v>43201</v>
      </c>
      <c r="C569" s="29" t="s">
        <v>37</v>
      </c>
      <c r="D569" s="62" t="n">
        <v>4</v>
      </c>
      <c r="E569" s="62" t="n">
        <v>507.05</v>
      </c>
      <c r="F569" s="62" t="s">
        <v>5</v>
      </c>
      <c r="G569" s="29" t="s">
        <v>22</v>
      </c>
      <c r="H569" s="29" t="s">
        <v>40</v>
      </c>
    </row>
    <row r="570" customFormat="false" ht="14.25" hidden="false" customHeight="false" outlineLevel="0" collapsed="false">
      <c r="A570" s="1" t="n">
        <v>1573</v>
      </c>
      <c r="B570" s="30" t="n">
        <v>43201</v>
      </c>
      <c r="C570" s="29" t="s">
        <v>37</v>
      </c>
      <c r="D570" s="62" t="n">
        <v>50</v>
      </c>
      <c r="E570" s="62" t="n">
        <v>908.46</v>
      </c>
      <c r="F570" s="62" t="s">
        <v>5</v>
      </c>
      <c r="G570" s="29" t="s">
        <v>24</v>
      </c>
      <c r="H570" s="29" t="s">
        <v>25</v>
      </c>
    </row>
    <row r="571" customFormat="false" ht="14.25" hidden="false" customHeight="false" outlineLevel="0" collapsed="false">
      <c r="A571" s="1" t="n">
        <v>1574</v>
      </c>
      <c r="B571" s="30" t="n">
        <v>43154</v>
      </c>
      <c r="C571" s="29" t="s">
        <v>37</v>
      </c>
      <c r="D571" s="62" t="n">
        <v>34</v>
      </c>
      <c r="E571" s="62" t="n">
        <v>205.69</v>
      </c>
      <c r="F571" s="62" t="s">
        <v>5</v>
      </c>
      <c r="G571" s="29" t="s">
        <v>29</v>
      </c>
      <c r="H571" s="29" t="s">
        <v>36</v>
      </c>
    </row>
    <row r="572" customFormat="false" ht="14.25" hidden="false" customHeight="false" outlineLevel="0" collapsed="false">
      <c r="A572" s="1" t="n">
        <v>1575</v>
      </c>
      <c r="B572" s="30" t="n">
        <v>43154</v>
      </c>
      <c r="C572" s="29" t="s">
        <v>37</v>
      </c>
      <c r="D572" s="62" t="n">
        <v>38</v>
      </c>
      <c r="E572" s="62" t="n">
        <v>4817.42</v>
      </c>
      <c r="F572" s="62" t="s">
        <v>5</v>
      </c>
      <c r="G572" s="29" t="s">
        <v>24</v>
      </c>
      <c r="H572" s="29" t="s">
        <v>42</v>
      </c>
    </row>
    <row r="573" customFormat="false" ht="14.25" hidden="false" customHeight="false" outlineLevel="0" collapsed="false">
      <c r="A573" s="1" t="n">
        <v>1576</v>
      </c>
      <c r="B573" s="30" t="n">
        <v>43367</v>
      </c>
      <c r="C573" s="29" t="s">
        <v>21</v>
      </c>
      <c r="D573" s="62" t="n">
        <v>33</v>
      </c>
      <c r="E573" s="62" t="n">
        <v>5727.64</v>
      </c>
      <c r="F573" s="62" t="s">
        <v>4</v>
      </c>
      <c r="G573" s="29" t="s">
        <v>24</v>
      </c>
      <c r="H573" s="29" t="s">
        <v>25</v>
      </c>
    </row>
    <row r="574" customFormat="false" ht="14.25" hidden="false" customHeight="false" outlineLevel="0" collapsed="false">
      <c r="A574" s="1" t="n">
        <v>1577</v>
      </c>
      <c r="B574" s="30" t="n">
        <v>43367</v>
      </c>
      <c r="C574" s="29" t="s">
        <v>21</v>
      </c>
      <c r="D574" s="62" t="n">
        <v>23</v>
      </c>
      <c r="E574" s="62" t="n">
        <v>8696.44</v>
      </c>
      <c r="F574" s="62" t="s">
        <v>4</v>
      </c>
      <c r="G574" s="29" t="s">
        <v>22</v>
      </c>
      <c r="H574" s="29" t="s">
        <v>27</v>
      </c>
    </row>
    <row r="575" customFormat="false" ht="14.25" hidden="false" customHeight="false" outlineLevel="0" collapsed="false">
      <c r="A575" s="1" t="n">
        <v>1578</v>
      </c>
      <c r="B575" s="30" t="n">
        <v>43257</v>
      </c>
      <c r="C575" s="29" t="s">
        <v>31</v>
      </c>
      <c r="D575" s="62" t="n">
        <v>8</v>
      </c>
      <c r="E575" s="62" t="n">
        <v>250.68</v>
      </c>
      <c r="F575" s="62" t="s">
        <v>4</v>
      </c>
      <c r="G575" s="29" t="s">
        <v>29</v>
      </c>
      <c r="H575" s="29" t="s">
        <v>38</v>
      </c>
    </row>
    <row r="576" customFormat="false" ht="14.25" hidden="false" customHeight="false" outlineLevel="0" collapsed="false">
      <c r="A576" s="1" t="n">
        <v>1579</v>
      </c>
      <c r="B576" s="30" t="n">
        <v>43257</v>
      </c>
      <c r="C576" s="29" t="s">
        <v>31</v>
      </c>
      <c r="D576" s="62" t="n">
        <v>48</v>
      </c>
      <c r="E576" s="62" t="n">
        <v>221.58</v>
      </c>
      <c r="F576" s="62" t="s">
        <v>4</v>
      </c>
      <c r="G576" s="29" t="s">
        <v>29</v>
      </c>
      <c r="H576" s="29" t="s">
        <v>36</v>
      </c>
    </row>
    <row r="577" customFormat="false" ht="14.25" hidden="false" customHeight="false" outlineLevel="0" collapsed="false">
      <c r="A577" s="1" t="n">
        <v>1580</v>
      </c>
      <c r="B577" s="30" t="n">
        <v>43257</v>
      </c>
      <c r="C577" s="29" t="s">
        <v>31</v>
      </c>
      <c r="D577" s="62" t="n">
        <v>41</v>
      </c>
      <c r="E577" s="62" t="n">
        <v>1904.48</v>
      </c>
      <c r="F577" s="62" t="s">
        <v>4</v>
      </c>
      <c r="G577" s="29" t="s">
        <v>24</v>
      </c>
      <c r="H577" s="29" t="s">
        <v>25</v>
      </c>
    </row>
    <row r="578" customFormat="false" ht="14.25" hidden="false" customHeight="false" outlineLevel="0" collapsed="false">
      <c r="A578" s="1" t="n">
        <v>1581</v>
      </c>
      <c r="B578" s="30" t="n">
        <v>43199</v>
      </c>
      <c r="C578" s="29" t="s">
        <v>37</v>
      </c>
      <c r="D578" s="62" t="n">
        <v>45</v>
      </c>
      <c r="E578" s="62" t="n">
        <v>4920.64</v>
      </c>
      <c r="F578" s="62" t="s">
        <v>4</v>
      </c>
      <c r="G578" s="29" t="s">
        <v>24</v>
      </c>
      <c r="H578" s="29" t="s">
        <v>26</v>
      </c>
    </row>
    <row r="579" customFormat="false" ht="14.25" hidden="false" customHeight="false" outlineLevel="0" collapsed="false">
      <c r="A579" s="1" t="n">
        <v>1582</v>
      </c>
      <c r="B579" s="30" t="n">
        <v>43199</v>
      </c>
      <c r="C579" s="29" t="s">
        <v>37</v>
      </c>
      <c r="D579" s="62" t="n">
        <v>12</v>
      </c>
      <c r="E579" s="62" t="n">
        <v>424.46</v>
      </c>
      <c r="F579" s="62" t="s">
        <v>4</v>
      </c>
      <c r="G579" s="29" t="s">
        <v>29</v>
      </c>
      <c r="H579" s="29" t="s">
        <v>38</v>
      </c>
    </row>
    <row r="580" customFormat="false" ht="14.25" hidden="false" customHeight="false" outlineLevel="0" collapsed="false">
      <c r="A580" s="1" t="n">
        <v>1583</v>
      </c>
      <c r="B580" s="30" t="n">
        <v>43199</v>
      </c>
      <c r="C580" s="29" t="s">
        <v>37</v>
      </c>
      <c r="D580" s="62" t="n">
        <v>45</v>
      </c>
      <c r="E580" s="62" t="n">
        <v>2860.2</v>
      </c>
      <c r="F580" s="62" t="s">
        <v>4</v>
      </c>
      <c r="G580" s="29" t="s">
        <v>22</v>
      </c>
      <c r="H580" s="29" t="s">
        <v>23</v>
      </c>
    </row>
    <row r="581" customFormat="false" ht="14.25" hidden="false" customHeight="false" outlineLevel="0" collapsed="false">
      <c r="A581" s="1" t="n">
        <v>1584</v>
      </c>
      <c r="B581" s="30" t="n">
        <v>43141</v>
      </c>
      <c r="C581" s="29" t="s">
        <v>31</v>
      </c>
      <c r="D581" s="62" t="n">
        <v>1</v>
      </c>
      <c r="E581" s="62" t="n">
        <v>184.4</v>
      </c>
      <c r="F581" s="62" t="s">
        <v>5</v>
      </c>
      <c r="G581" s="29" t="s">
        <v>22</v>
      </c>
      <c r="H581" s="29" t="s">
        <v>40</v>
      </c>
    </row>
    <row r="582" customFormat="false" ht="14.25" hidden="false" customHeight="false" outlineLevel="0" collapsed="false">
      <c r="A582" s="1" t="n">
        <v>1585</v>
      </c>
      <c r="B582" s="30" t="n">
        <v>43357</v>
      </c>
      <c r="C582" s="29" t="s">
        <v>39</v>
      </c>
      <c r="D582" s="62" t="n">
        <v>18</v>
      </c>
      <c r="E582" s="62" t="n">
        <v>989.78</v>
      </c>
      <c r="F582" s="62" t="s">
        <v>4</v>
      </c>
      <c r="G582" s="29" t="s">
        <v>24</v>
      </c>
      <c r="H582" s="29" t="s">
        <v>26</v>
      </c>
    </row>
    <row r="583" customFormat="false" ht="14.25" hidden="false" customHeight="false" outlineLevel="0" collapsed="false">
      <c r="A583" s="1" t="n">
        <v>1586</v>
      </c>
      <c r="B583" s="30" t="n">
        <v>43267</v>
      </c>
      <c r="C583" s="29" t="s">
        <v>37</v>
      </c>
      <c r="D583" s="62" t="n">
        <v>20</v>
      </c>
      <c r="E583" s="62" t="n">
        <v>159.06</v>
      </c>
      <c r="F583" s="62" t="s">
        <v>3</v>
      </c>
      <c r="G583" s="29" t="s">
        <v>29</v>
      </c>
      <c r="H583" s="29" t="s">
        <v>36</v>
      </c>
    </row>
    <row r="584" customFormat="false" ht="14.25" hidden="false" customHeight="false" outlineLevel="0" collapsed="false">
      <c r="A584" s="1" t="n">
        <v>1587</v>
      </c>
      <c r="B584" s="30" t="n">
        <v>43267</v>
      </c>
      <c r="C584" s="29" t="s">
        <v>37</v>
      </c>
      <c r="D584" s="62" t="n">
        <v>28</v>
      </c>
      <c r="E584" s="62" t="n">
        <v>212.08</v>
      </c>
      <c r="F584" s="62" t="s">
        <v>3</v>
      </c>
      <c r="G584" s="29" t="s">
        <v>29</v>
      </c>
      <c r="H584" s="29" t="s">
        <v>36</v>
      </c>
    </row>
    <row r="585" customFormat="false" ht="14.25" hidden="false" customHeight="false" outlineLevel="0" collapsed="false">
      <c r="A585" s="1" t="n">
        <v>1588</v>
      </c>
      <c r="B585" s="30" t="n">
        <v>43112</v>
      </c>
      <c r="C585" s="29" t="s">
        <v>39</v>
      </c>
      <c r="D585" s="62" t="n">
        <v>41</v>
      </c>
      <c r="E585" s="62" t="n">
        <v>1360.02</v>
      </c>
      <c r="F585" s="62" t="s">
        <v>3</v>
      </c>
      <c r="G585" s="29" t="s">
        <v>24</v>
      </c>
      <c r="H585" s="29" t="s">
        <v>25</v>
      </c>
    </row>
    <row r="586" customFormat="false" ht="14.25" hidden="false" customHeight="false" outlineLevel="0" collapsed="false">
      <c r="A586" s="1" t="n">
        <v>1589</v>
      </c>
      <c r="B586" s="30" t="n">
        <v>43364</v>
      </c>
      <c r="C586" s="29" t="s">
        <v>39</v>
      </c>
      <c r="D586" s="62" t="n">
        <v>20</v>
      </c>
      <c r="E586" s="62" t="n">
        <v>82.27</v>
      </c>
      <c r="F586" s="62" t="s">
        <v>6</v>
      </c>
      <c r="G586" s="29" t="s">
        <v>29</v>
      </c>
      <c r="H586" s="29" t="s">
        <v>35</v>
      </c>
    </row>
    <row r="587" customFormat="false" ht="14.25" hidden="false" customHeight="false" outlineLevel="0" collapsed="false">
      <c r="A587" s="1" t="n">
        <v>1590</v>
      </c>
      <c r="B587" s="30" t="n">
        <v>43439</v>
      </c>
      <c r="C587" s="29" t="s">
        <v>28</v>
      </c>
      <c r="D587" s="62" t="n">
        <v>29</v>
      </c>
      <c r="E587" s="62" t="n">
        <v>640.38</v>
      </c>
      <c r="F587" s="62" t="s">
        <v>3</v>
      </c>
      <c r="G587" s="29" t="s">
        <v>24</v>
      </c>
      <c r="H587" s="29" t="s">
        <v>26</v>
      </c>
    </row>
    <row r="588" customFormat="false" ht="14.25" hidden="false" customHeight="false" outlineLevel="0" collapsed="false">
      <c r="A588" s="1" t="n">
        <v>1591</v>
      </c>
      <c r="B588" s="30" t="n">
        <v>43170</v>
      </c>
      <c r="C588" s="29" t="s">
        <v>21</v>
      </c>
      <c r="D588" s="62" t="n">
        <v>15</v>
      </c>
      <c r="E588" s="62" t="n">
        <v>232.9</v>
      </c>
      <c r="F588" s="62" t="s">
        <v>4</v>
      </c>
      <c r="G588" s="29" t="s">
        <v>29</v>
      </c>
      <c r="H588" s="29" t="s">
        <v>41</v>
      </c>
    </row>
    <row r="589" customFormat="false" ht="14.25" hidden="false" customHeight="false" outlineLevel="0" collapsed="false">
      <c r="A589" s="1" t="n">
        <v>1592</v>
      </c>
      <c r="B589" s="30" t="n">
        <v>43170</v>
      </c>
      <c r="C589" s="29" t="s">
        <v>21</v>
      </c>
      <c r="D589" s="62" t="n">
        <v>5</v>
      </c>
      <c r="E589" s="62" t="n">
        <v>1470.9</v>
      </c>
      <c r="F589" s="62" t="s">
        <v>4</v>
      </c>
      <c r="G589" s="29" t="s">
        <v>29</v>
      </c>
      <c r="H589" s="29" t="s">
        <v>41</v>
      </c>
    </row>
    <row r="590" customFormat="false" ht="14.25" hidden="false" customHeight="false" outlineLevel="0" collapsed="false">
      <c r="A590" s="1" t="n">
        <v>1593</v>
      </c>
      <c r="B590" s="30" t="n">
        <v>43170</v>
      </c>
      <c r="C590" s="29" t="s">
        <v>21</v>
      </c>
      <c r="D590" s="62" t="n">
        <v>42</v>
      </c>
      <c r="E590" s="62" t="n">
        <v>482.91</v>
      </c>
      <c r="F590" s="62" t="s">
        <v>4</v>
      </c>
      <c r="G590" s="29" t="s">
        <v>22</v>
      </c>
      <c r="H590" s="29" t="s">
        <v>23</v>
      </c>
    </row>
    <row r="591" customFormat="false" ht="14.25" hidden="false" customHeight="false" outlineLevel="0" collapsed="false">
      <c r="A591" s="1" t="n">
        <v>1594</v>
      </c>
      <c r="B591" s="30" t="n">
        <v>43170</v>
      </c>
      <c r="C591" s="29" t="s">
        <v>21</v>
      </c>
      <c r="D591" s="62" t="n">
        <v>12</v>
      </c>
      <c r="E591" s="62" t="n">
        <v>81.77</v>
      </c>
      <c r="F591" s="62" t="s">
        <v>4</v>
      </c>
      <c r="G591" s="29" t="s">
        <v>29</v>
      </c>
      <c r="H591" s="29" t="s">
        <v>30</v>
      </c>
    </row>
    <row r="592" customFormat="false" ht="14.25" hidden="false" customHeight="false" outlineLevel="0" collapsed="false">
      <c r="A592" s="1" t="n">
        <v>1595</v>
      </c>
      <c r="B592" s="30" t="n">
        <v>43224</v>
      </c>
      <c r="C592" s="29" t="s">
        <v>28</v>
      </c>
      <c r="D592" s="62" t="n">
        <v>46</v>
      </c>
      <c r="E592" s="62" t="n">
        <v>7102.26</v>
      </c>
      <c r="F592" s="62" t="s">
        <v>3</v>
      </c>
      <c r="G592" s="29" t="s">
        <v>24</v>
      </c>
      <c r="H592" s="29" t="s">
        <v>42</v>
      </c>
    </row>
    <row r="593" customFormat="false" ht="14.25" hidden="false" customHeight="false" outlineLevel="0" collapsed="false">
      <c r="A593" s="1" t="n">
        <v>1596</v>
      </c>
      <c r="B593" s="30" t="n">
        <v>43224</v>
      </c>
      <c r="C593" s="29" t="s">
        <v>28</v>
      </c>
      <c r="D593" s="62" t="n">
        <v>13</v>
      </c>
      <c r="E593" s="62" t="n">
        <v>993.93</v>
      </c>
      <c r="F593" s="62" t="s">
        <v>3</v>
      </c>
      <c r="G593" s="29" t="s">
        <v>24</v>
      </c>
      <c r="H593" s="29" t="s">
        <v>25</v>
      </c>
    </row>
    <row r="594" customFormat="false" ht="14.25" hidden="false" customHeight="false" outlineLevel="0" collapsed="false">
      <c r="A594" s="1" t="n">
        <v>1597</v>
      </c>
      <c r="B594" s="30" t="n">
        <v>43219</v>
      </c>
      <c r="C594" s="29" t="s">
        <v>31</v>
      </c>
      <c r="D594" s="62" t="n">
        <v>22</v>
      </c>
      <c r="E594" s="62" t="n">
        <v>145.78</v>
      </c>
      <c r="F594" s="62" t="s">
        <v>4</v>
      </c>
      <c r="G594" s="29" t="s">
        <v>29</v>
      </c>
      <c r="H594" s="29" t="s">
        <v>36</v>
      </c>
    </row>
    <row r="595" customFormat="false" ht="14.25" hidden="false" customHeight="false" outlineLevel="0" collapsed="false">
      <c r="A595" s="1" t="n">
        <v>1598</v>
      </c>
      <c r="B595" s="30" t="n">
        <v>43219</v>
      </c>
      <c r="C595" s="29" t="s">
        <v>31</v>
      </c>
      <c r="D595" s="62" t="n">
        <v>33</v>
      </c>
      <c r="E595" s="62" t="n">
        <v>364.84</v>
      </c>
      <c r="F595" s="62" t="s">
        <v>4</v>
      </c>
      <c r="G595" s="29" t="s">
        <v>29</v>
      </c>
      <c r="H595" s="29" t="s">
        <v>41</v>
      </c>
    </row>
    <row r="596" customFormat="false" ht="14.25" hidden="false" customHeight="false" outlineLevel="0" collapsed="false">
      <c r="A596" s="1" t="n">
        <v>1599</v>
      </c>
      <c r="B596" s="30" t="n">
        <v>43392</v>
      </c>
      <c r="C596" s="29" t="s">
        <v>28</v>
      </c>
      <c r="D596" s="62" t="n">
        <v>29</v>
      </c>
      <c r="E596" s="62" t="n">
        <v>246.92</v>
      </c>
      <c r="F596" s="62" t="s">
        <v>5</v>
      </c>
      <c r="G596" s="29" t="s">
        <v>29</v>
      </c>
      <c r="H596" s="29" t="s">
        <v>32</v>
      </c>
    </row>
    <row r="597" customFormat="false" ht="14.25" hidden="false" customHeight="false" outlineLevel="0" collapsed="false">
      <c r="A597" s="1" t="n">
        <v>1600</v>
      </c>
      <c r="B597" s="30" t="n">
        <v>43392</v>
      </c>
      <c r="C597" s="29" t="s">
        <v>28</v>
      </c>
      <c r="D597" s="62" t="n">
        <v>31</v>
      </c>
      <c r="E597" s="62" t="n">
        <v>543.11</v>
      </c>
      <c r="F597" s="62" t="s">
        <v>5</v>
      </c>
      <c r="G597" s="29" t="s">
        <v>29</v>
      </c>
      <c r="H597" s="29" t="s">
        <v>38</v>
      </c>
    </row>
    <row r="598" customFormat="false" ht="14.25" hidden="false" customHeight="false" outlineLevel="0" collapsed="false">
      <c r="A598" s="1" t="n">
        <v>1601</v>
      </c>
      <c r="B598" s="30" t="n">
        <v>43463</v>
      </c>
      <c r="C598" s="29" t="s">
        <v>39</v>
      </c>
      <c r="D598" s="62" t="n">
        <v>36</v>
      </c>
      <c r="E598" s="62" t="n">
        <v>302.36</v>
      </c>
      <c r="F598" s="62" t="s">
        <v>4</v>
      </c>
      <c r="G598" s="29" t="s">
        <v>24</v>
      </c>
      <c r="H598" s="29" t="s">
        <v>26</v>
      </c>
    </row>
    <row r="599" customFormat="false" ht="14.25" hidden="false" customHeight="false" outlineLevel="0" collapsed="false">
      <c r="A599" s="1" t="n">
        <v>1602</v>
      </c>
      <c r="B599" s="30" t="n">
        <v>43453</v>
      </c>
      <c r="C599" s="29" t="s">
        <v>31</v>
      </c>
      <c r="D599" s="62" t="n">
        <v>41</v>
      </c>
      <c r="E599" s="62" t="n">
        <v>171.32</v>
      </c>
      <c r="F599" s="62" t="s">
        <v>5</v>
      </c>
      <c r="G599" s="29" t="s">
        <v>29</v>
      </c>
      <c r="H599" s="29" t="s">
        <v>36</v>
      </c>
    </row>
    <row r="600" customFormat="false" ht="14.25" hidden="false" customHeight="false" outlineLevel="0" collapsed="false">
      <c r="A600" s="1" t="n">
        <v>1603</v>
      </c>
      <c r="B600" s="30" t="n">
        <v>43364</v>
      </c>
      <c r="C600" s="29" t="s">
        <v>21</v>
      </c>
      <c r="D600" s="62" t="n">
        <v>19</v>
      </c>
      <c r="E600" s="62" t="n">
        <v>1125.63</v>
      </c>
      <c r="F600" s="62" t="s">
        <v>4</v>
      </c>
      <c r="G600" s="29" t="s">
        <v>22</v>
      </c>
      <c r="H600" s="29" t="s">
        <v>27</v>
      </c>
    </row>
    <row r="601" customFormat="false" ht="14.25" hidden="false" customHeight="false" outlineLevel="0" collapsed="false">
      <c r="A601" s="1" t="n">
        <v>1604</v>
      </c>
      <c r="B601" s="30" t="n">
        <v>43364</v>
      </c>
      <c r="C601" s="29" t="s">
        <v>21</v>
      </c>
      <c r="D601" s="62" t="n">
        <v>23</v>
      </c>
      <c r="E601" s="62" t="n">
        <v>7032.08</v>
      </c>
      <c r="F601" s="62" t="s">
        <v>4</v>
      </c>
      <c r="G601" s="29" t="s">
        <v>24</v>
      </c>
      <c r="H601" s="29" t="s">
        <v>26</v>
      </c>
    </row>
    <row r="602" customFormat="false" ht="14.25" hidden="false" customHeight="false" outlineLevel="0" collapsed="false">
      <c r="A602" s="1" t="n">
        <v>1605</v>
      </c>
      <c r="B602" s="30" t="n">
        <v>43163</v>
      </c>
      <c r="C602" s="29" t="s">
        <v>28</v>
      </c>
      <c r="D602" s="62" t="n">
        <v>49</v>
      </c>
      <c r="E602" s="62" t="n">
        <v>15351</v>
      </c>
      <c r="F602" s="62" t="s">
        <v>5</v>
      </c>
      <c r="G602" s="29" t="s">
        <v>29</v>
      </c>
      <c r="H602" s="29" t="s">
        <v>34</v>
      </c>
    </row>
    <row r="603" customFormat="false" ht="14.25" hidden="false" customHeight="false" outlineLevel="0" collapsed="false">
      <c r="A603" s="1" t="n">
        <v>1606</v>
      </c>
      <c r="B603" s="30" t="n">
        <v>43163</v>
      </c>
      <c r="C603" s="29" t="s">
        <v>28</v>
      </c>
      <c r="D603" s="62" t="n">
        <v>15</v>
      </c>
      <c r="E603" s="62" t="n">
        <v>43.16</v>
      </c>
      <c r="F603" s="62" t="s">
        <v>5</v>
      </c>
      <c r="G603" s="29" t="s">
        <v>29</v>
      </c>
      <c r="H603" s="29" t="s">
        <v>35</v>
      </c>
    </row>
    <row r="604" customFormat="false" ht="14.25" hidden="false" customHeight="false" outlineLevel="0" collapsed="false">
      <c r="A604" s="1" t="n">
        <v>1607</v>
      </c>
      <c r="B604" s="30" t="n">
        <v>43163</v>
      </c>
      <c r="C604" s="29" t="s">
        <v>28</v>
      </c>
      <c r="D604" s="62" t="n">
        <v>41</v>
      </c>
      <c r="E604" s="62" t="n">
        <v>4228.29</v>
      </c>
      <c r="F604" s="62" t="s">
        <v>5</v>
      </c>
      <c r="G604" s="29" t="s">
        <v>24</v>
      </c>
      <c r="H604" s="29" t="s">
        <v>25</v>
      </c>
    </row>
    <row r="605" customFormat="false" ht="14.25" hidden="false" customHeight="false" outlineLevel="0" collapsed="false">
      <c r="A605" s="1" t="n">
        <v>1608</v>
      </c>
      <c r="B605" s="30" t="n">
        <v>43174</v>
      </c>
      <c r="C605" s="29" t="s">
        <v>21</v>
      </c>
      <c r="D605" s="62" t="n">
        <v>50</v>
      </c>
      <c r="E605" s="62" t="n">
        <v>1667.25</v>
      </c>
      <c r="F605" s="62" t="s">
        <v>6</v>
      </c>
      <c r="G605" s="29" t="s">
        <v>29</v>
      </c>
      <c r="H605" s="29" t="s">
        <v>36</v>
      </c>
    </row>
    <row r="606" customFormat="false" ht="14.25" hidden="false" customHeight="false" outlineLevel="0" collapsed="false">
      <c r="A606" s="1" t="n">
        <v>1609</v>
      </c>
      <c r="B606" s="30" t="n">
        <v>43361</v>
      </c>
      <c r="C606" s="29" t="s">
        <v>21</v>
      </c>
      <c r="D606" s="62" t="n">
        <v>17</v>
      </c>
      <c r="E606" s="62" t="n">
        <v>375.84</v>
      </c>
      <c r="F606" s="62" t="s">
        <v>6</v>
      </c>
      <c r="G606" s="29" t="s">
        <v>29</v>
      </c>
      <c r="H606" s="29" t="s">
        <v>36</v>
      </c>
    </row>
    <row r="607" customFormat="false" ht="14.25" hidden="false" customHeight="false" outlineLevel="0" collapsed="false">
      <c r="A607" s="1" t="n">
        <v>1610</v>
      </c>
      <c r="B607" s="30" t="n">
        <v>43274</v>
      </c>
      <c r="C607" s="29" t="s">
        <v>28</v>
      </c>
      <c r="D607" s="62" t="n">
        <v>5</v>
      </c>
      <c r="E607" s="62" t="n">
        <v>140.46</v>
      </c>
      <c r="F607" s="62" t="s">
        <v>5</v>
      </c>
      <c r="G607" s="29" t="s">
        <v>22</v>
      </c>
      <c r="H607" s="29" t="s">
        <v>40</v>
      </c>
    </row>
    <row r="608" customFormat="false" ht="14.25" hidden="false" customHeight="false" outlineLevel="0" collapsed="false">
      <c r="A608" s="1" t="n">
        <v>1611</v>
      </c>
      <c r="B608" s="30" t="n">
        <v>43274</v>
      </c>
      <c r="C608" s="29" t="s">
        <v>28</v>
      </c>
      <c r="D608" s="62" t="n">
        <v>29</v>
      </c>
      <c r="E608" s="62" t="n">
        <v>14521.72</v>
      </c>
      <c r="F608" s="62" t="s">
        <v>5</v>
      </c>
      <c r="G608" s="29" t="s">
        <v>24</v>
      </c>
      <c r="H608" s="29" t="s">
        <v>43</v>
      </c>
    </row>
    <row r="609" customFormat="false" ht="14.25" hidden="false" customHeight="false" outlineLevel="0" collapsed="false">
      <c r="A609" s="1" t="n">
        <v>1612</v>
      </c>
      <c r="B609" s="30" t="n">
        <v>43279</v>
      </c>
      <c r="C609" s="29" t="s">
        <v>31</v>
      </c>
      <c r="D609" s="62" t="n">
        <v>10</v>
      </c>
      <c r="E609" s="62" t="n">
        <v>347.02</v>
      </c>
      <c r="F609" s="62" t="s">
        <v>4</v>
      </c>
      <c r="G609" s="29" t="s">
        <v>24</v>
      </c>
      <c r="H609" s="29" t="s">
        <v>25</v>
      </c>
    </row>
    <row r="610" customFormat="false" ht="14.25" hidden="false" customHeight="false" outlineLevel="0" collapsed="false">
      <c r="A610" s="1" t="n">
        <v>1613</v>
      </c>
      <c r="B610" s="30" t="n">
        <v>43279</v>
      </c>
      <c r="C610" s="29" t="s">
        <v>31</v>
      </c>
      <c r="D610" s="62" t="n">
        <v>16</v>
      </c>
      <c r="E610" s="62" t="n">
        <v>65.81</v>
      </c>
      <c r="F610" s="62" t="s">
        <v>4</v>
      </c>
      <c r="G610" s="29" t="s">
        <v>29</v>
      </c>
      <c r="H610" s="29" t="s">
        <v>36</v>
      </c>
    </row>
    <row r="611" customFormat="false" ht="14.25" hidden="false" customHeight="false" outlineLevel="0" collapsed="false">
      <c r="A611" s="1" t="n">
        <v>1614</v>
      </c>
      <c r="B611" s="30" t="n">
        <v>43452</v>
      </c>
      <c r="C611" s="29" t="s">
        <v>21</v>
      </c>
      <c r="D611" s="62" t="n">
        <v>10</v>
      </c>
      <c r="E611" s="62" t="n">
        <v>226.81</v>
      </c>
      <c r="F611" s="62" t="s">
        <v>4</v>
      </c>
      <c r="G611" s="29" t="s">
        <v>29</v>
      </c>
      <c r="H611" s="29" t="s">
        <v>30</v>
      </c>
    </row>
    <row r="612" customFormat="false" ht="14.25" hidden="false" customHeight="false" outlineLevel="0" collapsed="false">
      <c r="A612" s="1" t="n">
        <v>1615</v>
      </c>
      <c r="B612" s="30" t="n">
        <v>43306</v>
      </c>
      <c r="C612" s="29" t="s">
        <v>39</v>
      </c>
      <c r="D612" s="62" t="n">
        <v>3</v>
      </c>
      <c r="E612" s="62" t="n">
        <v>38.58</v>
      </c>
      <c r="F612" s="62" t="s">
        <v>4</v>
      </c>
      <c r="G612" s="29" t="s">
        <v>29</v>
      </c>
      <c r="H612" s="29" t="s">
        <v>41</v>
      </c>
    </row>
    <row r="613" customFormat="false" ht="14.25" hidden="false" customHeight="false" outlineLevel="0" collapsed="false">
      <c r="A613" s="1" t="n">
        <v>1616</v>
      </c>
      <c r="B613" s="30" t="n">
        <v>43306</v>
      </c>
      <c r="C613" s="29" t="s">
        <v>39</v>
      </c>
      <c r="D613" s="62" t="n">
        <v>43</v>
      </c>
      <c r="E613" s="62" t="n">
        <v>1979.29</v>
      </c>
      <c r="F613" s="62" t="s">
        <v>4</v>
      </c>
      <c r="G613" s="29" t="s">
        <v>29</v>
      </c>
      <c r="H613" s="29" t="s">
        <v>41</v>
      </c>
    </row>
    <row r="614" customFormat="false" ht="14.25" hidden="false" customHeight="false" outlineLevel="0" collapsed="false">
      <c r="A614" s="1" t="n">
        <v>1617</v>
      </c>
      <c r="B614" s="30" t="n">
        <v>43347</v>
      </c>
      <c r="C614" s="29" t="s">
        <v>39</v>
      </c>
      <c r="D614" s="62" t="n">
        <v>30</v>
      </c>
      <c r="E614" s="62" t="n">
        <v>414.09</v>
      </c>
      <c r="F614" s="62" t="s">
        <v>5</v>
      </c>
      <c r="G614" s="29" t="s">
        <v>29</v>
      </c>
      <c r="H614" s="29" t="s">
        <v>38</v>
      </c>
    </row>
    <row r="615" customFormat="false" ht="14.25" hidden="false" customHeight="false" outlineLevel="0" collapsed="false">
      <c r="A615" s="1" t="n">
        <v>1618</v>
      </c>
      <c r="B615" s="30" t="n">
        <v>43371</v>
      </c>
      <c r="C615" s="29" t="s">
        <v>21</v>
      </c>
      <c r="D615" s="62" t="n">
        <v>40</v>
      </c>
      <c r="E615" s="62" t="n">
        <v>173.04</v>
      </c>
      <c r="F615" s="62" t="s">
        <v>3</v>
      </c>
      <c r="G615" s="29" t="s">
        <v>29</v>
      </c>
      <c r="H615" s="29" t="s">
        <v>34</v>
      </c>
    </row>
    <row r="616" customFormat="false" ht="14.25" hidden="false" customHeight="false" outlineLevel="0" collapsed="false">
      <c r="A616" s="1" t="n">
        <v>1619</v>
      </c>
      <c r="B616" s="30" t="n">
        <v>43371</v>
      </c>
      <c r="C616" s="29" t="s">
        <v>21</v>
      </c>
      <c r="D616" s="62" t="n">
        <v>23</v>
      </c>
      <c r="E616" s="62" t="n">
        <v>115.29</v>
      </c>
      <c r="F616" s="62" t="s">
        <v>3</v>
      </c>
      <c r="G616" s="29" t="s">
        <v>29</v>
      </c>
      <c r="H616" s="29" t="s">
        <v>36</v>
      </c>
    </row>
    <row r="617" customFormat="false" ht="14.25" hidden="false" customHeight="false" outlineLevel="0" collapsed="false">
      <c r="A617" s="1" t="n">
        <v>1620</v>
      </c>
      <c r="B617" s="30" t="n">
        <v>43285</v>
      </c>
      <c r="C617" s="29" t="s">
        <v>21</v>
      </c>
      <c r="D617" s="62" t="n">
        <v>44</v>
      </c>
      <c r="E617" s="62" t="n">
        <v>306.08</v>
      </c>
      <c r="F617" s="62" t="s">
        <v>5</v>
      </c>
      <c r="G617" s="29" t="s">
        <v>29</v>
      </c>
      <c r="H617" s="29" t="s">
        <v>36</v>
      </c>
    </row>
    <row r="618" customFormat="false" ht="14.25" hidden="false" customHeight="false" outlineLevel="0" collapsed="false">
      <c r="A618" s="1" t="n">
        <v>1621</v>
      </c>
      <c r="B618" s="30" t="n">
        <v>43285</v>
      </c>
      <c r="C618" s="29" t="s">
        <v>21</v>
      </c>
      <c r="D618" s="62" t="n">
        <v>41</v>
      </c>
      <c r="E618" s="62" t="n">
        <v>265.47</v>
      </c>
      <c r="F618" s="62" t="s">
        <v>5</v>
      </c>
      <c r="G618" s="29" t="s">
        <v>29</v>
      </c>
      <c r="H618" s="29" t="s">
        <v>30</v>
      </c>
    </row>
    <row r="619" customFormat="false" ht="14.25" hidden="false" customHeight="false" outlineLevel="0" collapsed="false">
      <c r="A619" s="1" t="n">
        <v>1622</v>
      </c>
      <c r="B619" s="30" t="n">
        <v>43115</v>
      </c>
      <c r="C619" s="29" t="s">
        <v>37</v>
      </c>
      <c r="D619" s="62" t="n">
        <v>29</v>
      </c>
      <c r="E619" s="62" t="n">
        <v>194.56</v>
      </c>
      <c r="F619" s="62" t="s">
        <v>6</v>
      </c>
      <c r="G619" s="29" t="s">
        <v>29</v>
      </c>
      <c r="H619" s="29" t="s">
        <v>36</v>
      </c>
    </row>
    <row r="620" customFormat="false" ht="14.25" hidden="false" customHeight="false" outlineLevel="0" collapsed="false">
      <c r="A620" s="1" t="n">
        <v>1623</v>
      </c>
      <c r="B620" s="30" t="n">
        <v>43198</v>
      </c>
      <c r="C620" s="29" t="s">
        <v>28</v>
      </c>
      <c r="D620" s="62" t="n">
        <v>29</v>
      </c>
      <c r="E620" s="62" t="n">
        <v>64.93</v>
      </c>
      <c r="F620" s="62" t="s">
        <v>6</v>
      </c>
      <c r="G620" s="29" t="s">
        <v>29</v>
      </c>
      <c r="H620" s="29" t="s">
        <v>34</v>
      </c>
    </row>
    <row r="621" customFormat="false" ht="14.25" hidden="false" customHeight="false" outlineLevel="0" collapsed="false">
      <c r="A621" s="1" t="n">
        <v>1624</v>
      </c>
      <c r="B621" s="30" t="n">
        <v>43198</v>
      </c>
      <c r="C621" s="29" t="s">
        <v>28</v>
      </c>
      <c r="D621" s="62" t="n">
        <v>37</v>
      </c>
      <c r="E621" s="62" t="n">
        <v>1208.09</v>
      </c>
      <c r="F621" s="62" t="s">
        <v>6</v>
      </c>
      <c r="G621" s="29" t="s">
        <v>24</v>
      </c>
      <c r="H621" s="29" t="s">
        <v>25</v>
      </c>
    </row>
    <row r="622" customFormat="false" ht="14.25" hidden="false" customHeight="false" outlineLevel="0" collapsed="false">
      <c r="A622" s="1" t="n">
        <v>1625</v>
      </c>
      <c r="B622" s="30" t="n">
        <v>43362</v>
      </c>
      <c r="C622" s="29" t="s">
        <v>37</v>
      </c>
      <c r="D622" s="62" t="n">
        <v>2</v>
      </c>
      <c r="E622" s="62" t="n">
        <v>221.15</v>
      </c>
      <c r="F622" s="62" t="s">
        <v>5</v>
      </c>
      <c r="G622" s="29" t="s">
        <v>29</v>
      </c>
      <c r="H622" s="29" t="s">
        <v>38</v>
      </c>
    </row>
    <row r="623" customFormat="false" ht="14.25" hidden="false" customHeight="false" outlineLevel="0" collapsed="false">
      <c r="A623" s="1" t="n">
        <v>1626</v>
      </c>
      <c r="B623" s="30" t="n">
        <v>43433</v>
      </c>
      <c r="C623" s="29" t="s">
        <v>21</v>
      </c>
      <c r="D623" s="62" t="n">
        <v>44</v>
      </c>
      <c r="E623" s="62" t="n">
        <v>166.68</v>
      </c>
      <c r="F623" s="62" t="s">
        <v>4</v>
      </c>
      <c r="G623" s="29" t="s">
        <v>29</v>
      </c>
      <c r="H623" s="29" t="s">
        <v>36</v>
      </c>
    </row>
    <row r="624" customFormat="false" ht="14.25" hidden="false" customHeight="false" outlineLevel="0" collapsed="false">
      <c r="A624" s="1" t="n">
        <v>1627</v>
      </c>
      <c r="B624" s="30" t="n">
        <v>43402</v>
      </c>
      <c r="C624" s="29" t="s">
        <v>39</v>
      </c>
      <c r="D624" s="62" t="n">
        <v>9</v>
      </c>
      <c r="E624" s="62" t="n">
        <v>334.11</v>
      </c>
      <c r="F624" s="62" t="s">
        <v>4</v>
      </c>
      <c r="G624" s="29" t="s">
        <v>29</v>
      </c>
      <c r="H624" s="29" t="s">
        <v>38</v>
      </c>
    </row>
    <row r="625" customFormat="false" ht="14.25" hidden="false" customHeight="false" outlineLevel="0" collapsed="false">
      <c r="A625" s="1" t="n">
        <v>1628</v>
      </c>
      <c r="B625" s="30" t="n">
        <v>43402</v>
      </c>
      <c r="C625" s="29" t="s">
        <v>39</v>
      </c>
      <c r="D625" s="62" t="n">
        <v>26</v>
      </c>
      <c r="E625" s="62" t="n">
        <v>71.26</v>
      </c>
      <c r="F625" s="62" t="s">
        <v>4</v>
      </c>
      <c r="G625" s="29" t="s">
        <v>29</v>
      </c>
      <c r="H625" s="29" t="s">
        <v>33</v>
      </c>
    </row>
    <row r="626" customFormat="false" ht="14.25" hidden="false" customHeight="false" outlineLevel="0" collapsed="false">
      <c r="A626" s="1" t="n">
        <v>1629</v>
      </c>
      <c r="B626" s="30" t="n">
        <v>43155</v>
      </c>
      <c r="C626" s="29" t="s">
        <v>39</v>
      </c>
      <c r="D626" s="62" t="n">
        <v>2</v>
      </c>
      <c r="E626" s="62" t="n">
        <v>8.54</v>
      </c>
      <c r="F626" s="62" t="s">
        <v>4</v>
      </c>
      <c r="G626" s="29" t="s">
        <v>29</v>
      </c>
      <c r="H626" s="29" t="s">
        <v>33</v>
      </c>
    </row>
    <row r="627" customFormat="false" ht="14.25" hidden="false" customHeight="false" outlineLevel="0" collapsed="false">
      <c r="A627" s="1" t="n">
        <v>1630</v>
      </c>
      <c r="B627" s="30" t="n">
        <v>43455</v>
      </c>
      <c r="C627" s="29" t="s">
        <v>21</v>
      </c>
      <c r="D627" s="62" t="n">
        <v>3</v>
      </c>
      <c r="E627" s="62" t="n">
        <v>98.77</v>
      </c>
      <c r="F627" s="62" t="s">
        <v>4</v>
      </c>
      <c r="G627" s="29" t="s">
        <v>29</v>
      </c>
      <c r="H627" s="29" t="s">
        <v>30</v>
      </c>
    </row>
    <row r="628" customFormat="false" ht="14.25" hidden="false" customHeight="false" outlineLevel="0" collapsed="false">
      <c r="A628" s="1" t="n">
        <v>1631</v>
      </c>
      <c r="B628" s="30" t="n">
        <v>43455</v>
      </c>
      <c r="C628" s="29" t="s">
        <v>21</v>
      </c>
      <c r="D628" s="62" t="n">
        <v>42</v>
      </c>
      <c r="E628" s="62" t="n">
        <v>125.13</v>
      </c>
      <c r="F628" s="62" t="s">
        <v>4</v>
      </c>
      <c r="G628" s="29" t="s">
        <v>29</v>
      </c>
      <c r="H628" s="29" t="s">
        <v>30</v>
      </c>
    </row>
    <row r="629" customFormat="false" ht="14.25" hidden="false" customHeight="false" outlineLevel="0" collapsed="false">
      <c r="A629" s="1" t="n">
        <v>1632</v>
      </c>
      <c r="B629" s="30" t="n">
        <v>43349</v>
      </c>
      <c r="C629" s="29" t="s">
        <v>31</v>
      </c>
      <c r="D629" s="62" t="n">
        <v>15</v>
      </c>
      <c r="E629" s="62" t="n">
        <v>150.68</v>
      </c>
      <c r="F629" s="62" t="s">
        <v>4</v>
      </c>
      <c r="G629" s="29" t="s">
        <v>29</v>
      </c>
      <c r="H629" s="29" t="s">
        <v>38</v>
      </c>
    </row>
    <row r="630" customFormat="false" ht="14.25" hidden="false" customHeight="false" outlineLevel="0" collapsed="false">
      <c r="A630" s="1" t="n">
        <v>1633</v>
      </c>
      <c r="B630" s="30" t="n">
        <v>43349</v>
      </c>
      <c r="C630" s="29" t="s">
        <v>31</v>
      </c>
      <c r="D630" s="62" t="n">
        <v>20</v>
      </c>
      <c r="E630" s="62" t="n">
        <v>71.72</v>
      </c>
      <c r="F630" s="62" t="s">
        <v>4</v>
      </c>
      <c r="G630" s="29" t="s">
        <v>29</v>
      </c>
      <c r="H630" s="29" t="s">
        <v>32</v>
      </c>
    </row>
    <row r="631" customFormat="false" ht="14.25" hidden="false" customHeight="false" outlineLevel="0" collapsed="false">
      <c r="A631" s="1" t="n">
        <v>1634</v>
      </c>
      <c r="B631" s="30" t="n">
        <v>43223</v>
      </c>
      <c r="C631" s="29" t="s">
        <v>21</v>
      </c>
      <c r="D631" s="62" t="n">
        <v>25</v>
      </c>
      <c r="E631" s="62" t="n">
        <v>402.04</v>
      </c>
      <c r="F631" s="62" t="s">
        <v>3</v>
      </c>
      <c r="G631" s="29" t="s">
        <v>29</v>
      </c>
      <c r="H631" s="29" t="s">
        <v>41</v>
      </c>
    </row>
    <row r="632" customFormat="false" ht="14.25" hidden="false" customHeight="false" outlineLevel="0" collapsed="false">
      <c r="A632" s="1" t="n">
        <v>1635</v>
      </c>
      <c r="B632" s="30" t="n">
        <v>43223</v>
      </c>
      <c r="C632" s="29" t="s">
        <v>21</v>
      </c>
      <c r="D632" s="62" t="n">
        <v>36</v>
      </c>
      <c r="E632" s="62" t="n">
        <v>1171.77</v>
      </c>
      <c r="F632" s="62" t="s">
        <v>3</v>
      </c>
      <c r="G632" s="29" t="s">
        <v>22</v>
      </c>
      <c r="H632" s="29" t="s">
        <v>27</v>
      </c>
    </row>
    <row r="633" customFormat="false" ht="14.25" hidden="false" customHeight="false" outlineLevel="0" collapsed="false">
      <c r="A633" s="1" t="n">
        <v>1636</v>
      </c>
      <c r="B633" s="30" t="n">
        <v>43108</v>
      </c>
      <c r="C633" s="29" t="s">
        <v>21</v>
      </c>
      <c r="D633" s="62" t="n">
        <v>8</v>
      </c>
      <c r="E633" s="62" t="n">
        <v>408.41</v>
      </c>
      <c r="F633" s="62" t="s">
        <v>5</v>
      </c>
      <c r="G633" s="29" t="s">
        <v>22</v>
      </c>
      <c r="H633" s="29" t="s">
        <v>23</v>
      </c>
    </row>
    <row r="634" customFormat="false" ht="14.25" hidden="false" customHeight="false" outlineLevel="0" collapsed="false">
      <c r="A634" s="1" t="n">
        <v>1637</v>
      </c>
      <c r="B634" s="30" t="n">
        <v>43319</v>
      </c>
      <c r="C634" s="29" t="s">
        <v>39</v>
      </c>
      <c r="D634" s="62" t="n">
        <v>49</v>
      </c>
      <c r="E634" s="62" t="n">
        <v>482.21</v>
      </c>
      <c r="F634" s="62" t="s">
        <v>4</v>
      </c>
      <c r="G634" s="29" t="s">
        <v>29</v>
      </c>
      <c r="H634" s="29" t="s">
        <v>32</v>
      </c>
    </row>
    <row r="635" customFormat="false" ht="14.25" hidden="false" customHeight="false" outlineLevel="0" collapsed="false">
      <c r="A635" s="1" t="n">
        <v>1638</v>
      </c>
      <c r="B635" s="30" t="n">
        <v>43378</v>
      </c>
      <c r="C635" s="29" t="s">
        <v>21</v>
      </c>
      <c r="D635" s="62" t="n">
        <v>39</v>
      </c>
      <c r="E635" s="62" t="n">
        <v>5199.53</v>
      </c>
      <c r="F635" s="62" t="s">
        <v>3</v>
      </c>
      <c r="G635" s="29" t="s">
        <v>24</v>
      </c>
      <c r="H635" s="29" t="s">
        <v>42</v>
      </c>
    </row>
    <row r="636" customFormat="false" ht="14.25" hidden="false" customHeight="false" outlineLevel="0" collapsed="false">
      <c r="A636" s="1" t="n">
        <v>1639</v>
      </c>
      <c r="B636" s="30" t="n">
        <v>43378</v>
      </c>
      <c r="C636" s="29" t="s">
        <v>21</v>
      </c>
      <c r="D636" s="62" t="n">
        <v>38</v>
      </c>
      <c r="E636" s="62" t="n">
        <v>5723.65</v>
      </c>
      <c r="F636" s="62" t="s">
        <v>3</v>
      </c>
      <c r="G636" s="29" t="s">
        <v>22</v>
      </c>
      <c r="H636" s="29" t="s">
        <v>40</v>
      </c>
    </row>
    <row r="637" customFormat="false" ht="14.25" hidden="false" customHeight="false" outlineLevel="0" collapsed="false">
      <c r="A637" s="1" t="n">
        <v>1640</v>
      </c>
      <c r="B637" s="30" t="n">
        <v>43378</v>
      </c>
      <c r="C637" s="29" t="s">
        <v>21</v>
      </c>
      <c r="D637" s="62" t="n">
        <v>43</v>
      </c>
      <c r="E637" s="62" t="n">
        <v>1128.53</v>
      </c>
      <c r="F637" s="62" t="s">
        <v>3</v>
      </c>
      <c r="G637" s="29" t="s">
        <v>29</v>
      </c>
      <c r="H637" s="29" t="s">
        <v>41</v>
      </c>
    </row>
    <row r="638" customFormat="false" ht="14.25" hidden="false" customHeight="false" outlineLevel="0" collapsed="false">
      <c r="A638" s="1" t="n">
        <v>1641</v>
      </c>
      <c r="B638" s="30" t="n">
        <v>43158</v>
      </c>
      <c r="C638" s="29" t="s">
        <v>31</v>
      </c>
      <c r="D638" s="62" t="n">
        <v>9</v>
      </c>
      <c r="E638" s="62" t="n">
        <v>56.9</v>
      </c>
      <c r="F638" s="62" t="s">
        <v>5</v>
      </c>
      <c r="G638" s="29" t="s">
        <v>29</v>
      </c>
      <c r="H638" s="29" t="s">
        <v>34</v>
      </c>
    </row>
    <row r="639" customFormat="false" ht="14.25" hidden="false" customHeight="false" outlineLevel="0" collapsed="false">
      <c r="A639" s="1" t="n">
        <v>1642</v>
      </c>
      <c r="B639" s="30" t="n">
        <v>43359</v>
      </c>
      <c r="C639" s="29" t="s">
        <v>37</v>
      </c>
      <c r="D639" s="62" t="n">
        <v>31</v>
      </c>
      <c r="E639" s="62" t="n">
        <v>845.24</v>
      </c>
      <c r="F639" s="62" t="s">
        <v>5</v>
      </c>
      <c r="G639" s="29" t="s">
        <v>22</v>
      </c>
      <c r="H639" s="29" t="s">
        <v>40</v>
      </c>
    </row>
    <row r="640" customFormat="false" ht="14.25" hidden="false" customHeight="false" outlineLevel="0" collapsed="false">
      <c r="A640" s="1" t="n">
        <v>1643</v>
      </c>
      <c r="B640" s="30" t="n">
        <v>43441</v>
      </c>
      <c r="C640" s="29" t="s">
        <v>37</v>
      </c>
      <c r="D640" s="62" t="n">
        <v>8</v>
      </c>
      <c r="E640" s="62" t="n">
        <v>207.7</v>
      </c>
      <c r="F640" s="62" t="s">
        <v>3</v>
      </c>
      <c r="G640" s="29" t="s">
        <v>22</v>
      </c>
      <c r="H640" s="29" t="s">
        <v>23</v>
      </c>
    </row>
    <row r="641" customFormat="false" ht="14.25" hidden="false" customHeight="false" outlineLevel="0" collapsed="false">
      <c r="A641" s="1" t="n">
        <v>1644</v>
      </c>
      <c r="B641" s="30" t="n">
        <v>43441</v>
      </c>
      <c r="C641" s="29" t="s">
        <v>37</v>
      </c>
      <c r="D641" s="62" t="n">
        <v>11</v>
      </c>
      <c r="E641" s="62" t="n">
        <v>196.15</v>
      </c>
      <c r="F641" s="62" t="s">
        <v>3</v>
      </c>
      <c r="G641" s="29" t="s">
        <v>24</v>
      </c>
      <c r="H641" s="29" t="s">
        <v>42</v>
      </c>
    </row>
    <row r="642" customFormat="false" ht="14.25" hidden="false" customHeight="false" outlineLevel="0" collapsed="false">
      <c r="A642" s="1" t="n">
        <v>1645</v>
      </c>
      <c r="B642" s="30" t="n">
        <v>43255</v>
      </c>
      <c r="C642" s="29" t="s">
        <v>21</v>
      </c>
      <c r="D642" s="62" t="n">
        <v>15</v>
      </c>
      <c r="E642" s="62" t="n">
        <v>356.63</v>
      </c>
      <c r="F642" s="62" t="s">
        <v>6</v>
      </c>
      <c r="G642" s="29" t="s">
        <v>24</v>
      </c>
      <c r="H642" s="29" t="s">
        <v>26</v>
      </c>
    </row>
    <row r="643" customFormat="false" ht="14.25" hidden="false" customHeight="false" outlineLevel="0" collapsed="false">
      <c r="A643" s="1" t="n">
        <v>1646</v>
      </c>
      <c r="B643" s="30" t="n">
        <v>43170</v>
      </c>
      <c r="C643" s="29" t="s">
        <v>39</v>
      </c>
      <c r="D643" s="62" t="n">
        <v>26</v>
      </c>
      <c r="E643" s="62" t="n">
        <v>624.41</v>
      </c>
      <c r="F643" s="62" t="s">
        <v>4</v>
      </c>
      <c r="G643" s="29" t="s">
        <v>24</v>
      </c>
      <c r="H643" s="29" t="s">
        <v>26</v>
      </c>
    </row>
    <row r="644" customFormat="false" ht="14.25" hidden="false" customHeight="false" outlineLevel="0" collapsed="false">
      <c r="A644" s="1" t="n">
        <v>1647</v>
      </c>
      <c r="B644" s="30" t="n">
        <v>43170</v>
      </c>
      <c r="C644" s="29" t="s">
        <v>39</v>
      </c>
      <c r="D644" s="62" t="n">
        <v>47</v>
      </c>
      <c r="E644" s="62" t="n">
        <v>301.17</v>
      </c>
      <c r="F644" s="62" t="s">
        <v>4</v>
      </c>
      <c r="G644" s="29" t="s">
        <v>29</v>
      </c>
      <c r="H644" s="29" t="s">
        <v>36</v>
      </c>
    </row>
    <row r="645" customFormat="false" ht="14.25" hidden="false" customHeight="false" outlineLevel="0" collapsed="false">
      <c r="A645" s="1" t="n">
        <v>1648</v>
      </c>
      <c r="B645" s="30" t="n">
        <v>43394</v>
      </c>
      <c r="C645" s="29" t="s">
        <v>39</v>
      </c>
      <c r="D645" s="62" t="n">
        <v>42</v>
      </c>
      <c r="E645" s="62" t="n">
        <v>465.71</v>
      </c>
      <c r="F645" s="62" t="s">
        <v>6</v>
      </c>
      <c r="G645" s="29" t="s">
        <v>29</v>
      </c>
      <c r="H645" s="29" t="s">
        <v>36</v>
      </c>
    </row>
    <row r="646" customFormat="false" ht="14.25" hidden="false" customHeight="false" outlineLevel="0" collapsed="false">
      <c r="A646" s="1" t="n">
        <v>1649</v>
      </c>
      <c r="B646" s="30" t="n">
        <v>43243</v>
      </c>
      <c r="C646" s="29" t="s">
        <v>31</v>
      </c>
      <c r="D646" s="62" t="n">
        <v>42</v>
      </c>
      <c r="E646" s="62" t="n">
        <v>576.79</v>
      </c>
      <c r="F646" s="62" t="s">
        <v>4</v>
      </c>
      <c r="G646" s="29" t="s">
        <v>29</v>
      </c>
      <c r="H646" s="29" t="s">
        <v>32</v>
      </c>
    </row>
    <row r="647" customFormat="false" ht="14.25" hidden="false" customHeight="false" outlineLevel="0" collapsed="false">
      <c r="A647" s="1" t="n">
        <v>1650</v>
      </c>
      <c r="B647" s="30" t="n">
        <v>43397</v>
      </c>
      <c r="C647" s="29" t="s">
        <v>39</v>
      </c>
      <c r="D647" s="62" t="n">
        <v>30</v>
      </c>
      <c r="E647" s="62" t="n">
        <v>424.36</v>
      </c>
      <c r="F647" s="62" t="s">
        <v>4</v>
      </c>
      <c r="G647" s="29" t="s">
        <v>29</v>
      </c>
      <c r="H647" s="29" t="s">
        <v>38</v>
      </c>
    </row>
    <row r="648" customFormat="false" ht="14.25" hidden="false" customHeight="false" outlineLevel="0" collapsed="false">
      <c r="A648" s="1" t="n">
        <v>1651</v>
      </c>
      <c r="B648" s="30" t="n">
        <v>43397</v>
      </c>
      <c r="C648" s="29" t="s">
        <v>39</v>
      </c>
      <c r="D648" s="62" t="n">
        <v>32</v>
      </c>
      <c r="E648" s="62" t="n">
        <v>7385.69</v>
      </c>
      <c r="F648" s="62" t="s">
        <v>4</v>
      </c>
      <c r="G648" s="29" t="s">
        <v>22</v>
      </c>
      <c r="H648" s="29" t="s">
        <v>27</v>
      </c>
    </row>
    <row r="649" customFormat="false" ht="14.25" hidden="false" customHeight="false" outlineLevel="0" collapsed="false">
      <c r="A649" s="1" t="n">
        <v>1652</v>
      </c>
      <c r="B649" s="30" t="n">
        <v>43313</v>
      </c>
      <c r="C649" s="29" t="s">
        <v>31</v>
      </c>
      <c r="D649" s="62" t="n">
        <v>23</v>
      </c>
      <c r="E649" s="62" t="n">
        <v>112.16</v>
      </c>
      <c r="F649" s="62" t="s">
        <v>4</v>
      </c>
      <c r="G649" s="29" t="s">
        <v>29</v>
      </c>
      <c r="H649" s="29" t="s">
        <v>45</v>
      </c>
    </row>
    <row r="650" customFormat="false" ht="14.25" hidden="false" customHeight="false" outlineLevel="0" collapsed="false">
      <c r="A650" s="1" t="n">
        <v>1653</v>
      </c>
      <c r="B650" s="30" t="n">
        <v>43168</v>
      </c>
      <c r="C650" s="29" t="s">
        <v>37</v>
      </c>
      <c r="D650" s="62" t="n">
        <v>17</v>
      </c>
      <c r="E650" s="62" t="n">
        <v>1276.64</v>
      </c>
      <c r="F650" s="62" t="s">
        <v>5</v>
      </c>
      <c r="G650" s="29" t="s">
        <v>24</v>
      </c>
      <c r="H650" s="29" t="s">
        <v>25</v>
      </c>
    </row>
    <row r="651" customFormat="false" ht="14.25" hidden="false" customHeight="false" outlineLevel="0" collapsed="false">
      <c r="A651" s="1" t="n">
        <v>1654</v>
      </c>
      <c r="B651" s="30" t="n">
        <v>43168</v>
      </c>
      <c r="C651" s="29" t="s">
        <v>37</v>
      </c>
      <c r="D651" s="62" t="n">
        <v>23</v>
      </c>
      <c r="E651" s="62" t="n">
        <v>481.92</v>
      </c>
      <c r="F651" s="62" t="s">
        <v>5</v>
      </c>
      <c r="G651" s="29" t="s">
        <v>22</v>
      </c>
      <c r="H651" s="29" t="s">
        <v>23</v>
      </c>
    </row>
    <row r="652" customFormat="false" ht="14.25" hidden="false" customHeight="false" outlineLevel="0" collapsed="false">
      <c r="A652" s="1" t="n">
        <v>1655</v>
      </c>
      <c r="B652" s="30" t="n">
        <v>43298</v>
      </c>
      <c r="C652" s="29" t="s">
        <v>37</v>
      </c>
      <c r="D652" s="62" t="n">
        <v>38</v>
      </c>
      <c r="E652" s="62" t="n">
        <v>4975.57</v>
      </c>
      <c r="F652" s="62" t="s">
        <v>6</v>
      </c>
      <c r="G652" s="29" t="s">
        <v>22</v>
      </c>
      <c r="H652" s="29" t="s">
        <v>44</v>
      </c>
    </row>
    <row r="653" customFormat="false" ht="14.25" hidden="false" customHeight="false" outlineLevel="0" collapsed="false">
      <c r="A653" s="1" t="n">
        <v>1656</v>
      </c>
      <c r="B653" s="30" t="n">
        <v>43298</v>
      </c>
      <c r="C653" s="29" t="s">
        <v>37</v>
      </c>
      <c r="D653" s="62" t="n">
        <v>39</v>
      </c>
      <c r="E653" s="62" t="n">
        <v>532.35</v>
      </c>
      <c r="F653" s="62" t="s">
        <v>6</v>
      </c>
      <c r="G653" s="29" t="s">
        <v>29</v>
      </c>
      <c r="H653" s="29" t="s">
        <v>36</v>
      </c>
    </row>
    <row r="654" customFormat="false" ht="14.25" hidden="false" customHeight="false" outlineLevel="0" collapsed="false">
      <c r="A654" s="1" t="n">
        <v>1657</v>
      </c>
      <c r="B654" s="30" t="n">
        <v>43163</v>
      </c>
      <c r="C654" s="29" t="s">
        <v>21</v>
      </c>
      <c r="D654" s="62" t="n">
        <v>34</v>
      </c>
      <c r="E654" s="62" t="n">
        <v>327.74</v>
      </c>
      <c r="F654" s="62" t="s">
        <v>4</v>
      </c>
      <c r="G654" s="29" t="s">
        <v>29</v>
      </c>
      <c r="H654" s="29" t="s">
        <v>36</v>
      </c>
    </row>
    <row r="655" customFormat="false" ht="14.25" hidden="false" customHeight="false" outlineLevel="0" collapsed="false">
      <c r="A655" s="1" t="n">
        <v>1658</v>
      </c>
      <c r="B655" s="30" t="n">
        <v>43163</v>
      </c>
      <c r="C655" s="29" t="s">
        <v>21</v>
      </c>
      <c r="D655" s="62" t="n">
        <v>42</v>
      </c>
      <c r="E655" s="62" t="n">
        <v>175.46</v>
      </c>
      <c r="F655" s="62" t="s">
        <v>4</v>
      </c>
      <c r="G655" s="29" t="s">
        <v>29</v>
      </c>
      <c r="H655" s="29" t="s">
        <v>30</v>
      </c>
    </row>
    <row r="656" customFormat="false" ht="14.25" hidden="false" customHeight="false" outlineLevel="0" collapsed="false">
      <c r="A656" s="1" t="n">
        <v>1659</v>
      </c>
      <c r="B656" s="30" t="n">
        <v>43188</v>
      </c>
      <c r="C656" s="29" t="s">
        <v>37</v>
      </c>
      <c r="D656" s="62" t="n">
        <v>41</v>
      </c>
      <c r="E656" s="62" t="n">
        <v>1288.37</v>
      </c>
      <c r="F656" s="62" t="s">
        <v>4</v>
      </c>
      <c r="G656" s="29" t="s">
        <v>24</v>
      </c>
      <c r="H656" s="29" t="s">
        <v>25</v>
      </c>
    </row>
    <row r="657" customFormat="false" ht="14.25" hidden="false" customHeight="false" outlineLevel="0" collapsed="false">
      <c r="A657" s="1" t="n">
        <v>1660</v>
      </c>
      <c r="B657" s="30" t="n">
        <v>43458</v>
      </c>
      <c r="C657" s="29" t="s">
        <v>37</v>
      </c>
      <c r="D657" s="62" t="n">
        <v>15</v>
      </c>
      <c r="E657" s="62" t="n">
        <v>3599.75</v>
      </c>
      <c r="F657" s="62" t="s">
        <v>5</v>
      </c>
      <c r="G657" s="29" t="s">
        <v>22</v>
      </c>
      <c r="H657" s="29" t="s">
        <v>27</v>
      </c>
    </row>
    <row r="658" customFormat="false" ht="14.25" hidden="false" customHeight="false" outlineLevel="0" collapsed="false">
      <c r="A658" s="1" t="n">
        <v>1661</v>
      </c>
      <c r="B658" s="30" t="n">
        <v>43458</v>
      </c>
      <c r="C658" s="29" t="s">
        <v>37</v>
      </c>
      <c r="D658" s="62" t="n">
        <v>10</v>
      </c>
      <c r="E658" s="62" t="n">
        <v>1509.7</v>
      </c>
      <c r="F658" s="62" t="s">
        <v>5</v>
      </c>
      <c r="G658" s="29" t="s">
        <v>22</v>
      </c>
      <c r="H658" s="29" t="s">
        <v>44</v>
      </c>
    </row>
    <row r="659" customFormat="false" ht="14.25" hidden="false" customHeight="false" outlineLevel="0" collapsed="false">
      <c r="A659" s="1" t="n">
        <v>1662</v>
      </c>
      <c r="B659" s="30" t="n">
        <v>43448</v>
      </c>
      <c r="C659" s="29" t="s">
        <v>21</v>
      </c>
      <c r="D659" s="62" t="n">
        <v>39</v>
      </c>
      <c r="E659" s="62" t="n">
        <v>247.39</v>
      </c>
      <c r="F659" s="62" t="s">
        <v>3</v>
      </c>
      <c r="G659" s="29" t="s">
        <v>29</v>
      </c>
      <c r="H659" s="29" t="s">
        <v>36</v>
      </c>
    </row>
    <row r="660" customFormat="false" ht="14.25" hidden="false" customHeight="false" outlineLevel="0" collapsed="false">
      <c r="A660" s="1" t="n">
        <v>1663</v>
      </c>
      <c r="B660" s="30" t="n">
        <v>43429</v>
      </c>
      <c r="C660" s="29" t="s">
        <v>39</v>
      </c>
      <c r="D660" s="62" t="n">
        <v>13</v>
      </c>
      <c r="E660" s="62" t="n">
        <v>4701.31</v>
      </c>
      <c r="F660" s="62" t="s">
        <v>6</v>
      </c>
      <c r="G660" s="29" t="s">
        <v>24</v>
      </c>
      <c r="H660" s="29" t="s">
        <v>42</v>
      </c>
    </row>
    <row r="661" customFormat="false" ht="14.25" hidden="false" customHeight="false" outlineLevel="0" collapsed="false">
      <c r="A661" s="1" t="n">
        <v>1664</v>
      </c>
      <c r="B661" s="30" t="n">
        <v>43109</v>
      </c>
      <c r="C661" s="29" t="s">
        <v>21</v>
      </c>
      <c r="D661" s="62" t="n">
        <v>3</v>
      </c>
      <c r="E661" s="62" t="n">
        <v>18.94</v>
      </c>
      <c r="F661" s="62" t="s">
        <v>5</v>
      </c>
      <c r="G661" s="29" t="s">
        <v>29</v>
      </c>
      <c r="H661" s="29" t="s">
        <v>36</v>
      </c>
    </row>
    <row r="662" customFormat="false" ht="14.25" hidden="false" customHeight="false" outlineLevel="0" collapsed="false">
      <c r="A662" s="1" t="n">
        <v>1665</v>
      </c>
      <c r="B662" s="30" t="n">
        <v>43109</v>
      </c>
      <c r="C662" s="29" t="s">
        <v>21</v>
      </c>
      <c r="D662" s="62" t="n">
        <v>35</v>
      </c>
      <c r="E662" s="62" t="n">
        <v>447.62</v>
      </c>
      <c r="F662" s="62" t="s">
        <v>5</v>
      </c>
      <c r="G662" s="29" t="s">
        <v>22</v>
      </c>
      <c r="H662" s="29" t="s">
        <v>23</v>
      </c>
    </row>
    <row r="663" customFormat="false" ht="14.25" hidden="false" customHeight="false" outlineLevel="0" collapsed="false">
      <c r="A663" s="1" t="n">
        <v>1666</v>
      </c>
      <c r="B663" s="30" t="n">
        <v>43109</v>
      </c>
      <c r="C663" s="29" t="s">
        <v>21</v>
      </c>
      <c r="D663" s="62" t="n">
        <v>12</v>
      </c>
      <c r="E663" s="62" t="n">
        <v>74.88</v>
      </c>
      <c r="F663" s="62" t="s">
        <v>5</v>
      </c>
      <c r="G663" s="29" t="s">
        <v>29</v>
      </c>
      <c r="H663" s="29" t="s">
        <v>34</v>
      </c>
    </row>
    <row r="664" customFormat="false" ht="14.25" hidden="false" customHeight="false" outlineLevel="0" collapsed="false">
      <c r="A664" s="1" t="n">
        <v>1667</v>
      </c>
      <c r="B664" s="30" t="n">
        <v>43109</v>
      </c>
      <c r="C664" s="29" t="s">
        <v>21</v>
      </c>
      <c r="D664" s="62" t="n">
        <v>12</v>
      </c>
      <c r="E664" s="62" t="n">
        <v>48.8</v>
      </c>
      <c r="F664" s="62" t="s">
        <v>5</v>
      </c>
      <c r="G664" s="29" t="s">
        <v>29</v>
      </c>
      <c r="H664" s="29" t="s">
        <v>30</v>
      </c>
    </row>
    <row r="665" customFormat="false" ht="14.25" hidden="false" customHeight="false" outlineLevel="0" collapsed="false">
      <c r="A665" s="1" t="n">
        <v>1668</v>
      </c>
      <c r="B665" s="30" t="n">
        <v>43439</v>
      </c>
      <c r="C665" s="29" t="s">
        <v>21</v>
      </c>
      <c r="D665" s="62" t="n">
        <v>19</v>
      </c>
      <c r="E665" s="62" t="n">
        <v>269.05</v>
      </c>
      <c r="F665" s="62" t="s">
        <v>4</v>
      </c>
      <c r="G665" s="29" t="s">
        <v>22</v>
      </c>
      <c r="H665" s="29" t="s">
        <v>23</v>
      </c>
    </row>
    <row r="666" customFormat="false" ht="14.25" hidden="false" customHeight="false" outlineLevel="0" collapsed="false">
      <c r="A666" s="1" t="n">
        <v>1669</v>
      </c>
      <c r="B666" s="30" t="n">
        <v>43402</v>
      </c>
      <c r="C666" s="29" t="s">
        <v>37</v>
      </c>
      <c r="D666" s="62" t="n">
        <v>33</v>
      </c>
      <c r="E666" s="62" t="n">
        <v>1879.55</v>
      </c>
      <c r="F666" s="62" t="s">
        <v>3</v>
      </c>
      <c r="G666" s="29" t="s">
        <v>24</v>
      </c>
      <c r="H666" s="29" t="s">
        <v>25</v>
      </c>
    </row>
    <row r="667" customFormat="false" ht="14.25" hidden="false" customHeight="false" outlineLevel="0" collapsed="false">
      <c r="A667" s="1" t="n">
        <v>1670</v>
      </c>
      <c r="B667" s="30" t="n">
        <v>43421</v>
      </c>
      <c r="C667" s="29" t="s">
        <v>39</v>
      </c>
      <c r="D667" s="62" t="n">
        <v>19</v>
      </c>
      <c r="E667" s="62" t="n">
        <v>209.68</v>
      </c>
      <c r="F667" s="62" t="s">
        <v>4</v>
      </c>
      <c r="G667" s="29" t="s">
        <v>24</v>
      </c>
      <c r="H667" s="29" t="s">
        <v>26</v>
      </c>
    </row>
    <row r="668" customFormat="false" ht="14.25" hidden="false" customHeight="false" outlineLevel="0" collapsed="false">
      <c r="A668" s="1" t="n">
        <v>1671</v>
      </c>
      <c r="B668" s="30" t="n">
        <v>43173</v>
      </c>
      <c r="C668" s="29" t="s">
        <v>21</v>
      </c>
      <c r="D668" s="62" t="n">
        <v>6</v>
      </c>
      <c r="E668" s="62" t="n">
        <v>680.24</v>
      </c>
      <c r="F668" s="62" t="s">
        <v>6</v>
      </c>
      <c r="G668" s="29" t="s">
        <v>24</v>
      </c>
      <c r="H668" s="29" t="s">
        <v>25</v>
      </c>
    </row>
    <row r="669" customFormat="false" ht="14.25" hidden="false" customHeight="false" outlineLevel="0" collapsed="false">
      <c r="A669" s="1" t="n">
        <v>1672</v>
      </c>
      <c r="B669" s="30" t="n">
        <v>43173</v>
      </c>
      <c r="C669" s="29" t="s">
        <v>21</v>
      </c>
      <c r="D669" s="62" t="n">
        <v>50</v>
      </c>
      <c r="E669" s="62" t="n">
        <v>30671.04</v>
      </c>
      <c r="F669" s="62" t="s">
        <v>6</v>
      </c>
      <c r="G669" s="29" t="s">
        <v>24</v>
      </c>
      <c r="H669" s="29" t="s">
        <v>43</v>
      </c>
    </row>
    <row r="670" customFormat="false" ht="14.25" hidden="false" customHeight="false" outlineLevel="0" collapsed="false">
      <c r="A670" s="1" t="n">
        <v>1673</v>
      </c>
      <c r="B670" s="30" t="n">
        <v>43133</v>
      </c>
      <c r="C670" s="29" t="s">
        <v>39</v>
      </c>
      <c r="D670" s="62" t="n">
        <v>28</v>
      </c>
      <c r="E670" s="62" t="n">
        <v>1180.93</v>
      </c>
      <c r="F670" s="62" t="s">
        <v>4</v>
      </c>
      <c r="G670" s="29" t="s">
        <v>24</v>
      </c>
      <c r="H670" s="29" t="s">
        <v>26</v>
      </c>
    </row>
    <row r="671" customFormat="false" ht="14.25" hidden="false" customHeight="false" outlineLevel="0" collapsed="false">
      <c r="A671" s="1" t="n">
        <v>1674</v>
      </c>
      <c r="B671" s="30" t="n">
        <v>43204</v>
      </c>
      <c r="C671" s="29" t="s">
        <v>39</v>
      </c>
      <c r="D671" s="62" t="n">
        <v>49</v>
      </c>
      <c r="E671" s="62" t="n">
        <v>403.41</v>
      </c>
      <c r="F671" s="62" t="s">
        <v>3</v>
      </c>
      <c r="G671" s="29" t="s">
        <v>29</v>
      </c>
      <c r="H671" s="29" t="s">
        <v>30</v>
      </c>
    </row>
    <row r="672" customFormat="false" ht="14.25" hidden="false" customHeight="false" outlineLevel="0" collapsed="false">
      <c r="A672" s="1" t="n">
        <v>1675</v>
      </c>
      <c r="B672" s="30" t="n">
        <v>43204</v>
      </c>
      <c r="C672" s="29" t="s">
        <v>39</v>
      </c>
      <c r="D672" s="62" t="n">
        <v>48</v>
      </c>
      <c r="E672" s="62" t="n">
        <v>7852.99</v>
      </c>
      <c r="F672" s="62" t="s">
        <v>3</v>
      </c>
      <c r="G672" s="29" t="s">
        <v>22</v>
      </c>
      <c r="H672" s="29" t="s">
        <v>27</v>
      </c>
    </row>
    <row r="673" customFormat="false" ht="14.25" hidden="false" customHeight="false" outlineLevel="0" collapsed="false">
      <c r="A673" s="1" t="n">
        <v>1676</v>
      </c>
      <c r="B673" s="30" t="n">
        <v>43308</v>
      </c>
      <c r="C673" s="29" t="s">
        <v>37</v>
      </c>
      <c r="D673" s="62" t="n">
        <v>4</v>
      </c>
      <c r="E673" s="62" t="n">
        <v>598.93</v>
      </c>
      <c r="F673" s="62" t="s">
        <v>4</v>
      </c>
      <c r="G673" s="29" t="s">
        <v>22</v>
      </c>
      <c r="H673" s="29" t="s">
        <v>40</v>
      </c>
    </row>
    <row r="674" customFormat="false" ht="14.25" hidden="false" customHeight="false" outlineLevel="0" collapsed="false">
      <c r="A674" s="1" t="n">
        <v>1677</v>
      </c>
      <c r="B674" s="30" t="n">
        <v>43156</v>
      </c>
      <c r="C674" s="29" t="s">
        <v>28</v>
      </c>
      <c r="D674" s="62" t="n">
        <v>17</v>
      </c>
      <c r="E674" s="62" t="n">
        <v>166.03</v>
      </c>
      <c r="F674" s="62" t="s">
        <v>5</v>
      </c>
      <c r="G674" s="29" t="s">
        <v>29</v>
      </c>
      <c r="H674" s="29" t="s">
        <v>36</v>
      </c>
    </row>
    <row r="675" customFormat="false" ht="14.25" hidden="false" customHeight="false" outlineLevel="0" collapsed="false">
      <c r="A675" s="1" t="n">
        <v>1678</v>
      </c>
      <c r="B675" s="30" t="n">
        <v>43135</v>
      </c>
      <c r="C675" s="29" t="s">
        <v>21</v>
      </c>
      <c r="D675" s="62" t="n">
        <v>4</v>
      </c>
      <c r="E675" s="62" t="n">
        <v>87.5</v>
      </c>
      <c r="F675" s="62" t="s">
        <v>3</v>
      </c>
      <c r="G675" s="29" t="s">
        <v>29</v>
      </c>
      <c r="H675" s="29" t="s">
        <v>36</v>
      </c>
    </row>
    <row r="676" customFormat="false" ht="14.25" hidden="false" customHeight="false" outlineLevel="0" collapsed="false">
      <c r="A676" s="1" t="n">
        <v>1679</v>
      </c>
      <c r="B676" s="30" t="n">
        <v>43257</v>
      </c>
      <c r="C676" s="29" t="s">
        <v>39</v>
      </c>
      <c r="D676" s="62" t="n">
        <v>5</v>
      </c>
      <c r="E676" s="62" t="n">
        <v>21.7</v>
      </c>
      <c r="F676" s="62" t="s">
        <v>3</v>
      </c>
      <c r="G676" s="29" t="s">
        <v>29</v>
      </c>
      <c r="H676" s="29" t="s">
        <v>30</v>
      </c>
    </row>
    <row r="677" customFormat="false" ht="14.25" hidden="false" customHeight="false" outlineLevel="0" collapsed="false">
      <c r="A677" s="1" t="n">
        <v>1680</v>
      </c>
      <c r="B677" s="30" t="n">
        <v>43363</v>
      </c>
      <c r="C677" s="29" t="s">
        <v>31</v>
      </c>
      <c r="D677" s="62" t="n">
        <v>29</v>
      </c>
      <c r="E677" s="62" t="n">
        <v>22520.01</v>
      </c>
      <c r="F677" s="62" t="s">
        <v>6</v>
      </c>
      <c r="G677" s="29" t="s">
        <v>24</v>
      </c>
      <c r="H677" s="29" t="s">
        <v>43</v>
      </c>
    </row>
    <row r="678" customFormat="false" ht="14.25" hidden="false" customHeight="false" outlineLevel="0" collapsed="false">
      <c r="A678" s="1" t="n">
        <v>1681</v>
      </c>
      <c r="B678" s="30" t="n">
        <v>43257</v>
      </c>
      <c r="C678" s="29" t="s">
        <v>21</v>
      </c>
      <c r="D678" s="62" t="n">
        <v>46</v>
      </c>
      <c r="E678" s="62" t="n">
        <v>428.52</v>
      </c>
      <c r="F678" s="62" t="s">
        <v>3</v>
      </c>
      <c r="G678" s="29" t="s">
        <v>29</v>
      </c>
      <c r="H678" s="29" t="s">
        <v>36</v>
      </c>
    </row>
    <row r="679" customFormat="false" ht="14.25" hidden="false" customHeight="false" outlineLevel="0" collapsed="false">
      <c r="A679" s="1" t="n">
        <v>1682</v>
      </c>
      <c r="B679" s="30" t="n">
        <v>43154</v>
      </c>
      <c r="C679" s="29" t="s">
        <v>37</v>
      </c>
      <c r="D679" s="62" t="n">
        <v>30</v>
      </c>
      <c r="E679" s="62" t="n">
        <v>298.47</v>
      </c>
      <c r="F679" s="62" t="s">
        <v>4</v>
      </c>
      <c r="G679" s="29" t="s">
        <v>29</v>
      </c>
      <c r="H679" s="29" t="s">
        <v>36</v>
      </c>
    </row>
    <row r="680" customFormat="false" ht="14.25" hidden="false" customHeight="false" outlineLevel="0" collapsed="false">
      <c r="A680" s="1" t="n">
        <v>1683</v>
      </c>
      <c r="B680" s="30" t="n">
        <v>43318</v>
      </c>
      <c r="C680" s="29" t="s">
        <v>37</v>
      </c>
      <c r="D680" s="62" t="n">
        <v>34</v>
      </c>
      <c r="E680" s="62" t="n">
        <v>1002.63</v>
      </c>
      <c r="F680" s="62" t="s">
        <v>4</v>
      </c>
      <c r="G680" s="29" t="s">
        <v>29</v>
      </c>
      <c r="H680" s="29" t="s">
        <v>34</v>
      </c>
    </row>
    <row r="681" customFormat="false" ht="14.25" hidden="false" customHeight="false" outlineLevel="0" collapsed="false">
      <c r="A681" s="1" t="n">
        <v>1684</v>
      </c>
      <c r="B681" s="30" t="n">
        <v>43318</v>
      </c>
      <c r="C681" s="29" t="s">
        <v>37</v>
      </c>
      <c r="D681" s="62" t="n">
        <v>17</v>
      </c>
      <c r="E681" s="62" t="n">
        <v>1729.8</v>
      </c>
      <c r="F681" s="62" t="s">
        <v>4</v>
      </c>
      <c r="G681" s="29" t="s">
        <v>24</v>
      </c>
      <c r="H681" s="29" t="s">
        <v>26</v>
      </c>
    </row>
    <row r="682" customFormat="false" ht="14.25" hidden="false" customHeight="false" outlineLevel="0" collapsed="false">
      <c r="A682" s="1" t="n">
        <v>1685</v>
      </c>
      <c r="B682" s="30" t="n">
        <v>43113</v>
      </c>
      <c r="C682" s="29" t="s">
        <v>21</v>
      </c>
      <c r="D682" s="62" t="n">
        <v>35</v>
      </c>
      <c r="E682" s="62" t="n">
        <v>5808.48</v>
      </c>
      <c r="F682" s="62" t="s">
        <v>4</v>
      </c>
      <c r="G682" s="29" t="s">
        <v>22</v>
      </c>
      <c r="H682" s="29" t="s">
        <v>40</v>
      </c>
    </row>
    <row r="683" customFormat="false" ht="14.25" hidden="false" customHeight="false" outlineLevel="0" collapsed="false">
      <c r="A683" s="1" t="n">
        <v>1686</v>
      </c>
      <c r="B683" s="30" t="n">
        <v>43293</v>
      </c>
      <c r="C683" s="29" t="s">
        <v>28</v>
      </c>
      <c r="D683" s="62" t="n">
        <v>38</v>
      </c>
      <c r="E683" s="62" t="n">
        <v>146.66</v>
      </c>
      <c r="F683" s="62" t="s">
        <v>5</v>
      </c>
      <c r="G683" s="29" t="s">
        <v>29</v>
      </c>
      <c r="H683" s="29" t="s">
        <v>34</v>
      </c>
    </row>
    <row r="684" customFormat="false" ht="14.25" hidden="false" customHeight="false" outlineLevel="0" collapsed="false">
      <c r="A684" s="1" t="n">
        <v>1687</v>
      </c>
      <c r="B684" s="30" t="n">
        <v>43293</v>
      </c>
      <c r="C684" s="29" t="s">
        <v>28</v>
      </c>
      <c r="D684" s="62" t="n">
        <v>28</v>
      </c>
      <c r="E684" s="62" t="n">
        <v>218.27</v>
      </c>
      <c r="F684" s="62" t="s">
        <v>5</v>
      </c>
      <c r="G684" s="29" t="s">
        <v>29</v>
      </c>
      <c r="H684" s="29" t="s">
        <v>36</v>
      </c>
    </row>
    <row r="685" customFormat="false" ht="14.25" hidden="false" customHeight="false" outlineLevel="0" collapsed="false">
      <c r="A685" s="1" t="n">
        <v>1688</v>
      </c>
      <c r="B685" s="30" t="n">
        <v>43223</v>
      </c>
      <c r="C685" s="29" t="s">
        <v>31</v>
      </c>
      <c r="D685" s="62" t="n">
        <v>33</v>
      </c>
      <c r="E685" s="62" t="n">
        <v>3736.03</v>
      </c>
      <c r="F685" s="62" t="s">
        <v>3</v>
      </c>
      <c r="G685" s="29" t="s">
        <v>24</v>
      </c>
      <c r="H685" s="29" t="s">
        <v>25</v>
      </c>
    </row>
    <row r="686" customFormat="false" ht="14.25" hidden="false" customHeight="false" outlineLevel="0" collapsed="false">
      <c r="A686" s="1" t="n">
        <v>1689</v>
      </c>
      <c r="B686" s="30" t="n">
        <v>43223</v>
      </c>
      <c r="C686" s="29" t="s">
        <v>31</v>
      </c>
      <c r="D686" s="62" t="n">
        <v>34</v>
      </c>
      <c r="E686" s="62" t="n">
        <v>126.16</v>
      </c>
      <c r="F686" s="62" t="s">
        <v>3</v>
      </c>
      <c r="G686" s="29" t="s">
        <v>29</v>
      </c>
      <c r="H686" s="29" t="s">
        <v>36</v>
      </c>
    </row>
    <row r="687" customFormat="false" ht="14.25" hidden="false" customHeight="false" outlineLevel="0" collapsed="false">
      <c r="A687" s="1" t="n">
        <v>1690</v>
      </c>
      <c r="B687" s="30" t="n">
        <v>43223</v>
      </c>
      <c r="C687" s="29" t="s">
        <v>31</v>
      </c>
      <c r="D687" s="62" t="n">
        <v>43</v>
      </c>
      <c r="E687" s="62" t="n">
        <v>110.85</v>
      </c>
      <c r="F687" s="62" t="s">
        <v>3</v>
      </c>
      <c r="G687" s="29" t="s">
        <v>29</v>
      </c>
      <c r="H687" s="29" t="s">
        <v>32</v>
      </c>
    </row>
    <row r="688" customFormat="false" ht="14.25" hidden="false" customHeight="false" outlineLevel="0" collapsed="false">
      <c r="A688" s="1" t="n">
        <v>1691</v>
      </c>
      <c r="B688" s="30" t="n">
        <v>43223</v>
      </c>
      <c r="C688" s="29" t="s">
        <v>31</v>
      </c>
      <c r="D688" s="62" t="n">
        <v>46</v>
      </c>
      <c r="E688" s="62" t="n">
        <v>3899.72</v>
      </c>
      <c r="F688" s="62" t="s">
        <v>3</v>
      </c>
      <c r="G688" s="29" t="s">
        <v>29</v>
      </c>
      <c r="H688" s="29" t="s">
        <v>38</v>
      </c>
    </row>
    <row r="689" customFormat="false" ht="14.25" hidden="false" customHeight="false" outlineLevel="0" collapsed="false">
      <c r="A689" s="1" t="n">
        <v>1692</v>
      </c>
      <c r="B689" s="30" t="n">
        <v>43204</v>
      </c>
      <c r="C689" s="29" t="s">
        <v>37</v>
      </c>
      <c r="D689" s="62" t="n">
        <v>17</v>
      </c>
      <c r="E689" s="62" t="n">
        <v>36.55</v>
      </c>
      <c r="F689" s="62" t="s">
        <v>4</v>
      </c>
      <c r="G689" s="29" t="s">
        <v>29</v>
      </c>
      <c r="H689" s="29" t="s">
        <v>30</v>
      </c>
    </row>
    <row r="690" customFormat="false" ht="14.25" hidden="false" customHeight="false" outlineLevel="0" collapsed="false">
      <c r="A690" s="1" t="n">
        <v>1693</v>
      </c>
      <c r="B690" s="30" t="n">
        <v>43150</v>
      </c>
      <c r="C690" s="29" t="s">
        <v>31</v>
      </c>
      <c r="D690" s="62" t="n">
        <v>39</v>
      </c>
      <c r="E690" s="62" t="n">
        <v>575.81</v>
      </c>
      <c r="F690" s="62" t="s">
        <v>3</v>
      </c>
      <c r="G690" s="29" t="s">
        <v>24</v>
      </c>
      <c r="H690" s="29" t="s">
        <v>26</v>
      </c>
    </row>
    <row r="691" customFormat="false" ht="14.25" hidden="false" customHeight="false" outlineLevel="0" collapsed="false">
      <c r="A691" s="1" t="n">
        <v>1694</v>
      </c>
      <c r="B691" s="30" t="n">
        <v>43150</v>
      </c>
      <c r="C691" s="29" t="s">
        <v>31</v>
      </c>
      <c r="D691" s="62" t="n">
        <v>15</v>
      </c>
      <c r="E691" s="62" t="n">
        <v>5303.76</v>
      </c>
      <c r="F691" s="62" t="s">
        <v>3</v>
      </c>
      <c r="G691" s="29" t="s">
        <v>22</v>
      </c>
      <c r="H691" s="29" t="s">
        <v>27</v>
      </c>
    </row>
    <row r="692" customFormat="false" ht="14.25" hidden="false" customHeight="false" outlineLevel="0" collapsed="false">
      <c r="A692" s="1" t="n">
        <v>1695</v>
      </c>
      <c r="B692" s="30" t="n">
        <v>43240</v>
      </c>
      <c r="C692" s="29" t="s">
        <v>39</v>
      </c>
      <c r="D692" s="62" t="n">
        <v>7</v>
      </c>
      <c r="E692" s="62" t="n">
        <v>203.01</v>
      </c>
      <c r="F692" s="62" t="s">
        <v>5</v>
      </c>
      <c r="G692" s="29" t="s">
        <v>29</v>
      </c>
      <c r="H692" s="29" t="s">
        <v>34</v>
      </c>
    </row>
    <row r="693" customFormat="false" ht="14.25" hidden="false" customHeight="false" outlineLevel="0" collapsed="false">
      <c r="A693" s="1" t="n">
        <v>1696</v>
      </c>
      <c r="B693" s="30" t="n">
        <v>43240</v>
      </c>
      <c r="C693" s="29" t="s">
        <v>39</v>
      </c>
      <c r="D693" s="62" t="n">
        <v>40</v>
      </c>
      <c r="E693" s="62" t="n">
        <v>298.32</v>
      </c>
      <c r="F693" s="62" t="s">
        <v>5</v>
      </c>
      <c r="G693" s="29" t="s">
        <v>29</v>
      </c>
      <c r="H693" s="29" t="s">
        <v>36</v>
      </c>
    </row>
    <row r="694" customFormat="false" ht="14.25" hidden="false" customHeight="false" outlineLevel="0" collapsed="false">
      <c r="A694" s="1" t="n">
        <v>1697</v>
      </c>
      <c r="B694" s="30" t="n">
        <v>43240</v>
      </c>
      <c r="C694" s="29" t="s">
        <v>21</v>
      </c>
      <c r="D694" s="62" t="n">
        <v>18</v>
      </c>
      <c r="E694" s="62" t="n">
        <v>432.6</v>
      </c>
      <c r="F694" s="62" t="s">
        <v>4</v>
      </c>
      <c r="G694" s="29" t="s">
        <v>29</v>
      </c>
      <c r="H694" s="29" t="s">
        <v>30</v>
      </c>
    </row>
    <row r="695" customFormat="false" ht="14.25" hidden="false" customHeight="false" outlineLevel="0" collapsed="false">
      <c r="A695" s="1" t="n">
        <v>1698</v>
      </c>
      <c r="B695" s="30" t="n">
        <v>43240</v>
      </c>
      <c r="C695" s="29" t="s">
        <v>21</v>
      </c>
      <c r="D695" s="62" t="n">
        <v>43</v>
      </c>
      <c r="E695" s="62" t="n">
        <v>12492.22</v>
      </c>
      <c r="F695" s="62" t="s">
        <v>4</v>
      </c>
      <c r="G695" s="29" t="s">
        <v>22</v>
      </c>
      <c r="H695" s="29" t="s">
        <v>27</v>
      </c>
    </row>
    <row r="696" customFormat="false" ht="14.25" hidden="false" customHeight="false" outlineLevel="0" collapsed="false">
      <c r="A696" s="1" t="n">
        <v>1699</v>
      </c>
      <c r="B696" s="30" t="n">
        <v>43195</v>
      </c>
      <c r="C696" s="29" t="s">
        <v>39</v>
      </c>
      <c r="D696" s="62" t="n">
        <v>20</v>
      </c>
      <c r="E696" s="62" t="n">
        <v>2383.25</v>
      </c>
      <c r="F696" s="62" t="s">
        <v>3</v>
      </c>
      <c r="G696" s="29" t="s">
        <v>29</v>
      </c>
      <c r="H696" s="29" t="s">
        <v>38</v>
      </c>
    </row>
    <row r="697" customFormat="false" ht="14.25" hidden="false" customHeight="false" outlineLevel="0" collapsed="false">
      <c r="A697" s="1" t="n">
        <v>1700</v>
      </c>
      <c r="B697" s="30" t="n">
        <v>43121</v>
      </c>
      <c r="C697" s="29" t="s">
        <v>28</v>
      </c>
      <c r="D697" s="62" t="n">
        <v>29</v>
      </c>
      <c r="E697" s="62" t="n">
        <v>552.78</v>
      </c>
      <c r="F697" s="62" t="s">
        <v>6</v>
      </c>
      <c r="G697" s="29" t="s">
        <v>24</v>
      </c>
      <c r="H697" s="29" t="s">
        <v>26</v>
      </c>
    </row>
    <row r="698" customFormat="false" ht="14.25" hidden="false" customHeight="false" outlineLevel="0" collapsed="false">
      <c r="A698" s="1" t="n">
        <v>1701</v>
      </c>
      <c r="B698" s="30" t="n">
        <v>43121</v>
      </c>
      <c r="C698" s="29" t="s">
        <v>28</v>
      </c>
      <c r="D698" s="62" t="n">
        <v>43</v>
      </c>
      <c r="E698" s="62" t="n">
        <v>1470.93</v>
      </c>
      <c r="F698" s="62" t="s">
        <v>6</v>
      </c>
      <c r="G698" s="29" t="s">
        <v>24</v>
      </c>
      <c r="H698" s="29" t="s">
        <v>26</v>
      </c>
    </row>
    <row r="699" customFormat="false" ht="14.25" hidden="false" customHeight="false" outlineLevel="0" collapsed="false">
      <c r="A699" s="1" t="n">
        <v>1702</v>
      </c>
      <c r="B699" s="30" t="n">
        <v>43132</v>
      </c>
      <c r="C699" s="29" t="s">
        <v>28</v>
      </c>
      <c r="D699" s="62" t="n">
        <v>38</v>
      </c>
      <c r="E699" s="62" t="n">
        <v>8361.61</v>
      </c>
      <c r="F699" s="62" t="s">
        <v>5</v>
      </c>
      <c r="G699" s="29" t="s">
        <v>22</v>
      </c>
      <c r="H699" s="29" t="s">
        <v>23</v>
      </c>
    </row>
    <row r="700" customFormat="false" ht="14.25" hidden="false" customHeight="false" outlineLevel="0" collapsed="false">
      <c r="A700" s="1" t="n">
        <v>1703</v>
      </c>
      <c r="B700" s="30" t="n">
        <v>43132</v>
      </c>
      <c r="C700" s="29" t="s">
        <v>28</v>
      </c>
      <c r="D700" s="62" t="n">
        <v>24</v>
      </c>
      <c r="E700" s="62" t="n">
        <v>155.31</v>
      </c>
      <c r="F700" s="62" t="s">
        <v>5</v>
      </c>
      <c r="G700" s="29" t="s">
        <v>29</v>
      </c>
      <c r="H700" s="29" t="s">
        <v>34</v>
      </c>
    </row>
    <row r="701" customFormat="false" ht="14.25" hidden="false" customHeight="false" outlineLevel="0" collapsed="false">
      <c r="A701" s="1" t="n">
        <v>1704</v>
      </c>
      <c r="B701" s="30" t="n">
        <v>43132</v>
      </c>
      <c r="C701" s="29" t="s">
        <v>28</v>
      </c>
      <c r="D701" s="62" t="n">
        <v>3</v>
      </c>
      <c r="E701" s="62" t="n">
        <v>140.71</v>
      </c>
      <c r="F701" s="62" t="s">
        <v>5</v>
      </c>
      <c r="G701" s="29" t="s">
        <v>22</v>
      </c>
      <c r="H701" s="29" t="s">
        <v>23</v>
      </c>
    </row>
    <row r="702" customFormat="false" ht="14.25" hidden="false" customHeight="false" outlineLevel="0" collapsed="false">
      <c r="A702" s="1" t="n">
        <v>1705</v>
      </c>
      <c r="B702" s="30" t="n">
        <v>43132</v>
      </c>
      <c r="C702" s="29" t="s">
        <v>28</v>
      </c>
      <c r="D702" s="62" t="n">
        <v>23</v>
      </c>
      <c r="E702" s="62" t="n">
        <v>170.12</v>
      </c>
      <c r="F702" s="62" t="s">
        <v>5</v>
      </c>
      <c r="G702" s="29" t="s">
        <v>29</v>
      </c>
      <c r="H702" s="29" t="s">
        <v>38</v>
      </c>
    </row>
    <row r="703" customFormat="false" ht="14.25" hidden="false" customHeight="false" outlineLevel="0" collapsed="false">
      <c r="A703" s="1" t="n">
        <v>1706</v>
      </c>
      <c r="B703" s="30" t="n">
        <v>43110</v>
      </c>
      <c r="C703" s="29" t="s">
        <v>21</v>
      </c>
      <c r="D703" s="62" t="n">
        <v>24</v>
      </c>
      <c r="E703" s="62" t="n">
        <v>2102.77</v>
      </c>
      <c r="F703" s="62" t="s">
        <v>5</v>
      </c>
      <c r="G703" s="29" t="s">
        <v>22</v>
      </c>
      <c r="H703" s="29" t="s">
        <v>23</v>
      </c>
    </row>
    <row r="704" customFormat="false" ht="14.25" hidden="false" customHeight="false" outlineLevel="0" collapsed="false">
      <c r="A704" s="1" t="n">
        <v>1707</v>
      </c>
      <c r="B704" s="30" t="n">
        <v>43429</v>
      </c>
      <c r="C704" s="29" t="s">
        <v>39</v>
      </c>
      <c r="D704" s="62" t="n">
        <v>26</v>
      </c>
      <c r="E704" s="62" t="n">
        <v>1691.21</v>
      </c>
      <c r="F704" s="62" t="s">
        <v>4</v>
      </c>
      <c r="G704" s="29" t="s">
        <v>29</v>
      </c>
      <c r="H704" s="29" t="s">
        <v>41</v>
      </c>
    </row>
    <row r="705" customFormat="false" ht="14.25" hidden="false" customHeight="false" outlineLevel="0" collapsed="false">
      <c r="A705" s="1" t="n">
        <v>1708</v>
      </c>
      <c r="B705" s="30" t="n">
        <v>43129</v>
      </c>
      <c r="C705" s="29" t="s">
        <v>28</v>
      </c>
      <c r="D705" s="62" t="n">
        <v>9</v>
      </c>
      <c r="E705" s="62" t="n">
        <v>76.18</v>
      </c>
      <c r="F705" s="62" t="s">
        <v>5</v>
      </c>
      <c r="G705" s="29" t="s">
        <v>22</v>
      </c>
      <c r="H705" s="29" t="s">
        <v>23</v>
      </c>
    </row>
    <row r="706" customFormat="false" ht="14.25" hidden="false" customHeight="false" outlineLevel="0" collapsed="false">
      <c r="A706" s="1" t="n">
        <v>1709</v>
      </c>
      <c r="B706" s="30" t="n">
        <v>43208</v>
      </c>
      <c r="C706" s="29" t="s">
        <v>28</v>
      </c>
      <c r="D706" s="62" t="n">
        <v>42</v>
      </c>
      <c r="E706" s="62" t="n">
        <v>124.11</v>
      </c>
      <c r="F706" s="62" t="s">
        <v>4</v>
      </c>
      <c r="G706" s="29" t="s">
        <v>29</v>
      </c>
      <c r="H706" s="29" t="s">
        <v>30</v>
      </c>
    </row>
    <row r="707" customFormat="false" ht="14.25" hidden="false" customHeight="false" outlineLevel="0" collapsed="false">
      <c r="A707" s="1" t="n">
        <v>1710</v>
      </c>
      <c r="B707" s="30" t="n">
        <v>43137</v>
      </c>
      <c r="C707" s="29" t="s">
        <v>39</v>
      </c>
      <c r="D707" s="62" t="n">
        <v>37</v>
      </c>
      <c r="E707" s="62" t="n">
        <v>3586.16</v>
      </c>
      <c r="F707" s="62" t="s">
        <v>5</v>
      </c>
      <c r="G707" s="29" t="s">
        <v>22</v>
      </c>
      <c r="H707" s="29" t="s">
        <v>23</v>
      </c>
    </row>
    <row r="708" customFormat="false" ht="14.25" hidden="false" customHeight="false" outlineLevel="0" collapsed="false">
      <c r="A708" s="1" t="n">
        <v>1711</v>
      </c>
      <c r="B708" s="30" t="n">
        <v>43421</v>
      </c>
      <c r="C708" s="29" t="s">
        <v>21</v>
      </c>
      <c r="D708" s="62" t="n">
        <v>42</v>
      </c>
      <c r="E708" s="62" t="n">
        <v>429.47</v>
      </c>
      <c r="F708" s="62" t="s">
        <v>4</v>
      </c>
      <c r="G708" s="29" t="s">
        <v>22</v>
      </c>
      <c r="H708" s="29" t="s">
        <v>23</v>
      </c>
    </row>
    <row r="709" customFormat="false" ht="14.25" hidden="false" customHeight="false" outlineLevel="0" collapsed="false">
      <c r="A709" s="1" t="n">
        <v>1712</v>
      </c>
      <c r="B709" s="30" t="n">
        <v>43123</v>
      </c>
      <c r="C709" s="29" t="s">
        <v>28</v>
      </c>
      <c r="D709" s="62" t="n">
        <v>44</v>
      </c>
      <c r="E709" s="62" t="n">
        <v>530.19</v>
      </c>
      <c r="F709" s="62" t="s">
        <v>6</v>
      </c>
      <c r="G709" s="29" t="s">
        <v>29</v>
      </c>
      <c r="H709" s="29" t="s">
        <v>45</v>
      </c>
    </row>
    <row r="710" customFormat="false" ht="14.25" hidden="false" customHeight="false" outlineLevel="0" collapsed="false">
      <c r="A710" s="1" t="n">
        <v>1713</v>
      </c>
      <c r="B710" s="30" t="n">
        <v>43123</v>
      </c>
      <c r="C710" s="29" t="s">
        <v>28</v>
      </c>
      <c r="D710" s="62" t="n">
        <v>27</v>
      </c>
      <c r="E710" s="62" t="n">
        <v>87.63</v>
      </c>
      <c r="F710" s="62" t="s">
        <v>6</v>
      </c>
      <c r="G710" s="29" t="s">
        <v>29</v>
      </c>
      <c r="H710" s="29" t="s">
        <v>30</v>
      </c>
    </row>
    <row r="711" customFormat="false" ht="14.25" hidden="false" customHeight="false" outlineLevel="0" collapsed="false">
      <c r="A711" s="1" t="n">
        <v>1714</v>
      </c>
      <c r="B711" s="30" t="n">
        <v>43396</v>
      </c>
      <c r="C711" s="29" t="s">
        <v>31</v>
      </c>
      <c r="D711" s="62" t="n">
        <v>30</v>
      </c>
      <c r="E711" s="62" t="n">
        <v>569.36</v>
      </c>
      <c r="F711" s="62" t="s">
        <v>5</v>
      </c>
      <c r="G711" s="29" t="s">
        <v>29</v>
      </c>
      <c r="H711" s="29" t="s">
        <v>45</v>
      </c>
    </row>
    <row r="712" customFormat="false" ht="14.25" hidden="false" customHeight="false" outlineLevel="0" collapsed="false">
      <c r="A712" s="1" t="n">
        <v>1715</v>
      </c>
      <c r="B712" s="30" t="n">
        <v>43451</v>
      </c>
      <c r="C712" s="29" t="s">
        <v>31</v>
      </c>
      <c r="D712" s="62" t="n">
        <v>6</v>
      </c>
      <c r="E712" s="62" t="n">
        <v>58.1</v>
      </c>
      <c r="F712" s="62" t="s">
        <v>3</v>
      </c>
      <c r="G712" s="29" t="s">
        <v>29</v>
      </c>
      <c r="H712" s="29" t="s">
        <v>36</v>
      </c>
    </row>
    <row r="713" customFormat="false" ht="14.25" hidden="false" customHeight="false" outlineLevel="0" collapsed="false">
      <c r="A713" s="1" t="n">
        <v>1716</v>
      </c>
      <c r="B713" s="30" t="n">
        <v>43443</v>
      </c>
      <c r="C713" s="29" t="s">
        <v>21</v>
      </c>
      <c r="D713" s="62" t="n">
        <v>23</v>
      </c>
      <c r="E713" s="62" t="n">
        <v>8801.01</v>
      </c>
      <c r="F713" s="62" t="s">
        <v>5</v>
      </c>
      <c r="G713" s="29" t="s">
        <v>22</v>
      </c>
      <c r="H713" s="29" t="s">
        <v>40</v>
      </c>
    </row>
    <row r="714" customFormat="false" ht="14.25" hidden="false" customHeight="false" outlineLevel="0" collapsed="false">
      <c r="A714" s="1" t="n">
        <v>1717</v>
      </c>
      <c r="B714" s="30" t="n">
        <v>43131</v>
      </c>
      <c r="C714" s="29" t="s">
        <v>21</v>
      </c>
      <c r="D714" s="62" t="n">
        <v>2</v>
      </c>
      <c r="E714" s="62" t="n">
        <v>134.04</v>
      </c>
      <c r="F714" s="62" t="s">
        <v>3</v>
      </c>
      <c r="G714" s="29" t="s">
        <v>24</v>
      </c>
      <c r="H714" s="29" t="s">
        <v>25</v>
      </c>
    </row>
    <row r="715" customFormat="false" ht="14.25" hidden="false" customHeight="false" outlineLevel="0" collapsed="false">
      <c r="A715" s="1" t="n">
        <v>1718</v>
      </c>
      <c r="B715" s="30" t="n">
        <v>43140</v>
      </c>
      <c r="C715" s="29" t="s">
        <v>39</v>
      </c>
      <c r="D715" s="62" t="n">
        <v>35</v>
      </c>
      <c r="E715" s="62" t="n">
        <v>4081.16</v>
      </c>
      <c r="F715" s="62" t="s">
        <v>5</v>
      </c>
      <c r="G715" s="29" t="s">
        <v>24</v>
      </c>
      <c r="H715" s="29" t="s">
        <v>25</v>
      </c>
    </row>
    <row r="716" customFormat="false" ht="14.25" hidden="false" customHeight="false" outlineLevel="0" collapsed="false">
      <c r="A716" s="1" t="n">
        <v>1719</v>
      </c>
      <c r="B716" s="30" t="n">
        <v>43140</v>
      </c>
      <c r="C716" s="29" t="s">
        <v>39</v>
      </c>
      <c r="D716" s="62" t="n">
        <v>9</v>
      </c>
      <c r="E716" s="62" t="n">
        <v>127.28</v>
      </c>
      <c r="F716" s="62" t="s">
        <v>5</v>
      </c>
      <c r="G716" s="29" t="s">
        <v>22</v>
      </c>
      <c r="H716" s="29" t="s">
        <v>23</v>
      </c>
    </row>
    <row r="717" customFormat="false" ht="14.25" hidden="false" customHeight="false" outlineLevel="0" collapsed="false">
      <c r="A717" s="1" t="n">
        <v>1720</v>
      </c>
      <c r="B717" s="30" t="n">
        <v>43463</v>
      </c>
      <c r="C717" s="29" t="s">
        <v>28</v>
      </c>
      <c r="D717" s="62" t="n">
        <v>39</v>
      </c>
      <c r="E717" s="62" t="n">
        <v>223.98</v>
      </c>
      <c r="F717" s="62" t="s">
        <v>4</v>
      </c>
      <c r="G717" s="29" t="s">
        <v>29</v>
      </c>
      <c r="H717" s="29" t="s">
        <v>36</v>
      </c>
    </row>
    <row r="718" customFormat="false" ht="14.25" hidden="false" customHeight="false" outlineLevel="0" collapsed="false">
      <c r="A718" s="1" t="n">
        <v>1721</v>
      </c>
      <c r="B718" s="30" t="n">
        <v>43448</v>
      </c>
      <c r="C718" s="29" t="s">
        <v>37</v>
      </c>
      <c r="D718" s="62" t="n">
        <v>21</v>
      </c>
      <c r="E718" s="62" t="n">
        <v>2182.08</v>
      </c>
      <c r="F718" s="62" t="s">
        <v>6</v>
      </c>
      <c r="G718" s="29" t="s">
        <v>22</v>
      </c>
      <c r="H718" s="29" t="s">
        <v>40</v>
      </c>
    </row>
    <row r="719" customFormat="false" ht="14.25" hidden="false" customHeight="false" outlineLevel="0" collapsed="false">
      <c r="A719" s="1" t="n">
        <v>1722</v>
      </c>
      <c r="B719" s="30" t="n">
        <v>43365</v>
      </c>
      <c r="C719" s="29" t="s">
        <v>39</v>
      </c>
      <c r="D719" s="62" t="n">
        <v>47</v>
      </c>
      <c r="E719" s="62" t="n">
        <v>204.51</v>
      </c>
      <c r="F719" s="62" t="s">
        <v>6</v>
      </c>
      <c r="G719" s="29" t="s">
        <v>29</v>
      </c>
      <c r="H719" s="29" t="s">
        <v>30</v>
      </c>
    </row>
    <row r="720" customFormat="false" ht="14.25" hidden="false" customHeight="false" outlineLevel="0" collapsed="false">
      <c r="A720" s="1" t="n">
        <v>1723</v>
      </c>
      <c r="B720" s="30" t="n">
        <v>43365</v>
      </c>
      <c r="C720" s="29" t="s">
        <v>39</v>
      </c>
      <c r="D720" s="62" t="n">
        <v>17</v>
      </c>
      <c r="E720" s="62" t="n">
        <v>51.62</v>
      </c>
      <c r="F720" s="62" t="s">
        <v>6</v>
      </c>
      <c r="G720" s="29" t="s">
        <v>29</v>
      </c>
      <c r="H720" s="29" t="s">
        <v>30</v>
      </c>
    </row>
    <row r="721" customFormat="false" ht="14.25" hidden="false" customHeight="false" outlineLevel="0" collapsed="false">
      <c r="A721" s="1" t="n">
        <v>1724</v>
      </c>
      <c r="B721" s="30" t="n">
        <v>43379</v>
      </c>
      <c r="C721" s="29" t="s">
        <v>39</v>
      </c>
      <c r="D721" s="62" t="n">
        <v>41</v>
      </c>
      <c r="E721" s="62" t="n">
        <v>276.2</v>
      </c>
      <c r="F721" s="62" t="s">
        <v>4</v>
      </c>
      <c r="G721" s="29" t="s">
        <v>29</v>
      </c>
      <c r="H721" s="29" t="s">
        <v>33</v>
      </c>
    </row>
    <row r="722" customFormat="false" ht="14.25" hidden="false" customHeight="false" outlineLevel="0" collapsed="false">
      <c r="A722" s="1" t="n">
        <v>1725</v>
      </c>
      <c r="B722" s="30" t="n">
        <v>43361</v>
      </c>
      <c r="C722" s="29" t="s">
        <v>31</v>
      </c>
      <c r="D722" s="62" t="n">
        <v>37</v>
      </c>
      <c r="E722" s="62" t="n">
        <v>1105.78</v>
      </c>
      <c r="F722" s="62" t="s">
        <v>4</v>
      </c>
      <c r="G722" s="29" t="s">
        <v>29</v>
      </c>
      <c r="H722" s="29" t="s">
        <v>36</v>
      </c>
    </row>
    <row r="723" customFormat="false" ht="14.25" hidden="false" customHeight="false" outlineLevel="0" collapsed="false">
      <c r="A723" s="1" t="n">
        <v>1726</v>
      </c>
      <c r="B723" s="30" t="n">
        <v>43375</v>
      </c>
      <c r="C723" s="29" t="s">
        <v>28</v>
      </c>
      <c r="D723" s="62" t="n">
        <v>30</v>
      </c>
      <c r="E723" s="62" t="n">
        <v>1009.48</v>
      </c>
      <c r="F723" s="62" t="s">
        <v>3</v>
      </c>
      <c r="G723" s="29" t="s">
        <v>29</v>
      </c>
      <c r="H723" s="29" t="s">
        <v>36</v>
      </c>
    </row>
    <row r="724" customFormat="false" ht="14.25" hidden="false" customHeight="false" outlineLevel="0" collapsed="false">
      <c r="A724" s="1" t="n">
        <v>1727</v>
      </c>
      <c r="B724" s="30" t="n">
        <v>43375</v>
      </c>
      <c r="C724" s="29" t="s">
        <v>28</v>
      </c>
      <c r="D724" s="62" t="n">
        <v>47</v>
      </c>
      <c r="E724" s="62" t="n">
        <v>15508.41</v>
      </c>
      <c r="F724" s="62" t="s">
        <v>3</v>
      </c>
      <c r="G724" s="29" t="s">
        <v>22</v>
      </c>
      <c r="H724" s="29" t="s">
        <v>27</v>
      </c>
    </row>
    <row r="725" customFormat="false" ht="14.25" hidden="false" customHeight="false" outlineLevel="0" collapsed="false">
      <c r="A725" s="1" t="n">
        <v>1728</v>
      </c>
      <c r="B725" s="30" t="n">
        <v>43428</v>
      </c>
      <c r="C725" s="29" t="s">
        <v>39</v>
      </c>
      <c r="D725" s="62" t="n">
        <v>24</v>
      </c>
      <c r="E725" s="62" t="n">
        <v>43.06</v>
      </c>
      <c r="F725" s="62" t="s">
        <v>3</v>
      </c>
      <c r="G725" s="29" t="s">
        <v>29</v>
      </c>
      <c r="H725" s="29" t="s">
        <v>30</v>
      </c>
    </row>
    <row r="726" customFormat="false" ht="14.25" hidden="false" customHeight="false" outlineLevel="0" collapsed="false">
      <c r="A726" s="1" t="n">
        <v>1729</v>
      </c>
      <c r="B726" s="30" t="n">
        <v>43196</v>
      </c>
      <c r="C726" s="29" t="s">
        <v>28</v>
      </c>
      <c r="D726" s="62" t="n">
        <v>43</v>
      </c>
      <c r="E726" s="62" t="n">
        <v>873.24</v>
      </c>
      <c r="F726" s="62" t="s">
        <v>4</v>
      </c>
      <c r="G726" s="29" t="s">
        <v>29</v>
      </c>
      <c r="H726" s="29" t="s">
        <v>36</v>
      </c>
    </row>
    <row r="727" customFormat="false" ht="14.25" hidden="false" customHeight="false" outlineLevel="0" collapsed="false">
      <c r="A727" s="1" t="n">
        <v>1730</v>
      </c>
      <c r="B727" s="30" t="n">
        <v>43161</v>
      </c>
      <c r="C727" s="29" t="s">
        <v>31</v>
      </c>
      <c r="D727" s="62" t="n">
        <v>44</v>
      </c>
      <c r="E727" s="62" t="n">
        <v>853.84</v>
      </c>
      <c r="F727" s="62" t="s">
        <v>5</v>
      </c>
      <c r="G727" s="29" t="s">
        <v>24</v>
      </c>
      <c r="H727" s="29" t="s">
        <v>25</v>
      </c>
    </row>
    <row r="728" customFormat="false" ht="14.25" hidden="false" customHeight="false" outlineLevel="0" collapsed="false">
      <c r="A728" s="1" t="n">
        <v>1731</v>
      </c>
      <c r="B728" s="30" t="n">
        <v>43138</v>
      </c>
      <c r="C728" s="29" t="s">
        <v>31</v>
      </c>
      <c r="D728" s="62" t="n">
        <v>13</v>
      </c>
      <c r="E728" s="62" t="n">
        <v>130.18</v>
      </c>
      <c r="F728" s="62" t="s">
        <v>3</v>
      </c>
      <c r="G728" s="29" t="s">
        <v>29</v>
      </c>
      <c r="H728" s="29" t="s">
        <v>34</v>
      </c>
    </row>
    <row r="729" customFormat="false" ht="14.25" hidden="false" customHeight="false" outlineLevel="0" collapsed="false">
      <c r="A729" s="1" t="n">
        <v>1732</v>
      </c>
      <c r="B729" s="30" t="n">
        <v>43298</v>
      </c>
      <c r="C729" s="29" t="s">
        <v>37</v>
      </c>
      <c r="D729" s="62" t="n">
        <v>3</v>
      </c>
      <c r="E729" s="62" t="n">
        <v>298.88</v>
      </c>
      <c r="F729" s="62" t="s">
        <v>4</v>
      </c>
      <c r="G729" s="29" t="s">
        <v>29</v>
      </c>
      <c r="H729" s="29" t="s">
        <v>45</v>
      </c>
    </row>
    <row r="730" customFormat="false" ht="14.25" hidden="false" customHeight="false" outlineLevel="0" collapsed="false">
      <c r="A730" s="1" t="n">
        <v>1733</v>
      </c>
      <c r="B730" s="30" t="n">
        <v>43119</v>
      </c>
      <c r="C730" s="29" t="s">
        <v>31</v>
      </c>
      <c r="D730" s="62" t="n">
        <v>50</v>
      </c>
      <c r="E730" s="62" t="n">
        <v>453.68</v>
      </c>
      <c r="F730" s="62" t="s">
        <v>3</v>
      </c>
      <c r="G730" s="29" t="s">
        <v>29</v>
      </c>
      <c r="H730" s="29" t="s">
        <v>41</v>
      </c>
    </row>
    <row r="731" customFormat="false" ht="14.25" hidden="false" customHeight="false" outlineLevel="0" collapsed="false">
      <c r="A731" s="1" t="n">
        <v>1734</v>
      </c>
      <c r="B731" s="30" t="n">
        <v>43119</v>
      </c>
      <c r="C731" s="29" t="s">
        <v>31</v>
      </c>
      <c r="D731" s="62" t="n">
        <v>5</v>
      </c>
      <c r="E731" s="62" t="n">
        <v>540.13</v>
      </c>
      <c r="F731" s="62" t="s">
        <v>3</v>
      </c>
      <c r="G731" s="29" t="s">
        <v>24</v>
      </c>
      <c r="H731" s="29" t="s">
        <v>26</v>
      </c>
    </row>
    <row r="732" customFormat="false" ht="14.25" hidden="false" customHeight="false" outlineLevel="0" collapsed="false">
      <c r="A732" s="1" t="n">
        <v>1735</v>
      </c>
      <c r="B732" s="30" t="n">
        <v>43119</v>
      </c>
      <c r="C732" s="29" t="s">
        <v>31</v>
      </c>
      <c r="D732" s="62" t="n">
        <v>7</v>
      </c>
      <c r="E732" s="62" t="n">
        <v>137.62</v>
      </c>
      <c r="F732" s="62" t="s">
        <v>3</v>
      </c>
      <c r="G732" s="29" t="s">
        <v>22</v>
      </c>
      <c r="H732" s="29" t="s">
        <v>23</v>
      </c>
    </row>
    <row r="733" customFormat="false" ht="14.25" hidden="false" customHeight="false" outlineLevel="0" collapsed="false">
      <c r="A733" s="1" t="n">
        <v>1736</v>
      </c>
      <c r="B733" s="30" t="n">
        <v>43401</v>
      </c>
      <c r="C733" s="29" t="s">
        <v>21</v>
      </c>
      <c r="D733" s="62" t="n">
        <v>36</v>
      </c>
      <c r="E733" s="62" t="n">
        <v>10212.27</v>
      </c>
      <c r="F733" s="62" t="s">
        <v>4</v>
      </c>
      <c r="G733" s="29" t="s">
        <v>24</v>
      </c>
      <c r="H733" s="29" t="s">
        <v>26</v>
      </c>
    </row>
    <row r="734" customFormat="false" ht="14.25" hidden="false" customHeight="false" outlineLevel="0" collapsed="false">
      <c r="A734" s="1" t="n">
        <v>1737</v>
      </c>
      <c r="B734" s="30" t="n">
        <v>43401</v>
      </c>
      <c r="C734" s="29" t="s">
        <v>21</v>
      </c>
      <c r="D734" s="62" t="n">
        <v>8</v>
      </c>
      <c r="E734" s="62" t="n">
        <v>35.22</v>
      </c>
      <c r="F734" s="62" t="s">
        <v>4</v>
      </c>
      <c r="G734" s="29" t="s">
        <v>29</v>
      </c>
      <c r="H734" s="29" t="s">
        <v>33</v>
      </c>
    </row>
    <row r="735" customFormat="false" ht="14.25" hidden="false" customHeight="false" outlineLevel="0" collapsed="false">
      <c r="A735" s="1" t="n">
        <v>1738</v>
      </c>
      <c r="B735" s="30" t="n">
        <v>43381</v>
      </c>
      <c r="C735" s="29" t="s">
        <v>39</v>
      </c>
      <c r="D735" s="62" t="n">
        <v>39</v>
      </c>
      <c r="E735" s="62" t="n">
        <v>2573.35</v>
      </c>
      <c r="F735" s="62" t="s">
        <v>5</v>
      </c>
      <c r="G735" s="29" t="s">
        <v>29</v>
      </c>
      <c r="H735" s="29" t="s">
        <v>41</v>
      </c>
    </row>
    <row r="736" customFormat="false" ht="14.25" hidden="false" customHeight="false" outlineLevel="0" collapsed="false">
      <c r="A736" s="1" t="n">
        <v>1739</v>
      </c>
      <c r="B736" s="30" t="n">
        <v>43283</v>
      </c>
      <c r="C736" s="29" t="s">
        <v>28</v>
      </c>
      <c r="D736" s="62" t="n">
        <v>45</v>
      </c>
      <c r="E736" s="62" t="n">
        <v>317.6</v>
      </c>
      <c r="F736" s="62" t="s">
        <v>4</v>
      </c>
      <c r="G736" s="29" t="s">
        <v>29</v>
      </c>
      <c r="H736" s="29" t="s">
        <v>36</v>
      </c>
    </row>
    <row r="737" customFormat="false" ht="14.25" hidden="false" customHeight="false" outlineLevel="0" collapsed="false">
      <c r="A737" s="1" t="n">
        <v>1740</v>
      </c>
      <c r="B737" s="30" t="n">
        <v>43194</v>
      </c>
      <c r="C737" s="29" t="s">
        <v>37</v>
      </c>
      <c r="D737" s="62" t="n">
        <v>35</v>
      </c>
      <c r="E737" s="62" t="n">
        <v>49.69</v>
      </c>
      <c r="F737" s="62" t="s">
        <v>4</v>
      </c>
      <c r="G737" s="29" t="s">
        <v>29</v>
      </c>
      <c r="H737" s="29" t="s">
        <v>33</v>
      </c>
    </row>
    <row r="738" customFormat="false" ht="14.25" hidden="false" customHeight="false" outlineLevel="0" collapsed="false">
      <c r="A738" s="1" t="n">
        <v>1741</v>
      </c>
      <c r="B738" s="30" t="n">
        <v>43443</v>
      </c>
      <c r="C738" s="29" t="s">
        <v>28</v>
      </c>
      <c r="D738" s="62" t="n">
        <v>4</v>
      </c>
      <c r="E738" s="62" t="n">
        <v>72.93</v>
      </c>
      <c r="F738" s="62" t="s">
        <v>5</v>
      </c>
      <c r="G738" s="29" t="s">
        <v>24</v>
      </c>
      <c r="H738" s="29" t="s">
        <v>26</v>
      </c>
    </row>
    <row r="739" customFormat="false" ht="14.25" hidden="false" customHeight="false" outlineLevel="0" collapsed="false">
      <c r="A739" s="1" t="n">
        <v>1742</v>
      </c>
      <c r="B739" s="30" t="n">
        <v>43443</v>
      </c>
      <c r="C739" s="29" t="s">
        <v>28</v>
      </c>
      <c r="D739" s="62" t="n">
        <v>45</v>
      </c>
      <c r="E739" s="62" t="n">
        <v>6336.26</v>
      </c>
      <c r="F739" s="62" t="s">
        <v>5</v>
      </c>
      <c r="G739" s="29" t="s">
        <v>22</v>
      </c>
      <c r="H739" s="29" t="s">
        <v>40</v>
      </c>
    </row>
    <row r="740" customFormat="false" ht="14.25" hidden="false" customHeight="false" outlineLevel="0" collapsed="false">
      <c r="A740" s="1" t="n">
        <v>1743</v>
      </c>
      <c r="B740" s="30" t="n">
        <v>43443</v>
      </c>
      <c r="C740" s="29" t="s">
        <v>28</v>
      </c>
      <c r="D740" s="62" t="n">
        <v>20</v>
      </c>
      <c r="E740" s="62" t="n">
        <v>150.2</v>
      </c>
      <c r="F740" s="62" t="s">
        <v>5</v>
      </c>
      <c r="G740" s="29" t="s">
        <v>29</v>
      </c>
      <c r="H740" s="29" t="s">
        <v>41</v>
      </c>
    </row>
    <row r="741" customFormat="false" ht="14.25" hidden="false" customHeight="false" outlineLevel="0" collapsed="false">
      <c r="A741" s="1" t="n">
        <v>1744</v>
      </c>
      <c r="B741" s="30" t="n">
        <v>43144</v>
      </c>
      <c r="C741" s="29" t="s">
        <v>28</v>
      </c>
      <c r="D741" s="62" t="n">
        <v>27</v>
      </c>
      <c r="E741" s="62" t="n">
        <v>212</v>
      </c>
      <c r="F741" s="62" t="s">
        <v>4</v>
      </c>
      <c r="G741" s="29" t="s">
        <v>29</v>
      </c>
      <c r="H741" s="29" t="s">
        <v>38</v>
      </c>
    </row>
    <row r="742" customFormat="false" ht="14.25" hidden="false" customHeight="false" outlineLevel="0" collapsed="false">
      <c r="A742" s="1" t="n">
        <v>1745</v>
      </c>
      <c r="B742" s="30" t="n">
        <v>43144</v>
      </c>
      <c r="C742" s="29" t="s">
        <v>28</v>
      </c>
      <c r="D742" s="62" t="n">
        <v>27</v>
      </c>
      <c r="E742" s="62" t="n">
        <v>326.33</v>
      </c>
      <c r="F742" s="62" t="s">
        <v>4</v>
      </c>
      <c r="G742" s="29" t="s">
        <v>29</v>
      </c>
      <c r="H742" s="29" t="s">
        <v>34</v>
      </c>
    </row>
    <row r="743" customFormat="false" ht="14.25" hidden="false" customHeight="false" outlineLevel="0" collapsed="false">
      <c r="A743" s="1" t="n">
        <v>1746</v>
      </c>
      <c r="B743" s="30" t="n">
        <v>43144</v>
      </c>
      <c r="C743" s="29" t="s">
        <v>28</v>
      </c>
      <c r="D743" s="62" t="n">
        <v>34</v>
      </c>
      <c r="E743" s="62" t="n">
        <v>111.54</v>
      </c>
      <c r="F743" s="62" t="s">
        <v>4</v>
      </c>
      <c r="G743" s="29" t="s">
        <v>29</v>
      </c>
      <c r="H743" s="29" t="s">
        <v>30</v>
      </c>
    </row>
    <row r="744" customFormat="false" ht="14.25" hidden="false" customHeight="false" outlineLevel="0" collapsed="false">
      <c r="A744" s="1" t="n">
        <v>1747</v>
      </c>
      <c r="B744" s="30" t="n">
        <v>43144</v>
      </c>
      <c r="C744" s="29" t="s">
        <v>28</v>
      </c>
      <c r="D744" s="62" t="n">
        <v>25</v>
      </c>
      <c r="E744" s="62" t="n">
        <v>4671.99</v>
      </c>
      <c r="F744" s="62" t="s">
        <v>4</v>
      </c>
      <c r="G744" s="29" t="s">
        <v>24</v>
      </c>
      <c r="H744" s="29" t="s">
        <v>25</v>
      </c>
    </row>
    <row r="745" customFormat="false" ht="14.25" hidden="false" customHeight="false" outlineLevel="0" collapsed="false">
      <c r="A745" s="1" t="n">
        <v>1748</v>
      </c>
      <c r="B745" s="30" t="n">
        <v>43219</v>
      </c>
      <c r="C745" s="29" t="s">
        <v>37</v>
      </c>
      <c r="D745" s="62" t="n">
        <v>4</v>
      </c>
      <c r="E745" s="62" t="n">
        <v>112.49</v>
      </c>
      <c r="F745" s="62" t="s">
        <v>5</v>
      </c>
      <c r="G745" s="29" t="s">
        <v>24</v>
      </c>
      <c r="H745" s="29" t="s">
        <v>26</v>
      </c>
    </row>
    <row r="746" customFormat="false" ht="14.25" hidden="false" customHeight="false" outlineLevel="0" collapsed="false">
      <c r="A746" s="1" t="n">
        <v>1749</v>
      </c>
      <c r="B746" s="30" t="n">
        <v>43454</v>
      </c>
      <c r="C746" s="29" t="s">
        <v>39</v>
      </c>
      <c r="D746" s="62" t="n">
        <v>29</v>
      </c>
      <c r="E746" s="62" t="n">
        <v>1879.04</v>
      </c>
      <c r="F746" s="62" t="s">
        <v>4</v>
      </c>
      <c r="G746" s="29" t="s">
        <v>29</v>
      </c>
      <c r="H746" s="29" t="s">
        <v>38</v>
      </c>
    </row>
    <row r="747" customFormat="false" ht="14.25" hidden="false" customHeight="false" outlineLevel="0" collapsed="false">
      <c r="A747" s="1" t="n">
        <v>1750</v>
      </c>
      <c r="B747" s="30" t="n">
        <v>43357</v>
      </c>
      <c r="C747" s="29" t="s">
        <v>37</v>
      </c>
      <c r="D747" s="62" t="n">
        <v>8</v>
      </c>
      <c r="E747" s="62" t="n">
        <v>366.23</v>
      </c>
      <c r="F747" s="62" t="s">
        <v>3</v>
      </c>
      <c r="G747" s="29" t="s">
        <v>29</v>
      </c>
      <c r="H747" s="29" t="s">
        <v>36</v>
      </c>
    </row>
    <row r="748" customFormat="false" ht="14.25" hidden="false" customHeight="false" outlineLevel="0" collapsed="false">
      <c r="A748" s="1" t="n">
        <v>1751</v>
      </c>
      <c r="B748" s="30" t="n">
        <v>43357</v>
      </c>
      <c r="C748" s="29" t="s">
        <v>37</v>
      </c>
      <c r="D748" s="62" t="n">
        <v>39</v>
      </c>
      <c r="E748" s="62" t="n">
        <v>618.41</v>
      </c>
      <c r="F748" s="62" t="s">
        <v>3</v>
      </c>
      <c r="G748" s="29" t="s">
        <v>29</v>
      </c>
      <c r="H748" s="29" t="s">
        <v>32</v>
      </c>
    </row>
    <row r="749" customFormat="false" ht="14.25" hidden="false" customHeight="false" outlineLevel="0" collapsed="false">
      <c r="A749" s="1" t="n">
        <v>1752</v>
      </c>
      <c r="B749" s="30" t="n">
        <v>43357</v>
      </c>
      <c r="C749" s="29" t="s">
        <v>37</v>
      </c>
      <c r="D749" s="62" t="n">
        <v>18</v>
      </c>
      <c r="E749" s="62" t="n">
        <v>180.78</v>
      </c>
      <c r="F749" s="62" t="s">
        <v>3</v>
      </c>
      <c r="G749" s="29" t="s">
        <v>29</v>
      </c>
      <c r="H749" s="29" t="s">
        <v>45</v>
      </c>
    </row>
    <row r="750" customFormat="false" ht="14.25" hidden="false" customHeight="false" outlineLevel="0" collapsed="false">
      <c r="A750" s="1" t="n">
        <v>1753</v>
      </c>
      <c r="B750" s="30" t="n">
        <v>43198</v>
      </c>
      <c r="C750" s="29" t="s">
        <v>37</v>
      </c>
      <c r="D750" s="62" t="n">
        <v>24</v>
      </c>
      <c r="E750" s="62" t="n">
        <v>152.8</v>
      </c>
      <c r="F750" s="62" t="s">
        <v>6</v>
      </c>
      <c r="G750" s="29" t="s">
        <v>29</v>
      </c>
      <c r="H750" s="29" t="s">
        <v>33</v>
      </c>
    </row>
    <row r="751" customFormat="false" ht="14.25" hidden="false" customHeight="false" outlineLevel="0" collapsed="false">
      <c r="A751" s="1" t="n">
        <v>1754</v>
      </c>
      <c r="B751" s="30" t="n">
        <v>43198</v>
      </c>
      <c r="C751" s="29" t="s">
        <v>37</v>
      </c>
      <c r="D751" s="62" t="n">
        <v>3</v>
      </c>
      <c r="E751" s="62" t="n">
        <v>33.08</v>
      </c>
      <c r="F751" s="62" t="s">
        <v>6</v>
      </c>
      <c r="G751" s="29" t="s">
        <v>22</v>
      </c>
      <c r="H751" s="29" t="s">
        <v>23</v>
      </c>
    </row>
    <row r="752" customFormat="false" ht="14.25" hidden="false" customHeight="false" outlineLevel="0" collapsed="false">
      <c r="A752" s="1" t="n">
        <v>1755</v>
      </c>
      <c r="B752" s="30" t="n">
        <v>43261</v>
      </c>
      <c r="C752" s="29" t="s">
        <v>37</v>
      </c>
      <c r="D752" s="62" t="n">
        <v>7</v>
      </c>
      <c r="E752" s="62" t="n">
        <v>46.32</v>
      </c>
      <c r="F752" s="62" t="s">
        <v>3</v>
      </c>
      <c r="G752" s="29" t="s">
        <v>29</v>
      </c>
      <c r="H752" s="29" t="s">
        <v>34</v>
      </c>
    </row>
    <row r="753" customFormat="false" ht="14.25" hidden="false" customHeight="false" outlineLevel="0" collapsed="false">
      <c r="A753" s="1" t="n">
        <v>1756</v>
      </c>
      <c r="B753" s="30" t="n">
        <v>43273</v>
      </c>
      <c r="C753" s="29" t="s">
        <v>31</v>
      </c>
      <c r="D753" s="62" t="n">
        <v>27</v>
      </c>
      <c r="E753" s="62" t="n">
        <v>184.79</v>
      </c>
      <c r="F753" s="62" t="s">
        <v>5</v>
      </c>
      <c r="G753" s="29" t="s">
        <v>29</v>
      </c>
      <c r="H753" s="29" t="s">
        <v>36</v>
      </c>
    </row>
    <row r="754" customFormat="false" ht="14.25" hidden="false" customHeight="false" outlineLevel="0" collapsed="false">
      <c r="A754" s="1" t="n">
        <v>1757</v>
      </c>
      <c r="B754" s="30" t="n">
        <v>43273</v>
      </c>
      <c r="C754" s="29" t="s">
        <v>31</v>
      </c>
      <c r="D754" s="62" t="n">
        <v>22</v>
      </c>
      <c r="E754" s="62" t="n">
        <v>1801.42</v>
      </c>
      <c r="F754" s="62" t="s">
        <v>5</v>
      </c>
      <c r="G754" s="29" t="s">
        <v>24</v>
      </c>
      <c r="H754" s="29" t="s">
        <v>26</v>
      </c>
    </row>
    <row r="755" customFormat="false" ht="14.25" hidden="false" customHeight="false" outlineLevel="0" collapsed="false">
      <c r="A755" s="1" t="n">
        <v>1758</v>
      </c>
      <c r="B755" s="30" t="n">
        <v>43310</v>
      </c>
      <c r="C755" s="29" t="s">
        <v>21</v>
      </c>
      <c r="D755" s="62" t="n">
        <v>48</v>
      </c>
      <c r="E755" s="62" t="n">
        <v>650.87</v>
      </c>
      <c r="F755" s="62" t="s">
        <v>6</v>
      </c>
      <c r="G755" s="29" t="s">
        <v>29</v>
      </c>
      <c r="H755" s="29" t="s">
        <v>30</v>
      </c>
    </row>
    <row r="756" customFormat="false" ht="14.25" hidden="false" customHeight="false" outlineLevel="0" collapsed="false">
      <c r="A756" s="1" t="n">
        <v>1759</v>
      </c>
      <c r="B756" s="30" t="n">
        <v>43310</v>
      </c>
      <c r="C756" s="29" t="s">
        <v>21</v>
      </c>
      <c r="D756" s="62" t="n">
        <v>39</v>
      </c>
      <c r="E756" s="62" t="n">
        <v>328.94</v>
      </c>
      <c r="F756" s="62" t="s">
        <v>6</v>
      </c>
      <c r="G756" s="29" t="s">
        <v>29</v>
      </c>
      <c r="H756" s="29" t="s">
        <v>36</v>
      </c>
    </row>
    <row r="757" customFormat="false" ht="14.25" hidden="false" customHeight="false" outlineLevel="0" collapsed="false">
      <c r="A757" s="1" t="n">
        <v>1760</v>
      </c>
      <c r="B757" s="30" t="n">
        <v>43285</v>
      </c>
      <c r="C757" s="29" t="s">
        <v>21</v>
      </c>
      <c r="D757" s="62" t="n">
        <v>6</v>
      </c>
      <c r="E757" s="62" t="n">
        <v>18.65</v>
      </c>
      <c r="F757" s="62" t="s">
        <v>5</v>
      </c>
      <c r="G757" s="29" t="s">
        <v>22</v>
      </c>
      <c r="H757" s="29" t="s">
        <v>27</v>
      </c>
    </row>
    <row r="758" customFormat="false" ht="14.25" hidden="false" customHeight="false" outlineLevel="0" collapsed="false">
      <c r="A758" s="1" t="n">
        <v>1761</v>
      </c>
      <c r="B758" s="30" t="n">
        <v>43171</v>
      </c>
      <c r="C758" s="29" t="s">
        <v>39</v>
      </c>
      <c r="D758" s="62" t="n">
        <v>42</v>
      </c>
      <c r="E758" s="62" t="n">
        <v>7125.92</v>
      </c>
      <c r="F758" s="62" t="s">
        <v>5</v>
      </c>
      <c r="G758" s="29" t="s">
        <v>24</v>
      </c>
      <c r="H758" s="29" t="s">
        <v>25</v>
      </c>
    </row>
    <row r="759" customFormat="false" ht="14.25" hidden="false" customHeight="false" outlineLevel="0" collapsed="false">
      <c r="A759" s="1" t="n">
        <v>1762</v>
      </c>
      <c r="B759" s="30" t="n">
        <v>43171</v>
      </c>
      <c r="C759" s="29" t="s">
        <v>39</v>
      </c>
      <c r="D759" s="62" t="n">
        <v>20</v>
      </c>
      <c r="E759" s="62" t="n">
        <v>1562.65</v>
      </c>
      <c r="F759" s="62" t="s">
        <v>5</v>
      </c>
      <c r="G759" s="29" t="s">
        <v>29</v>
      </c>
      <c r="H759" s="29" t="s">
        <v>41</v>
      </c>
    </row>
    <row r="760" customFormat="false" ht="14.25" hidden="false" customHeight="false" outlineLevel="0" collapsed="false">
      <c r="A760" s="1" t="n">
        <v>1763</v>
      </c>
      <c r="B760" s="30" t="n">
        <v>43207</v>
      </c>
      <c r="C760" s="29" t="s">
        <v>21</v>
      </c>
      <c r="D760" s="62" t="n">
        <v>4</v>
      </c>
      <c r="E760" s="62" t="n">
        <v>30.45</v>
      </c>
      <c r="F760" s="62" t="s">
        <v>4</v>
      </c>
      <c r="G760" s="29" t="s">
        <v>24</v>
      </c>
      <c r="H760" s="29" t="s">
        <v>26</v>
      </c>
    </row>
    <row r="761" customFormat="false" ht="14.25" hidden="false" customHeight="false" outlineLevel="0" collapsed="false">
      <c r="A761" s="1" t="n">
        <v>1764</v>
      </c>
      <c r="B761" s="30" t="n">
        <v>43207</v>
      </c>
      <c r="C761" s="29" t="s">
        <v>21</v>
      </c>
      <c r="D761" s="62" t="n">
        <v>3</v>
      </c>
      <c r="E761" s="62" t="n">
        <v>25.08</v>
      </c>
      <c r="F761" s="62" t="s">
        <v>4</v>
      </c>
      <c r="G761" s="29" t="s">
        <v>29</v>
      </c>
      <c r="H761" s="29" t="s">
        <v>36</v>
      </c>
    </row>
    <row r="762" customFormat="false" ht="14.25" hidden="false" customHeight="false" outlineLevel="0" collapsed="false">
      <c r="A762" s="1" t="n">
        <v>1765</v>
      </c>
      <c r="B762" s="30" t="n">
        <v>43146</v>
      </c>
      <c r="C762" s="29" t="s">
        <v>31</v>
      </c>
      <c r="D762" s="62" t="n">
        <v>12</v>
      </c>
      <c r="E762" s="62" t="n">
        <v>31.79</v>
      </c>
      <c r="F762" s="62" t="s">
        <v>3</v>
      </c>
      <c r="G762" s="29" t="s">
        <v>29</v>
      </c>
      <c r="H762" s="29" t="s">
        <v>32</v>
      </c>
    </row>
    <row r="763" customFormat="false" ht="14.25" hidden="false" customHeight="false" outlineLevel="0" collapsed="false">
      <c r="A763" s="1" t="n">
        <v>1766</v>
      </c>
      <c r="B763" s="30" t="n">
        <v>43146</v>
      </c>
      <c r="C763" s="29" t="s">
        <v>31</v>
      </c>
      <c r="D763" s="62" t="n">
        <v>45</v>
      </c>
      <c r="E763" s="62" t="n">
        <v>1080.49</v>
      </c>
      <c r="F763" s="62" t="s">
        <v>3</v>
      </c>
      <c r="G763" s="29" t="s">
        <v>24</v>
      </c>
      <c r="H763" s="29" t="s">
        <v>26</v>
      </c>
    </row>
    <row r="764" customFormat="false" ht="14.25" hidden="false" customHeight="false" outlineLevel="0" collapsed="false">
      <c r="A764" s="1" t="n">
        <v>1767</v>
      </c>
      <c r="B764" s="30" t="n">
        <v>43319</v>
      </c>
      <c r="C764" s="29" t="s">
        <v>39</v>
      </c>
      <c r="D764" s="62" t="n">
        <v>22</v>
      </c>
      <c r="E764" s="62" t="n">
        <v>2872.93</v>
      </c>
      <c r="F764" s="62" t="s">
        <v>4</v>
      </c>
      <c r="G764" s="29" t="s">
        <v>29</v>
      </c>
      <c r="H764" s="29" t="s">
        <v>34</v>
      </c>
    </row>
    <row r="765" customFormat="false" ht="14.25" hidden="false" customHeight="false" outlineLevel="0" collapsed="false">
      <c r="A765" s="1" t="n">
        <v>1768</v>
      </c>
      <c r="B765" s="30" t="n">
        <v>43319</v>
      </c>
      <c r="C765" s="29" t="s">
        <v>39</v>
      </c>
      <c r="D765" s="62" t="n">
        <v>30</v>
      </c>
      <c r="E765" s="62" t="n">
        <v>473.75</v>
      </c>
      <c r="F765" s="62" t="s">
        <v>4</v>
      </c>
      <c r="G765" s="29" t="s">
        <v>29</v>
      </c>
      <c r="H765" s="29" t="s">
        <v>34</v>
      </c>
    </row>
    <row r="766" customFormat="false" ht="14.25" hidden="false" customHeight="false" outlineLevel="0" collapsed="false">
      <c r="A766" s="1" t="n">
        <v>1769</v>
      </c>
      <c r="B766" s="30" t="n">
        <v>43200</v>
      </c>
      <c r="C766" s="29" t="s">
        <v>31</v>
      </c>
      <c r="D766" s="62" t="n">
        <v>20</v>
      </c>
      <c r="E766" s="62" t="n">
        <v>1153.26</v>
      </c>
      <c r="F766" s="62" t="s">
        <v>6</v>
      </c>
      <c r="G766" s="29" t="s">
        <v>24</v>
      </c>
      <c r="H766" s="29" t="s">
        <v>25</v>
      </c>
    </row>
    <row r="767" customFormat="false" ht="14.25" hidden="false" customHeight="false" outlineLevel="0" collapsed="false">
      <c r="A767" s="1" t="n">
        <v>1770</v>
      </c>
      <c r="B767" s="30" t="n">
        <v>43200</v>
      </c>
      <c r="C767" s="29" t="s">
        <v>31</v>
      </c>
      <c r="D767" s="62" t="n">
        <v>8</v>
      </c>
      <c r="E767" s="62" t="n">
        <v>193.06</v>
      </c>
      <c r="F767" s="62" t="s">
        <v>6</v>
      </c>
      <c r="G767" s="29" t="s">
        <v>22</v>
      </c>
      <c r="H767" s="29" t="s">
        <v>23</v>
      </c>
    </row>
    <row r="768" customFormat="false" ht="14.25" hidden="false" customHeight="false" outlineLevel="0" collapsed="false">
      <c r="A768" s="1" t="n">
        <v>1771</v>
      </c>
      <c r="B768" s="30" t="n">
        <v>43200</v>
      </c>
      <c r="C768" s="29" t="s">
        <v>31</v>
      </c>
      <c r="D768" s="62" t="n">
        <v>19</v>
      </c>
      <c r="E768" s="62" t="n">
        <v>3102.98</v>
      </c>
      <c r="F768" s="62" t="s">
        <v>6</v>
      </c>
      <c r="G768" s="29" t="s">
        <v>24</v>
      </c>
      <c r="H768" s="29" t="s">
        <v>26</v>
      </c>
    </row>
    <row r="769" customFormat="false" ht="14.25" hidden="false" customHeight="false" outlineLevel="0" collapsed="false">
      <c r="A769" s="1" t="n">
        <v>1772</v>
      </c>
      <c r="B769" s="30" t="n">
        <v>43200</v>
      </c>
      <c r="C769" s="29" t="s">
        <v>31</v>
      </c>
      <c r="D769" s="62" t="n">
        <v>36</v>
      </c>
      <c r="E769" s="62" t="n">
        <v>249.72</v>
      </c>
      <c r="F769" s="62" t="s">
        <v>6</v>
      </c>
      <c r="G769" s="29" t="s">
        <v>29</v>
      </c>
      <c r="H769" s="29" t="s">
        <v>36</v>
      </c>
    </row>
    <row r="770" customFormat="false" ht="14.25" hidden="false" customHeight="false" outlineLevel="0" collapsed="false">
      <c r="A770" s="1" t="n">
        <v>1773</v>
      </c>
      <c r="B770" s="30" t="n">
        <v>43108</v>
      </c>
      <c r="C770" s="29" t="s">
        <v>37</v>
      </c>
      <c r="D770" s="62" t="n">
        <v>34</v>
      </c>
      <c r="E770" s="62" t="n">
        <v>12570.33</v>
      </c>
      <c r="F770" s="62" t="s">
        <v>3</v>
      </c>
      <c r="G770" s="29" t="s">
        <v>29</v>
      </c>
      <c r="H770" s="29" t="s">
        <v>41</v>
      </c>
    </row>
    <row r="771" customFormat="false" ht="14.25" hidden="false" customHeight="false" outlineLevel="0" collapsed="false">
      <c r="A771" s="1" t="n">
        <v>1774</v>
      </c>
      <c r="B771" s="30" t="n">
        <v>43250</v>
      </c>
      <c r="C771" s="29" t="s">
        <v>28</v>
      </c>
      <c r="D771" s="62" t="n">
        <v>7</v>
      </c>
      <c r="E771" s="62" t="n">
        <v>1081.94</v>
      </c>
      <c r="F771" s="62" t="s">
        <v>5</v>
      </c>
      <c r="G771" s="29" t="s">
        <v>22</v>
      </c>
      <c r="H771" s="29" t="s">
        <v>23</v>
      </c>
    </row>
    <row r="772" customFormat="false" ht="14.25" hidden="false" customHeight="false" outlineLevel="0" collapsed="false">
      <c r="A772" s="1" t="n">
        <v>1775</v>
      </c>
      <c r="B772" s="30" t="n">
        <v>43320</v>
      </c>
      <c r="C772" s="29" t="s">
        <v>39</v>
      </c>
      <c r="D772" s="62" t="n">
        <v>17</v>
      </c>
      <c r="E772" s="62" t="n">
        <v>620.29</v>
      </c>
      <c r="F772" s="62" t="s">
        <v>5</v>
      </c>
      <c r="G772" s="29" t="s">
        <v>22</v>
      </c>
      <c r="H772" s="29" t="s">
        <v>27</v>
      </c>
    </row>
    <row r="773" customFormat="false" ht="14.25" hidden="false" customHeight="false" outlineLevel="0" collapsed="false">
      <c r="A773" s="1" t="n">
        <v>1776</v>
      </c>
      <c r="B773" s="30" t="n">
        <v>43320</v>
      </c>
      <c r="C773" s="29" t="s">
        <v>39</v>
      </c>
      <c r="D773" s="62" t="n">
        <v>4</v>
      </c>
      <c r="E773" s="62" t="n">
        <v>27.63</v>
      </c>
      <c r="F773" s="62" t="s">
        <v>5</v>
      </c>
      <c r="G773" s="29" t="s">
        <v>29</v>
      </c>
      <c r="H773" s="29" t="s">
        <v>36</v>
      </c>
    </row>
    <row r="774" customFormat="false" ht="14.25" hidden="false" customHeight="false" outlineLevel="0" collapsed="false">
      <c r="A774" s="1" t="n">
        <v>1777</v>
      </c>
      <c r="B774" s="30" t="n">
        <v>43224</v>
      </c>
      <c r="C774" s="29" t="s">
        <v>28</v>
      </c>
      <c r="D774" s="62" t="n">
        <v>6</v>
      </c>
      <c r="E774" s="62" t="n">
        <v>264.65</v>
      </c>
      <c r="F774" s="62" t="s">
        <v>3</v>
      </c>
      <c r="G774" s="29" t="s">
        <v>29</v>
      </c>
      <c r="H774" s="29" t="s">
        <v>34</v>
      </c>
    </row>
    <row r="775" customFormat="false" ht="14.25" hidden="false" customHeight="false" outlineLevel="0" collapsed="false">
      <c r="A775" s="1" t="n">
        <v>1778</v>
      </c>
      <c r="B775" s="30" t="n">
        <v>43403</v>
      </c>
      <c r="C775" s="29" t="s">
        <v>31</v>
      </c>
      <c r="D775" s="62" t="n">
        <v>30</v>
      </c>
      <c r="E775" s="62" t="n">
        <v>214.26</v>
      </c>
      <c r="F775" s="62" t="s">
        <v>5</v>
      </c>
      <c r="G775" s="29" t="s">
        <v>29</v>
      </c>
      <c r="H775" s="29" t="s">
        <v>36</v>
      </c>
    </row>
    <row r="776" customFormat="false" ht="14.25" hidden="false" customHeight="false" outlineLevel="0" collapsed="false">
      <c r="A776" s="1" t="n">
        <v>1779</v>
      </c>
      <c r="B776" s="30" t="n">
        <v>43294</v>
      </c>
      <c r="C776" s="29" t="s">
        <v>28</v>
      </c>
      <c r="D776" s="62" t="n">
        <v>7</v>
      </c>
      <c r="E776" s="62" t="n">
        <v>411.09</v>
      </c>
      <c r="F776" s="62" t="s">
        <v>4</v>
      </c>
      <c r="G776" s="29" t="s">
        <v>24</v>
      </c>
      <c r="H776" s="29" t="s">
        <v>25</v>
      </c>
    </row>
    <row r="777" customFormat="false" ht="14.25" hidden="false" customHeight="false" outlineLevel="0" collapsed="false">
      <c r="A777" s="1" t="n">
        <v>1780</v>
      </c>
      <c r="B777" s="30" t="n">
        <v>43197</v>
      </c>
      <c r="C777" s="29" t="s">
        <v>37</v>
      </c>
      <c r="D777" s="62" t="n">
        <v>11</v>
      </c>
      <c r="E777" s="62" t="n">
        <v>1857.08</v>
      </c>
      <c r="F777" s="62" t="s">
        <v>5</v>
      </c>
      <c r="G777" s="29" t="s">
        <v>22</v>
      </c>
      <c r="H777" s="29" t="s">
        <v>40</v>
      </c>
    </row>
    <row r="778" customFormat="false" ht="14.25" hidden="false" customHeight="false" outlineLevel="0" collapsed="false">
      <c r="A778" s="1" t="n">
        <v>1781</v>
      </c>
      <c r="B778" s="30" t="n">
        <v>43197</v>
      </c>
      <c r="C778" s="29" t="s">
        <v>37</v>
      </c>
      <c r="D778" s="62" t="n">
        <v>20</v>
      </c>
      <c r="E778" s="62" t="n">
        <v>148.22</v>
      </c>
      <c r="F778" s="62" t="s">
        <v>5</v>
      </c>
      <c r="G778" s="29" t="s">
        <v>29</v>
      </c>
      <c r="H778" s="29" t="s">
        <v>41</v>
      </c>
    </row>
    <row r="779" customFormat="false" ht="14.25" hidden="false" customHeight="false" outlineLevel="0" collapsed="false">
      <c r="A779" s="1" t="n">
        <v>1782</v>
      </c>
      <c r="B779" s="30" t="n">
        <v>43273</v>
      </c>
      <c r="C779" s="29" t="s">
        <v>31</v>
      </c>
      <c r="D779" s="62" t="n">
        <v>24</v>
      </c>
      <c r="E779" s="62" t="n">
        <v>402.89</v>
      </c>
      <c r="F779" s="62" t="s">
        <v>4</v>
      </c>
      <c r="G779" s="29" t="s">
        <v>29</v>
      </c>
      <c r="H779" s="29" t="s">
        <v>30</v>
      </c>
    </row>
    <row r="780" customFormat="false" ht="14.25" hidden="false" customHeight="false" outlineLevel="0" collapsed="false">
      <c r="A780" s="1" t="n">
        <v>1783</v>
      </c>
      <c r="B780" s="30" t="n">
        <v>43162</v>
      </c>
      <c r="C780" s="29" t="s">
        <v>31</v>
      </c>
      <c r="D780" s="62" t="n">
        <v>19</v>
      </c>
      <c r="E780" s="62" t="n">
        <v>136.4</v>
      </c>
      <c r="F780" s="62" t="s">
        <v>4</v>
      </c>
      <c r="G780" s="29" t="s">
        <v>29</v>
      </c>
      <c r="H780" s="29" t="s">
        <v>36</v>
      </c>
    </row>
    <row r="781" customFormat="false" ht="14.25" hidden="false" customHeight="false" outlineLevel="0" collapsed="false">
      <c r="A781" s="1" t="n">
        <v>1784</v>
      </c>
      <c r="B781" s="30" t="n">
        <v>43101</v>
      </c>
      <c r="C781" s="29" t="s">
        <v>21</v>
      </c>
      <c r="D781" s="62" t="n">
        <v>50</v>
      </c>
      <c r="E781" s="62" t="n">
        <v>1313.08</v>
      </c>
      <c r="F781" s="62" t="s">
        <v>3</v>
      </c>
      <c r="G781" s="29" t="s">
        <v>22</v>
      </c>
      <c r="H781" s="29" t="s">
        <v>23</v>
      </c>
    </row>
    <row r="782" customFormat="false" ht="14.25" hidden="false" customHeight="false" outlineLevel="0" collapsed="false">
      <c r="A782" s="1" t="n">
        <v>1785</v>
      </c>
      <c r="B782" s="30" t="n">
        <v>43270</v>
      </c>
      <c r="C782" s="29" t="s">
        <v>21</v>
      </c>
      <c r="D782" s="62" t="n">
        <v>38</v>
      </c>
      <c r="E782" s="62" t="n">
        <v>110.28</v>
      </c>
      <c r="F782" s="62" t="s">
        <v>4</v>
      </c>
      <c r="G782" s="29" t="s">
        <v>29</v>
      </c>
      <c r="H782" s="29" t="s">
        <v>30</v>
      </c>
    </row>
    <row r="783" customFormat="false" ht="14.25" hidden="false" customHeight="false" outlineLevel="0" collapsed="false">
      <c r="A783" s="1" t="n">
        <v>1786</v>
      </c>
      <c r="B783" s="30" t="n">
        <v>43270</v>
      </c>
      <c r="C783" s="29" t="s">
        <v>21</v>
      </c>
      <c r="D783" s="62" t="n">
        <v>15</v>
      </c>
      <c r="E783" s="62" t="n">
        <v>958.91</v>
      </c>
      <c r="F783" s="62" t="s">
        <v>4</v>
      </c>
      <c r="G783" s="29" t="s">
        <v>24</v>
      </c>
      <c r="H783" s="29" t="s">
        <v>25</v>
      </c>
    </row>
    <row r="784" customFormat="false" ht="14.25" hidden="false" customHeight="false" outlineLevel="0" collapsed="false">
      <c r="A784" s="1" t="n">
        <v>1787</v>
      </c>
      <c r="B784" s="30" t="n">
        <v>43173</v>
      </c>
      <c r="C784" s="29" t="s">
        <v>21</v>
      </c>
      <c r="D784" s="62" t="n">
        <v>3</v>
      </c>
      <c r="E784" s="62" t="n">
        <v>461.48</v>
      </c>
      <c r="F784" s="62" t="s">
        <v>4</v>
      </c>
      <c r="G784" s="29" t="s">
        <v>22</v>
      </c>
      <c r="H784" s="29" t="s">
        <v>40</v>
      </c>
    </row>
    <row r="785" customFormat="false" ht="14.25" hidden="false" customHeight="false" outlineLevel="0" collapsed="false">
      <c r="A785" s="1" t="n">
        <v>1788</v>
      </c>
      <c r="B785" s="30" t="n">
        <v>43173</v>
      </c>
      <c r="C785" s="29" t="s">
        <v>21</v>
      </c>
      <c r="D785" s="62" t="n">
        <v>36</v>
      </c>
      <c r="E785" s="62" t="n">
        <v>182.35</v>
      </c>
      <c r="F785" s="62" t="s">
        <v>4</v>
      </c>
      <c r="G785" s="29" t="s">
        <v>29</v>
      </c>
      <c r="H785" s="29" t="s">
        <v>34</v>
      </c>
    </row>
    <row r="786" customFormat="false" ht="14.25" hidden="false" customHeight="false" outlineLevel="0" collapsed="false">
      <c r="A786" s="1" t="n">
        <v>1789</v>
      </c>
      <c r="B786" s="30" t="n">
        <v>43173</v>
      </c>
      <c r="C786" s="29" t="s">
        <v>21</v>
      </c>
      <c r="D786" s="62" t="n">
        <v>48</v>
      </c>
      <c r="E786" s="62" t="n">
        <v>314.86</v>
      </c>
      <c r="F786" s="62" t="s">
        <v>4</v>
      </c>
      <c r="G786" s="29" t="s">
        <v>29</v>
      </c>
      <c r="H786" s="29" t="s">
        <v>30</v>
      </c>
    </row>
    <row r="787" customFormat="false" ht="14.25" hidden="false" customHeight="false" outlineLevel="0" collapsed="false">
      <c r="A787" s="1" t="n">
        <v>1790</v>
      </c>
      <c r="B787" s="30" t="n">
        <v>43239</v>
      </c>
      <c r="C787" s="29" t="s">
        <v>28</v>
      </c>
      <c r="D787" s="62" t="n">
        <v>36</v>
      </c>
      <c r="E787" s="62" t="n">
        <v>883.63</v>
      </c>
      <c r="F787" s="62" t="s">
        <v>4</v>
      </c>
      <c r="G787" s="29" t="s">
        <v>29</v>
      </c>
      <c r="H787" s="29" t="s">
        <v>38</v>
      </c>
    </row>
    <row r="788" customFormat="false" ht="14.25" hidden="false" customHeight="false" outlineLevel="0" collapsed="false">
      <c r="A788" s="1" t="n">
        <v>1791</v>
      </c>
      <c r="B788" s="30" t="n">
        <v>43239</v>
      </c>
      <c r="C788" s="29" t="s">
        <v>28</v>
      </c>
      <c r="D788" s="62" t="n">
        <v>6</v>
      </c>
      <c r="E788" s="62" t="n">
        <v>219.61</v>
      </c>
      <c r="F788" s="62" t="s">
        <v>4</v>
      </c>
      <c r="G788" s="29" t="s">
        <v>24</v>
      </c>
      <c r="H788" s="29" t="s">
        <v>26</v>
      </c>
    </row>
    <row r="789" customFormat="false" ht="14.25" hidden="false" customHeight="false" outlineLevel="0" collapsed="false">
      <c r="A789" s="1" t="n">
        <v>1792</v>
      </c>
      <c r="B789" s="30" t="n">
        <v>43131</v>
      </c>
      <c r="C789" s="29" t="s">
        <v>37</v>
      </c>
      <c r="D789" s="62" t="n">
        <v>44</v>
      </c>
      <c r="E789" s="62" t="n">
        <v>3899.72</v>
      </c>
      <c r="F789" s="62" t="s">
        <v>5</v>
      </c>
      <c r="G789" s="29" t="s">
        <v>24</v>
      </c>
      <c r="H789" s="29" t="s">
        <v>25</v>
      </c>
    </row>
    <row r="790" customFormat="false" ht="14.25" hidden="false" customHeight="false" outlineLevel="0" collapsed="false">
      <c r="A790" s="1" t="n">
        <v>1793</v>
      </c>
      <c r="B790" s="30" t="n">
        <v>43371</v>
      </c>
      <c r="C790" s="29" t="s">
        <v>31</v>
      </c>
      <c r="D790" s="62" t="n">
        <v>37</v>
      </c>
      <c r="E790" s="62" t="n">
        <v>1708.64</v>
      </c>
      <c r="F790" s="62" t="s">
        <v>4</v>
      </c>
      <c r="G790" s="29" t="s">
        <v>29</v>
      </c>
      <c r="H790" s="29" t="s">
        <v>41</v>
      </c>
    </row>
    <row r="791" customFormat="false" ht="14.25" hidden="false" customHeight="false" outlineLevel="0" collapsed="false">
      <c r="A791" s="1" t="n">
        <v>1794</v>
      </c>
      <c r="B791" s="30" t="n">
        <v>43371</v>
      </c>
      <c r="C791" s="29" t="s">
        <v>31</v>
      </c>
      <c r="D791" s="62" t="n">
        <v>12</v>
      </c>
      <c r="E791" s="62" t="n">
        <v>83.85</v>
      </c>
      <c r="F791" s="62" t="s">
        <v>4</v>
      </c>
      <c r="G791" s="29" t="s">
        <v>29</v>
      </c>
      <c r="H791" s="29" t="s">
        <v>30</v>
      </c>
    </row>
    <row r="792" customFormat="false" ht="14.25" hidden="false" customHeight="false" outlineLevel="0" collapsed="false">
      <c r="A792" s="1" t="n">
        <v>1795</v>
      </c>
      <c r="B792" s="30" t="n">
        <v>43184</v>
      </c>
      <c r="C792" s="29" t="s">
        <v>37</v>
      </c>
      <c r="D792" s="62" t="n">
        <v>20</v>
      </c>
      <c r="E792" s="62" t="n">
        <v>2630.32</v>
      </c>
      <c r="F792" s="62" t="s">
        <v>3</v>
      </c>
      <c r="G792" s="29" t="s">
        <v>24</v>
      </c>
      <c r="H792" s="29" t="s">
        <v>25</v>
      </c>
    </row>
    <row r="793" customFormat="false" ht="14.25" hidden="false" customHeight="false" outlineLevel="0" collapsed="false">
      <c r="A793" s="1" t="n">
        <v>1796</v>
      </c>
      <c r="B793" s="30" t="n">
        <v>43184</v>
      </c>
      <c r="C793" s="29" t="s">
        <v>37</v>
      </c>
      <c r="D793" s="62" t="n">
        <v>44</v>
      </c>
      <c r="E793" s="62" t="n">
        <v>219.47</v>
      </c>
      <c r="F793" s="62" t="s">
        <v>3</v>
      </c>
      <c r="G793" s="29" t="s">
        <v>29</v>
      </c>
      <c r="H793" s="29" t="s">
        <v>35</v>
      </c>
    </row>
    <row r="794" customFormat="false" ht="14.25" hidden="false" customHeight="false" outlineLevel="0" collapsed="false">
      <c r="A794" s="1" t="n">
        <v>1797</v>
      </c>
      <c r="B794" s="30" t="n">
        <v>43184</v>
      </c>
      <c r="C794" s="29" t="s">
        <v>37</v>
      </c>
      <c r="D794" s="62" t="n">
        <v>21</v>
      </c>
      <c r="E794" s="62" t="n">
        <v>4259.92</v>
      </c>
      <c r="F794" s="62" t="s">
        <v>3</v>
      </c>
      <c r="G794" s="29" t="s">
        <v>29</v>
      </c>
      <c r="H794" s="29" t="s">
        <v>38</v>
      </c>
    </row>
    <row r="795" customFormat="false" ht="14.25" hidden="false" customHeight="false" outlineLevel="0" collapsed="false">
      <c r="A795" s="1" t="n">
        <v>1798</v>
      </c>
      <c r="B795" s="30" t="n">
        <v>43321</v>
      </c>
      <c r="C795" s="29" t="s">
        <v>31</v>
      </c>
      <c r="D795" s="62" t="n">
        <v>23</v>
      </c>
      <c r="E795" s="62" t="n">
        <v>1073.54</v>
      </c>
      <c r="F795" s="62" t="s">
        <v>6</v>
      </c>
      <c r="G795" s="29" t="s">
        <v>22</v>
      </c>
      <c r="H795" s="29" t="s">
        <v>23</v>
      </c>
    </row>
    <row r="796" customFormat="false" ht="14.25" hidden="false" customHeight="false" outlineLevel="0" collapsed="false">
      <c r="A796" s="1" t="n">
        <v>1799</v>
      </c>
      <c r="B796" s="30" t="n">
        <v>43321</v>
      </c>
      <c r="C796" s="29" t="s">
        <v>31</v>
      </c>
      <c r="D796" s="62" t="n">
        <v>17</v>
      </c>
      <c r="E796" s="62" t="n">
        <v>6471.55</v>
      </c>
      <c r="F796" s="62" t="s">
        <v>6</v>
      </c>
      <c r="G796" s="29" t="s">
        <v>22</v>
      </c>
      <c r="H796" s="29" t="s">
        <v>27</v>
      </c>
    </row>
    <row r="797" customFormat="false" ht="14.25" hidden="false" customHeight="false" outlineLevel="0" collapsed="false">
      <c r="A797" s="1" t="n">
        <v>1800</v>
      </c>
      <c r="B797" s="30" t="n">
        <v>43125</v>
      </c>
      <c r="C797" s="29" t="s">
        <v>31</v>
      </c>
      <c r="D797" s="62" t="n">
        <v>15</v>
      </c>
      <c r="E797" s="62" t="n">
        <v>9268.7</v>
      </c>
      <c r="F797" s="62" t="s">
        <v>4</v>
      </c>
      <c r="G797" s="29" t="s">
        <v>24</v>
      </c>
      <c r="H797" s="29" t="s">
        <v>43</v>
      </c>
    </row>
    <row r="798" customFormat="false" ht="14.25" hidden="false" customHeight="false" outlineLevel="0" collapsed="false">
      <c r="A798" s="1" t="n">
        <v>1801</v>
      </c>
      <c r="B798" s="30" t="n">
        <v>43462</v>
      </c>
      <c r="C798" s="29" t="s">
        <v>31</v>
      </c>
      <c r="D798" s="62" t="n">
        <v>20</v>
      </c>
      <c r="E798" s="62" t="n">
        <v>3709.99</v>
      </c>
      <c r="F798" s="62" t="s">
        <v>4</v>
      </c>
      <c r="G798" s="29" t="s">
        <v>22</v>
      </c>
      <c r="H798" s="29" t="s">
        <v>27</v>
      </c>
    </row>
    <row r="799" customFormat="false" ht="14.25" hidden="false" customHeight="false" outlineLevel="0" collapsed="false">
      <c r="A799" s="1" t="n">
        <v>1802</v>
      </c>
      <c r="B799" s="30" t="n">
        <v>43211</v>
      </c>
      <c r="C799" s="29" t="s">
        <v>37</v>
      </c>
      <c r="D799" s="62" t="n">
        <v>14</v>
      </c>
      <c r="E799" s="62" t="n">
        <v>28.95</v>
      </c>
      <c r="F799" s="62" t="s">
        <v>3</v>
      </c>
      <c r="G799" s="29" t="s">
        <v>29</v>
      </c>
      <c r="H799" s="29" t="s">
        <v>30</v>
      </c>
    </row>
    <row r="800" customFormat="false" ht="14.25" hidden="false" customHeight="false" outlineLevel="0" collapsed="false">
      <c r="A800" s="1" t="n">
        <v>1803</v>
      </c>
      <c r="B800" s="30" t="n">
        <v>43211</v>
      </c>
      <c r="C800" s="29" t="s">
        <v>37</v>
      </c>
      <c r="D800" s="62" t="n">
        <v>3</v>
      </c>
      <c r="E800" s="62" t="n">
        <v>30.08</v>
      </c>
      <c r="F800" s="62" t="s">
        <v>3</v>
      </c>
      <c r="G800" s="29" t="s">
        <v>24</v>
      </c>
      <c r="H800" s="29" t="s">
        <v>26</v>
      </c>
    </row>
    <row r="801" customFormat="false" ht="14.25" hidden="false" customHeight="false" outlineLevel="0" collapsed="false">
      <c r="A801" s="1" t="n">
        <v>1804</v>
      </c>
      <c r="B801" s="30" t="n">
        <v>43261</v>
      </c>
      <c r="C801" s="29" t="s">
        <v>31</v>
      </c>
      <c r="D801" s="62" t="n">
        <v>22</v>
      </c>
      <c r="E801" s="62" t="n">
        <v>136.49</v>
      </c>
      <c r="F801" s="62" t="s">
        <v>3</v>
      </c>
      <c r="G801" s="29" t="s">
        <v>29</v>
      </c>
      <c r="H801" s="29" t="s">
        <v>34</v>
      </c>
    </row>
    <row r="802" customFormat="false" ht="14.25" hidden="false" customHeight="false" outlineLevel="0" collapsed="false">
      <c r="A802" s="1" t="n">
        <v>1805</v>
      </c>
      <c r="B802" s="30" t="n">
        <v>43172</v>
      </c>
      <c r="C802" s="29" t="s">
        <v>21</v>
      </c>
      <c r="D802" s="62" t="n">
        <v>32</v>
      </c>
      <c r="E802" s="62" t="n">
        <v>288.15</v>
      </c>
      <c r="F802" s="62" t="s">
        <v>4</v>
      </c>
      <c r="G802" s="29" t="s">
        <v>22</v>
      </c>
      <c r="H802" s="29" t="s">
        <v>23</v>
      </c>
    </row>
    <row r="803" customFormat="false" ht="14.25" hidden="false" customHeight="false" outlineLevel="0" collapsed="false">
      <c r="A803" s="1" t="n">
        <v>1806</v>
      </c>
      <c r="B803" s="30" t="n">
        <v>43320</v>
      </c>
      <c r="C803" s="29" t="s">
        <v>31</v>
      </c>
      <c r="D803" s="62" t="n">
        <v>17</v>
      </c>
      <c r="E803" s="62" t="n">
        <v>45.25</v>
      </c>
      <c r="F803" s="62" t="s">
        <v>4</v>
      </c>
      <c r="G803" s="29" t="s">
        <v>29</v>
      </c>
      <c r="H803" s="29" t="s">
        <v>34</v>
      </c>
    </row>
    <row r="804" customFormat="false" ht="14.25" hidden="false" customHeight="false" outlineLevel="0" collapsed="false">
      <c r="A804" s="1" t="n">
        <v>1807</v>
      </c>
      <c r="B804" s="30" t="n">
        <v>43128</v>
      </c>
      <c r="C804" s="29" t="s">
        <v>37</v>
      </c>
      <c r="D804" s="62" t="n">
        <v>12</v>
      </c>
      <c r="E804" s="62" t="n">
        <v>1476.58</v>
      </c>
      <c r="F804" s="62" t="s">
        <v>5</v>
      </c>
      <c r="G804" s="29" t="s">
        <v>22</v>
      </c>
      <c r="H804" s="29" t="s">
        <v>40</v>
      </c>
    </row>
    <row r="805" customFormat="false" ht="14.25" hidden="false" customHeight="false" outlineLevel="0" collapsed="false">
      <c r="A805" s="1" t="n">
        <v>1808</v>
      </c>
      <c r="B805" s="30" t="n">
        <v>43204</v>
      </c>
      <c r="C805" s="29" t="s">
        <v>28</v>
      </c>
      <c r="D805" s="62" t="n">
        <v>46</v>
      </c>
      <c r="E805" s="62" t="n">
        <v>708.89</v>
      </c>
      <c r="F805" s="62" t="s">
        <v>6</v>
      </c>
      <c r="G805" s="29" t="s">
        <v>29</v>
      </c>
      <c r="H805" s="29" t="s">
        <v>45</v>
      </c>
    </row>
    <row r="806" customFormat="false" ht="14.25" hidden="false" customHeight="false" outlineLevel="0" collapsed="false">
      <c r="A806" s="1" t="n">
        <v>1809</v>
      </c>
      <c r="B806" s="30" t="n">
        <v>43204</v>
      </c>
      <c r="C806" s="29" t="s">
        <v>28</v>
      </c>
      <c r="D806" s="62" t="n">
        <v>21</v>
      </c>
      <c r="E806" s="62" t="n">
        <v>65.46</v>
      </c>
      <c r="F806" s="62" t="s">
        <v>6</v>
      </c>
      <c r="G806" s="29" t="s">
        <v>29</v>
      </c>
      <c r="H806" s="29" t="s">
        <v>30</v>
      </c>
    </row>
    <row r="807" customFormat="false" ht="14.25" hidden="false" customHeight="false" outlineLevel="0" collapsed="false">
      <c r="A807" s="1" t="n">
        <v>1810</v>
      </c>
      <c r="B807" s="30" t="n">
        <v>43226</v>
      </c>
      <c r="C807" s="29" t="s">
        <v>28</v>
      </c>
      <c r="D807" s="62" t="n">
        <v>7</v>
      </c>
      <c r="E807" s="62" t="n">
        <v>36.37</v>
      </c>
      <c r="F807" s="62" t="s">
        <v>4</v>
      </c>
      <c r="G807" s="29" t="s">
        <v>24</v>
      </c>
      <c r="H807" s="29" t="s">
        <v>26</v>
      </c>
    </row>
    <row r="808" customFormat="false" ht="14.25" hidden="false" customHeight="false" outlineLevel="0" collapsed="false">
      <c r="A808" s="1" t="n">
        <v>1811</v>
      </c>
      <c r="B808" s="30" t="n">
        <v>43357</v>
      </c>
      <c r="C808" s="29" t="s">
        <v>31</v>
      </c>
      <c r="D808" s="62" t="n">
        <v>34</v>
      </c>
      <c r="E808" s="62" t="n">
        <v>278.75</v>
      </c>
      <c r="F808" s="62" t="s">
        <v>3</v>
      </c>
      <c r="G808" s="29" t="s">
        <v>29</v>
      </c>
      <c r="H808" s="29" t="s">
        <v>34</v>
      </c>
    </row>
    <row r="809" customFormat="false" ht="14.25" hidden="false" customHeight="false" outlineLevel="0" collapsed="false">
      <c r="A809" s="1" t="n">
        <v>1812</v>
      </c>
      <c r="B809" s="30" t="n">
        <v>43357</v>
      </c>
      <c r="C809" s="29" t="s">
        <v>31</v>
      </c>
      <c r="D809" s="62" t="n">
        <v>15</v>
      </c>
      <c r="E809" s="62" t="n">
        <v>498.92</v>
      </c>
      <c r="F809" s="62" t="s">
        <v>3</v>
      </c>
      <c r="G809" s="29" t="s">
        <v>24</v>
      </c>
      <c r="H809" s="29" t="s">
        <v>26</v>
      </c>
    </row>
    <row r="810" customFormat="false" ht="14.25" hidden="false" customHeight="false" outlineLevel="0" collapsed="false">
      <c r="A810" s="1" t="n">
        <v>1813</v>
      </c>
      <c r="B810" s="30" t="n">
        <v>43246</v>
      </c>
      <c r="C810" s="29" t="s">
        <v>28</v>
      </c>
      <c r="D810" s="62" t="n">
        <v>20</v>
      </c>
      <c r="E810" s="62" t="n">
        <v>226.22</v>
      </c>
      <c r="F810" s="62" t="s">
        <v>5</v>
      </c>
      <c r="G810" s="29" t="s">
        <v>29</v>
      </c>
      <c r="H810" s="29" t="s">
        <v>38</v>
      </c>
    </row>
    <row r="811" customFormat="false" ht="14.25" hidden="false" customHeight="false" outlineLevel="0" collapsed="false">
      <c r="A811" s="1" t="n">
        <v>1814</v>
      </c>
      <c r="B811" s="30" t="n">
        <v>43181</v>
      </c>
      <c r="C811" s="29" t="s">
        <v>37</v>
      </c>
      <c r="D811" s="62" t="n">
        <v>6</v>
      </c>
      <c r="E811" s="62" t="n">
        <v>153.84</v>
      </c>
      <c r="F811" s="62" t="s">
        <v>4</v>
      </c>
      <c r="G811" s="29" t="s">
        <v>22</v>
      </c>
      <c r="H811" s="29" t="s">
        <v>23</v>
      </c>
    </row>
    <row r="812" customFormat="false" ht="14.25" hidden="false" customHeight="false" outlineLevel="0" collapsed="false">
      <c r="A812" s="1" t="n">
        <v>1815</v>
      </c>
      <c r="B812" s="30" t="n">
        <v>43331</v>
      </c>
      <c r="C812" s="29" t="s">
        <v>28</v>
      </c>
      <c r="D812" s="62" t="n">
        <v>37</v>
      </c>
      <c r="E812" s="62" t="n">
        <v>270.7</v>
      </c>
      <c r="F812" s="62" t="s">
        <v>5</v>
      </c>
      <c r="G812" s="29" t="s">
        <v>29</v>
      </c>
      <c r="H812" s="29" t="s">
        <v>30</v>
      </c>
    </row>
    <row r="813" customFormat="false" ht="14.25" hidden="false" customHeight="false" outlineLevel="0" collapsed="false">
      <c r="A813" s="1" t="n">
        <v>1816</v>
      </c>
      <c r="B813" s="30" t="n">
        <v>43410</v>
      </c>
      <c r="C813" s="29" t="s">
        <v>39</v>
      </c>
      <c r="D813" s="62" t="n">
        <v>9</v>
      </c>
      <c r="E813" s="62" t="n">
        <v>160.11</v>
      </c>
      <c r="F813" s="62" t="s">
        <v>5</v>
      </c>
      <c r="G813" s="29" t="s">
        <v>29</v>
      </c>
      <c r="H813" s="29" t="s">
        <v>34</v>
      </c>
    </row>
    <row r="814" customFormat="false" ht="14.25" hidden="false" customHeight="false" outlineLevel="0" collapsed="false">
      <c r="A814" s="1" t="n">
        <v>1817</v>
      </c>
      <c r="B814" s="30" t="n">
        <v>43126</v>
      </c>
      <c r="C814" s="29" t="s">
        <v>21</v>
      </c>
      <c r="D814" s="62" t="n">
        <v>37</v>
      </c>
      <c r="E814" s="62" t="n">
        <v>1537.53</v>
      </c>
      <c r="F814" s="62" t="s">
        <v>6</v>
      </c>
      <c r="G814" s="29" t="s">
        <v>29</v>
      </c>
      <c r="H814" s="29" t="s">
        <v>36</v>
      </c>
    </row>
    <row r="815" customFormat="false" ht="14.25" hidden="false" customHeight="false" outlineLevel="0" collapsed="false">
      <c r="A815" s="1" t="n">
        <v>1818</v>
      </c>
      <c r="B815" s="30" t="n">
        <v>43126</v>
      </c>
      <c r="C815" s="29" t="s">
        <v>21</v>
      </c>
      <c r="D815" s="62" t="n">
        <v>18</v>
      </c>
      <c r="E815" s="62" t="n">
        <v>134.61</v>
      </c>
      <c r="F815" s="62" t="s">
        <v>6</v>
      </c>
      <c r="G815" s="29" t="s">
        <v>29</v>
      </c>
      <c r="H815" s="29" t="s">
        <v>36</v>
      </c>
    </row>
    <row r="816" customFormat="false" ht="14.25" hidden="false" customHeight="false" outlineLevel="0" collapsed="false">
      <c r="A816" s="1" t="n">
        <v>1819</v>
      </c>
      <c r="B816" s="30" t="n">
        <v>43126</v>
      </c>
      <c r="C816" s="29" t="s">
        <v>21</v>
      </c>
      <c r="D816" s="62" t="n">
        <v>35</v>
      </c>
      <c r="E816" s="62" t="n">
        <v>6203.52</v>
      </c>
      <c r="F816" s="62" t="s">
        <v>6</v>
      </c>
      <c r="G816" s="29" t="s">
        <v>24</v>
      </c>
      <c r="H816" s="29" t="s">
        <v>25</v>
      </c>
    </row>
    <row r="817" customFormat="false" ht="14.25" hidden="false" customHeight="false" outlineLevel="0" collapsed="false">
      <c r="A817" s="1" t="n">
        <v>1820</v>
      </c>
      <c r="B817" s="30" t="n">
        <v>43126</v>
      </c>
      <c r="C817" s="29" t="s">
        <v>21</v>
      </c>
      <c r="D817" s="62" t="n">
        <v>48</v>
      </c>
      <c r="E817" s="62" t="n">
        <v>1883.57</v>
      </c>
      <c r="F817" s="62" t="s">
        <v>6</v>
      </c>
      <c r="G817" s="29" t="s">
        <v>24</v>
      </c>
      <c r="H817" s="29" t="s">
        <v>26</v>
      </c>
    </row>
    <row r="818" customFormat="false" ht="14.25" hidden="false" customHeight="false" outlineLevel="0" collapsed="false">
      <c r="A818" s="1" t="n">
        <v>1821</v>
      </c>
      <c r="B818" s="30" t="n">
        <v>43187</v>
      </c>
      <c r="C818" s="29" t="s">
        <v>39</v>
      </c>
      <c r="D818" s="62" t="n">
        <v>6</v>
      </c>
      <c r="E818" s="62" t="n">
        <v>2705.48</v>
      </c>
      <c r="F818" s="62" t="s">
        <v>4</v>
      </c>
      <c r="G818" s="29" t="s">
        <v>29</v>
      </c>
      <c r="H818" s="29" t="s">
        <v>34</v>
      </c>
    </row>
    <row r="819" customFormat="false" ht="14.25" hidden="false" customHeight="false" outlineLevel="0" collapsed="false">
      <c r="A819" s="1" t="n">
        <v>1822</v>
      </c>
      <c r="B819" s="30" t="n">
        <v>43187</v>
      </c>
      <c r="C819" s="29" t="s">
        <v>39</v>
      </c>
      <c r="D819" s="62" t="n">
        <v>42</v>
      </c>
      <c r="E819" s="62" t="n">
        <v>1226.34</v>
      </c>
      <c r="F819" s="62" t="s">
        <v>4</v>
      </c>
      <c r="G819" s="29" t="s">
        <v>22</v>
      </c>
      <c r="H819" s="29" t="s">
        <v>23</v>
      </c>
    </row>
    <row r="820" customFormat="false" ht="14.25" hidden="false" customHeight="false" outlineLevel="0" collapsed="false">
      <c r="A820" s="1" t="n">
        <v>1823</v>
      </c>
      <c r="B820" s="30" t="n">
        <v>43450</v>
      </c>
      <c r="C820" s="29" t="s">
        <v>37</v>
      </c>
      <c r="D820" s="62" t="n">
        <v>34</v>
      </c>
      <c r="E820" s="62" t="n">
        <v>4442.77</v>
      </c>
      <c r="F820" s="62" t="s">
        <v>4</v>
      </c>
      <c r="G820" s="29" t="s">
        <v>29</v>
      </c>
      <c r="H820" s="29" t="s">
        <v>38</v>
      </c>
    </row>
    <row r="821" customFormat="false" ht="14.25" hidden="false" customHeight="false" outlineLevel="0" collapsed="false">
      <c r="A821" s="1" t="n">
        <v>1824</v>
      </c>
      <c r="B821" s="30" t="n">
        <v>43367</v>
      </c>
      <c r="C821" s="29" t="s">
        <v>31</v>
      </c>
      <c r="D821" s="62" t="n">
        <v>2</v>
      </c>
      <c r="E821" s="62" t="n">
        <v>153.72</v>
      </c>
      <c r="F821" s="62" t="s">
        <v>3</v>
      </c>
      <c r="G821" s="29" t="s">
        <v>24</v>
      </c>
      <c r="H821" s="29" t="s">
        <v>25</v>
      </c>
    </row>
    <row r="822" customFormat="false" ht="14.25" hidden="false" customHeight="false" outlineLevel="0" collapsed="false">
      <c r="A822" s="1" t="n">
        <v>1825</v>
      </c>
      <c r="B822" s="30" t="n">
        <v>43367</v>
      </c>
      <c r="C822" s="29" t="s">
        <v>31</v>
      </c>
      <c r="D822" s="62" t="n">
        <v>36</v>
      </c>
      <c r="E822" s="62" t="n">
        <v>1918.77</v>
      </c>
      <c r="F822" s="62" t="s">
        <v>3</v>
      </c>
      <c r="G822" s="29" t="s">
        <v>29</v>
      </c>
      <c r="H822" s="29" t="s">
        <v>41</v>
      </c>
    </row>
    <row r="823" customFormat="false" ht="14.25" hidden="false" customHeight="false" outlineLevel="0" collapsed="false">
      <c r="A823" s="1" t="n">
        <v>1826</v>
      </c>
      <c r="B823" s="30" t="n">
        <v>43104</v>
      </c>
      <c r="C823" s="29" t="s">
        <v>31</v>
      </c>
      <c r="D823" s="62" t="n">
        <v>14</v>
      </c>
      <c r="E823" s="62" t="n">
        <v>590.73</v>
      </c>
      <c r="F823" s="62" t="s">
        <v>5</v>
      </c>
      <c r="G823" s="29" t="s">
        <v>29</v>
      </c>
      <c r="H823" s="29" t="s">
        <v>36</v>
      </c>
    </row>
    <row r="824" customFormat="false" ht="14.25" hidden="false" customHeight="false" outlineLevel="0" collapsed="false">
      <c r="A824" s="1" t="n">
        <v>1827</v>
      </c>
      <c r="B824" s="30" t="n">
        <v>43104</v>
      </c>
      <c r="C824" s="29" t="s">
        <v>31</v>
      </c>
      <c r="D824" s="62" t="n">
        <v>5</v>
      </c>
      <c r="E824" s="62" t="n">
        <v>510.81</v>
      </c>
      <c r="F824" s="62" t="s">
        <v>5</v>
      </c>
      <c r="G824" s="29" t="s">
        <v>22</v>
      </c>
      <c r="H824" s="29" t="s">
        <v>44</v>
      </c>
    </row>
    <row r="825" customFormat="false" ht="14.25" hidden="false" customHeight="false" outlineLevel="0" collapsed="false">
      <c r="A825" s="1" t="n">
        <v>1828</v>
      </c>
      <c r="B825" s="30" t="n">
        <v>43451</v>
      </c>
      <c r="C825" s="29" t="s">
        <v>37</v>
      </c>
      <c r="D825" s="62" t="n">
        <v>20</v>
      </c>
      <c r="E825" s="62" t="n">
        <v>1007.01</v>
      </c>
      <c r="F825" s="62" t="s">
        <v>5</v>
      </c>
      <c r="G825" s="29" t="s">
        <v>29</v>
      </c>
      <c r="H825" s="29" t="s">
        <v>36</v>
      </c>
    </row>
    <row r="826" customFormat="false" ht="14.25" hidden="false" customHeight="false" outlineLevel="0" collapsed="false">
      <c r="A826" s="1" t="n">
        <v>1829</v>
      </c>
      <c r="B826" s="30" t="n">
        <v>43124</v>
      </c>
      <c r="C826" s="29" t="s">
        <v>39</v>
      </c>
      <c r="D826" s="62" t="n">
        <v>18</v>
      </c>
      <c r="E826" s="62" t="n">
        <v>741.57</v>
      </c>
      <c r="F826" s="62" t="s">
        <v>3</v>
      </c>
      <c r="G826" s="29" t="s">
        <v>29</v>
      </c>
      <c r="H826" s="29" t="s">
        <v>45</v>
      </c>
    </row>
    <row r="827" customFormat="false" ht="14.25" hidden="false" customHeight="false" outlineLevel="0" collapsed="false">
      <c r="A827" s="1" t="n">
        <v>1830</v>
      </c>
      <c r="B827" s="30" t="n">
        <v>43124</v>
      </c>
      <c r="C827" s="29" t="s">
        <v>39</v>
      </c>
      <c r="D827" s="62" t="n">
        <v>41</v>
      </c>
      <c r="E827" s="62" t="n">
        <v>4788.28</v>
      </c>
      <c r="F827" s="62" t="s">
        <v>3</v>
      </c>
      <c r="G827" s="29" t="s">
        <v>24</v>
      </c>
      <c r="H827" s="29" t="s">
        <v>42</v>
      </c>
    </row>
    <row r="828" customFormat="false" ht="14.25" hidden="false" customHeight="false" outlineLevel="0" collapsed="false">
      <c r="A828" s="1" t="n">
        <v>1831</v>
      </c>
      <c r="B828" s="30" t="n">
        <v>43102</v>
      </c>
      <c r="C828" s="29" t="s">
        <v>37</v>
      </c>
      <c r="D828" s="62" t="n">
        <v>20</v>
      </c>
      <c r="E828" s="62" t="n">
        <v>1673.65</v>
      </c>
      <c r="F828" s="62" t="s">
        <v>5</v>
      </c>
      <c r="G828" s="29" t="s">
        <v>24</v>
      </c>
      <c r="H828" s="29" t="s">
        <v>25</v>
      </c>
    </row>
    <row r="829" customFormat="false" ht="14.25" hidden="false" customHeight="false" outlineLevel="0" collapsed="false">
      <c r="A829" s="1" t="n">
        <v>1832</v>
      </c>
      <c r="B829" s="30" t="n">
        <v>43188</v>
      </c>
      <c r="C829" s="29" t="s">
        <v>37</v>
      </c>
      <c r="D829" s="62" t="n">
        <v>42</v>
      </c>
      <c r="E829" s="62" t="n">
        <v>4377.53</v>
      </c>
      <c r="F829" s="62" t="s">
        <v>6</v>
      </c>
      <c r="G829" s="29" t="s">
        <v>24</v>
      </c>
      <c r="H829" s="29" t="s">
        <v>25</v>
      </c>
    </row>
    <row r="830" customFormat="false" ht="14.25" hidden="false" customHeight="false" outlineLevel="0" collapsed="false">
      <c r="A830" s="1" t="n">
        <v>1833</v>
      </c>
      <c r="B830" s="30" t="n">
        <v>43434</v>
      </c>
      <c r="C830" s="29" t="s">
        <v>37</v>
      </c>
      <c r="D830" s="62" t="n">
        <v>33</v>
      </c>
      <c r="E830" s="62" t="n">
        <v>290.12</v>
      </c>
      <c r="F830" s="62" t="s">
        <v>6</v>
      </c>
      <c r="G830" s="29" t="s">
        <v>24</v>
      </c>
      <c r="H830" s="29" t="s">
        <v>26</v>
      </c>
    </row>
    <row r="831" customFormat="false" ht="14.25" hidden="false" customHeight="false" outlineLevel="0" collapsed="false">
      <c r="A831" s="1" t="n">
        <v>1834</v>
      </c>
      <c r="B831" s="30" t="n">
        <v>43434</v>
      </c>
      <c r="C831" s="29" t="s">
        <v>37</v>
      </c>
      <c r="D831" s="62" t="n">
        <v>26</v>
      </c>
      <c r="E831" s="62" t="n">
        <v>1230.82</v>
      </c>
      <c r="F831" s="62" t="s">
        <v>6</v>
      </c>
      <c r="G831" s="29" t="s">
        <v>29</v>
      </c>
      <c r="H831" s="29" t="s">
        <v>36</v>
      </c>
    </row>
    <row r="832" customFormat="false" ht="14.25" hidden="false" customHeight="false" outlineLevel="0" collapsed="false">
      <c r="A832" s="1" t="n">
        <v>1835</v>
      </c>
      <c r="B832" s="30" t="n">
        <v>43240</v>
      </c>
      <c r="C832" s="29" t="s">
        <v>28</v>
      </c>
      <c r="D832" s="62" t="n">
        <v>47</v>
      </c>
      <c r="E832" s="62" t="n">
        <v>216.82</v>
      </c>
      <c r="F832" s="62" t="s">
        <v>4</v>
      </c>
      <c r="G832" s="29" t="s">
        <v>29</v>
      </c>
      <c r="H832" s="29" t="s">
        <v>30</v>
      </c>
    </row>
    <row r="833" customFormat="false" ht="14.25" hidden="false" customHeight="false" outlineLevel="0" collapsed="false">
      <c r="A833" s="1" t="n">
        <v>1836</v>
      </c>
      <c r="B833" s="30" t="n">
        <v>43240</v>
      </c>
      <c r="C833" s="29" t="s">
        <v>28</v>
      </c>
      <c r="D833" s="62" t="n">
        <v>16</v>
      </c>
      <c r="E833" s="62" t="n">
        <v>191.81</v>
      </c>
      <c r="F833" s="62" t="s">
        <v>4</v>
      </c>
      <c r="G833" s="29" t="s">
        <v>29</v>
      </c>
      <c r="H833" s="29" t="s">
        <v>34</v>
      </c>
    </row>
    <row r="834" customFormat="false" ht="14.25" hidden="false" customHeight="false" outlineLevel="0" collapsed="false">
      <c r="A834" s="1" t="n">
        <v>1837</v>
      </c>
      <c r="B834" s="30" t="n">
        <v>43422</v>
      </c>
      <c r="C834" s="29" t="s">
        <v>31</v>
      </c>
      <c r="D834" s="62" t="n">
        <v>1</v>
      </c>
      <c r="E834" s="62" t="n">
        <v>3.42</v>
      </c>
      <c r="F834" s="62" t="s">
        <v>6</v>
      </c>
      <c r="G834" s="29" t="s">
        <v>29</v>
      </c>
      <c r="H834" s="29" t="s">
        <v>34</v>
      </c>
    </row>
    <row r="835" customFormat="false" ht="14.25" hidden="false" customHeight="false" outlineLevel="0" collapsed="false">
      <c r="A835" s="1" t="n">
        <v>1838</v>
      </c>
      <c r="B835" s="30" t="n">
        <v>43422</v>
      </c>
      <c r="C835" s="29" t="s">
        <v>31</v>
      </c>
      <c r="D835" s="62" t="n">
        <v>22</v>
      </c>
      <c r="E835" s="62" t="n">
        <v>471.78</v>
      </c>
      <c r="F835" s="62" t="s">
        <v>6</v>
      </c>
      <c r="G835" s="29" t="s">
        <v>22</v>
      </c>
      <c r="H835" s="29" t="s">
        <v>23</v>
      </c>
    </row>
    <row r="836" customFormat="false" ht="14.25" hidden="false" customHeight="false" outlineLevel="0" collapsed="false">
      <c r="A836" s="1" t="n">
        <v>1839</v>
      </c>
      <c r="B836" s="30" t="n">
        <v>43184</v>
      </c>
      <c r="C836" s="29" t="s">
        <v>31</v>
      </c>
      <c r="D836" s="62" t="n">
        <v>12</v>
      </c>
      <c r="E836" s="62" t="n">
        <v>81.97</v>
      </c>
      <c r="F836" s="62" t="s">
        <v>4</v>
      </c>
      <c r="G836" s="29" t="s">
        <v>22</v>
      </c>
      <c r="H836" s="29" t="s">
        <v>23</v>
      </c>
    </row>
    <row r="837" customFormat="false" ht="14.25" hidden="false" customHeight="false" outlineLevel="0" collapsed="false">
      <c r="A837" s="1" t="n">
        <v>1840</v>
      </c>
      <c r="B837" s="30" t="n">
        <v>43451</v>
      </c>
      <c r="C837" s="29" t="s">
        <v>28</v>
      </c>
      <c r="D837" s="62" t="n">
        <v>48</v>
      </c>
      <c r="E837" s="62" t="n">
        <v>3972.92</v>
      </c>
      <c r="F837" s="62" t="s">
        <v>4</v>
      </c>
      <c r="G837" s="29" t="s">
        <v>24</v>
      </c>
      <c r="H837" s="29" t="s">
        <v>25</v>
      </c>
    </row>
    <row r="838" customFormat="false" ht="14.25" hidden="false" customHeight="false" outlineLevel="0" collapsed="false">
      <c r="A838" s="1" t="n">
        <v>1841</v>
      </c>
      <c r="B838" s="30" t="n">
        <v>43256</v>
      </c>
      <c r="C838" s="29" t="s">
        <v>28</v>
      </c>
      <c r="D838" s="62" t="n">
        <v>18</v>
      </c>
      <c r="E838" s="62" t="n">
        <v>138.85</v>
      </c>
      <c r="F838" s="62" t="s">
        <v>4</v>
      </c>
      <c r="G838" s="29" t="s">
        <v>29</v>
      </c>
      <c r="H838" s="29" t="s">
        <v>36</v>
      </c>
    </row>
    <row r="839" customFormat="false" ht="14.25" hidden="false" customHeight="false" outlineLevel="0" collapsed="false">
      <c r="A839" s="1" t="n">
        <v>1842</v>
      </c>
      <c r="B839" s="30" t="n">
        <v>43217</v>
      </c>
      <c r="C839" s="29" t="s">
        <v>31</v>
      </c>
      <c r="D839" s="62" t="n">
        <v>3</v>
      </c>
      <c r="E839" s="62" t="n">
        <v>225.24</v>
      </c>
      <c r="F839" s="62" t="s">
        <v>4</v>
      </c>
      <c r="G839" s="29" t="s">
        <v>24</v>
      </c>
      <c r="H839" s="29" t="s">
        <v>25</v>
      </c>
    </row>
    <row r="840" customFormat="false" ht="14.25" hidden="false" customHeight="false" outlineLevel="0" collapsed="false">
      <c r="A840" s="1" t="n">
        <v>1843</v>
      </c>
      <c r="B840" s="30" t="n">
        <v>43302</v>
      </c>
      <c r="C840" s="29" t="s">
        <v>39</v>
      </c>
      <c r="D840" s="62" t="n">
        <v>19</v>
      </c>
      <c r="E840" s="62" t="n">
        <v>206.78</v>
      </c>
      <c r="F840" s="62" t="s">
        <v>6</v>
      </c>
      <c r="G840" s="29" t="s">
        <v>29</v>
      </c>
      <c r="H840" s="29" t="s">
        <v>30</v>
      </c>
    </row>
    <row r="841" customFormat="false" ht="14.25" hidden="false" customHeight="false" outlineLevel="0" collapsed="false">
      <c r="A841" s="1" t="n">
        <v>1844</v>
      </c>
      <c r="B841" s="30" t="n">
        <v>43163</v>
      </c>
      <c r="C841" s="29" t="s">
        <v>39</v>
      </c>
      <c r="D841" s="62" t="n">
        <v>23</v>
      </c>
      <c r="E841" s="62" t="n">
        <v>923.02</v>
      </c>
      <c r="F841" s="62" t="s">
        <v>4</v>
      </c>
      <c r="G841" s="29" t="s">
        <v>29</v>
      </c>
      <c r="H841" s="29" t="s">
        <v>45</v>
      </c>
    </row>
    <row r="842" customFormat="false" ht="14.25" hidden="false" customHeight="false" outlineLevel="0" collapsed="false">
      <c r="A842" s="1" t="n">
        <v>1845</v>
      </c>
      <c r="B842" s="30" t="n">
        <v>43312</v>
      </c>
      <c r="C842" s="29" t="s">
        <v>39</v>
      </c>
      <c r="D842" s="62" t="n">
        <v>36</v>
      </c>
      <c r="E842" s="62" t="n">
        <v>5499.89</v>
      </c>
      <c r="F842" s="62" t="s">
        <v>5</v>
      </c>
      <c r="G842" s="29" t="s">
        <v>22</v>
      </c>
      <c r="H842" s="29" t="s">
        <v>27</v>
      </c>
    </row>
    <row r="843" customFormat="false" ht="14.25" hidden="false" customHeight="false" outlineLevel="0" collapsed="false">
      <c r="A843" s="1" t="n">
        <v>1846</v>
      </c>
      <c r="B843" s="30" t="n">
        <v>43115</v>
      </c>
      <c r="C843" s="29" t="s">
        <v>31</v>
      </c>
      <c r="D843" s="62" t="n">
        <v>12</v>
      </c>
      <c r="E843" s="62" t="n">
        <v>48.82</v>
      </c>
      <c r="F843" s="62" t="s">
        <v>6</v>
      </c>
      <c r="G843" s="29" t="s">
        <v>29</v>
      </c>
      <c r="H843" s="29" t="s">
        <v>35</v>
      </c>
    </row>
    <row r="844" customFormat="false" ht="14.25" hidden="false" customHeight="false" outlineLevel="0" collapsed="false">
      <c r="A844" s="1" t="n">
        <v>1847</v>
      </c>
      <c r="B844" s="30" t="n">
        <v>43215</v>
      </c>
      <c r="C844" s="29" t="s">
        <v>39</v>
      </c>
      <c r="D844" s="62" t="n">
        <v>46</v>
      </c>
      <c r="E844" s="62" t="n">
        <v>428.27</v>
      </c>
      <c r="F844" s="62" t="s">
        <v>3</v>
      </c>
      <c r="G844" s="29" t="s">
        <v>24</v>
      </c>
      <c r="H844" s="29" t="s">
        <v>26</v>
      </c>
    </row>
    <row r="845" customFormat="false" ht="14.25" hidden="false" customHeight="false" outlineLevel="0" collapsed="false">
      <c r="A845" s="1" t="n">
        <v>1848</v>
      </c>
      <c r="B845" s="30" t="n">
        <v>43154</v>
      </c>
      <c r="C845" s="29" t="s">
        <v>39</v>
      </c>
      <c r="D845" s="62" t="n">
        <v>38</v>
      </c>
      <c r="E845" s="62" t="n">
        <v>146.06</v>
      </c>
      <c r="F845" s="62" t="s">
        <v>4</v>
      </c>
      <c r="G845" s="29" t="s">
        <v>29</v>
      </c>
      <c r="H845" s="29" t="s">
        <v>30</v>
      </c>
    </row>
    <row r="846" customFormat="false" ht="14.25" hidden="false" customHeight="false" outlineLevel="0" collapsed="false">
      <c r="A846" s="1" t="n">
        <v>1849</v>
      </c>
      <c r="B846" s="30" t="n">
        <v>43211</v>
      </c>
      <c r="C846" s="29" t="s">
        <v>28</v>
      </c>
      <c r="D846" s="62" t="n">
        <v>18</v>
      </c>
      <c r="E846" s="62" t="n">
        <v>364.54</v>
      </c>
      <c r="F846" s="62" t="s">
        <v>4</v>
      </c>
      <c r="G846" s="29" t="s">
        <v>24</v>
      </c>
      <c r="H846" s="29" t="s">
        <v>25</v>
      </c>
    </row>
    <row r="847" customFormat="false" ht="14.25" hidden="false" customHeight="false" outlineLevel="0" collapsed="false">
      <c r="A847" s="1" t="n">
        <v>1850</v>
      </c>
      <c r="B847" s="30" t="n">
        <v>43223</v>
      </c>
      <c r="C847" s="29" t="s">
        <v>28</v>
      </c>
      <c r="D847" s="62" t="n">
        <v>10</v>
      </c>
      <c r="E847" s="62" t="n">
        <v>182.27</v>
      </c>
      <c r="F847" s="62" t="s">
        <v>4</v>
      </c>
      <c r="G847" s="29" t="s">
        <v>29</v>
      </c>
      <c r="H847" s="29" t="s">
        <v>38</v>
      </c>
    </row>
    <row r="848" customFormat="false" ht="14.25" hidden="false" customHeight="false" outlineLevel="0" collapsed="false">
      <c r="A848" s="1" t="n">
        <v>1851</v>
      </c>
      <c r="B848" s="30" t="n">
        <v>43266</v>
      </c>
      <c r="C848" s="29" t="s">
        <v>21</v>
      </c>
      <c r="D848" s="62" t="n">
        <v>44</v>
      </c>
      <c r="E848" s="62" t="n">
        <v>390.81</v>
      </c>
      <c r="F848" s="62" t="s">
        <v>5</v>
      </c>
      <c r="G848" s="29" t="s">
        <v>29</v>
      </c>
      <c r="H848" s="29" t="s">
        <v>45</v>
      </c>
    </row>
    <row r="849" customFormat="false" ht="14.25" hidden="false" customHeight="false" outlineLevel="0" collapsed="false">
      <c r="A849" s="1" t="n">
        <v>1852</v>
      </c>
      <c r="B849" s="30" t="n">
        <v>43398</v>
      </c>
      <c r="C849" s="29" t="s">
        <v>21</v>
      </c>
      <c r="D849" s="62" t="n">
        <v>28</v>
      </c>
      <c r="E849" s="62" t="n">
        <v>81.04</v>
      </c>
      <c r="F849" s="62" t="s">
        <v>6</v>
      </c>
      <c r="G849" s="29" t="s">
        <v>29</v>
      </c>
      <c r="H849" s="29" t="s">
        <v>35</v>
      </c>
    </row>
    <row r="850" customFormat="false" ht="14.25" hidden="false" customHeight="false" outlineLevel="0" collapsed="false">
      <c r="A850" s="1" t="n">
        <v>1853</v>
      </c>
      <c r="B850" s="30" t="n">
        <v>43284</v>
      </c>
      <c r="C850" s="29" t="s">
        <v>39</v>
      </c>
      <c r="D850" s="62" t="n">
        <v>49</v>
      </c>
      <c r="E850" s="62" t="n">
        <v>545.86</v>
      </c>
      <c r="F850" s="62" t="s">
        <v>4</v>
      </c>
      <c r="G850" s="29" t="s">
        <v>22</v>
      </c>
      <c r="H850" s="29" t="s">
        <v>23</v>
      </c>
    </row>
    <row r="851" customFormat="false" ht="14.25" hidden="false" customHeight="false" outlineLevel="0" collapsed="false">
      <c r="A851" s="1" t="n">
        <v>1854</v>
      </c>
      <c r="B851" s="30" t="n">
        <v>43284</v>
      </c>
      <c r="C851" s="29" t="s">
        <v>39</v>
      </c>
      <c r="D851" s="62" t="n">
        <v>18</v>
      </c>
      <c r="E851" s="62" t="n">
        <v>106.32</v>
      </c>
      <c r="F851" s="62" t="s">
        <v>4</v>
      </c>
      <c r="G851" s="29" t="s">
        <v>29</v>
      </c>
      <c r="H851" s="29" t="s">
        <v>34</v>
      </c>
    </row>
    <row r="852" customFormat="false" ht="14.25" hidden="false" customHeight="false" outlineLevel="0" collapsed="false">
      <c r="A852" s="1" t="n">
        <v>1855</v>
      </c>
      <c r="B852" s="30" t="n">
        <v>43284</v>
      </c>
      <c r="C852" s="29" t="s">
        <v>39</v>
      </c>
      <c r="D852" s="62" t="n">
        <v>27</v>
      </c>
      <c r="E852" s="62" t="n">
        <v>786.55</v>
      </c>
      <c r="F852" s="62" t="s">
        <v>4</v>
      </c>
      <c r="G852" s="29" t="s">
        <v>22</v>
      </c>
      <c r="H852" s="29" t="s">
        <v>23</v>
      </c>
    </row>
    <row r="853" customFormat="false" ht="14.25" hidden="false" customHeight="false" outlineLevel="0" collapsed="false">
      <c r="A853" s="1" t="n">
        <v>1856</v>
      </c>
      <c r="B853" s="30" t="n">
        <v>43422</v>
      </c>
      <c r="C853" s="29" t="s">
        <v>21</v>
      </c>
      <c r="D853" s="62" t="n">
        <v>30</v>
      </c>
      <c r="E853" s="62" t="n">
        <v>593.24</v>
      </c>
      <c r="F853" s="62" t="s">
        <v>5</v>
      </c>
      <c r="G853" s="29" t="s">
        <v>24</v>
      </c>
      <c r="H853" s="29" t="s">
        <v>25</v>
      </c>
    </row>
    <row r="854" customFormat="false" ht="14.25" hidden="false" customHeight="false" outlineLevel="0" collapsed="false">
      <c r="A854" s="1" t="n">
        <v>1857</v>
      </c>
      <c r="B854" s="30" t="n">
        <v>43422</v>
      </c>
      <c r="C854" s="29" t="s">
        <v>21</v>
      </c>
      <c r="D854" s="62" t="n">
        <v>14</v>
      </c>
      <c r="E854" s="62" t="n">
        <v>100.92</v>
      </c>
      <c r="F854" s="62" t="s">
        <v>5</v>
      </c>
      <c r="G854" s="29" t="s">
        <v>29</v>
      </c>
      <c r="H854" s="29" t="s">
        <v>36</v>
      </c>
    </row>
    <row r="855" customFormat="false" ht="14.25" hidden="false" customHeight="false" outlineLevel="0" collapsed="false">
      <c r="A855" s="1" t="n">
        <v>1858</v>
      </c>
      <c r="B855" s="30" t="n">
        <v>43423</v>
      </c>
      <c r="C855" s="29" t="s">
        <v>37</v>
      </c>
      <c r="D855" s="62" t="n">
        <v>19</v>
      </c>
      <c r="E855" s="62" t="n">
        <v>327.08</v>
      </c>
      <c r="F855" s="62" t="s">
        <v>6</v>
      </c>
      <c r="G855" s="29" t="s">
        <v>29</v>
      </c>
      <c r="H855" s="29" t="s">
        <v>45</v>
      </c>
    </row>
    <row r="856" customFormat="false" ht="14.25" hidden="false" customHeight="false" outlineLevel="0" collapsed="false">
      <c r="A856" s="1" t="n">
        <v>1859</v>
      </c>
      <c r="B856" s="30" t="n">
        <v>43423</v>
      </c>
      <c r="C856" s="29" t="s">
        <v>37</v>
      </c>
      <c r="D856" s="62" t="n">
        <v>41</v>
      </c>
      <c r="E856" s="62" t="n">
        <v>2034.38</v>
      </c>
      <c r="F856" s="62" t="s">
        <v>6</v>
      </c>
      <c r="G856" s="29" t="s">
        <v>22</v>
      </c>
      <c r="H856" s="29" t="s">
        <v>23</v>
      </c>
    </row>
    <row r="857" customFormat="false" ht="14.25" hidden="false" customHeight="false" outlineLevel="0" collapsed="false">
      <c r="A857" s="1" t="n">
        <v>1860</v>
      </c>
      <c r="B857" s="30" t="n">
        <v>43296</v>
      </c>
      <c r="C857" s="29" t="s">
        <v>39</v>
      </c>
      <c r="D857" s="62" t="n">
        <v>42</v>
      </c>
      <c r="E857" s="62" t="n">
        <v>76.31</v>
      </c>
      <c r="F857" s="62" t="s">
        <v>4</v>
      </c>
      <c r="G857" s="29" t="s">
        <v>29</v>
      </c>
      <c r="H857" s="29" t="s">
        <v>30</v>
      </c>
    </row>
    <row r="858" customFormat="false" ht="14.25" hidden="false" customHeight="false" outlineLevel="0" collapsed="false">
      <c r="A858" s="1" t="n">
        <v>1861</v>
      </c>
      <c r="B858" s="30" t="n">
        <v>43277</v>
      </c>
      <c r="C858" s="29" t="s">
        <v>37</v>
      </c>
      <c r="D858" s="62" t="n">
        <v>17</v>
      </c>
      <c r="E858" s="62" t="n">
        <v>939.26</v>
      </c>
      <c r="F858" s="62" t="s">
        <v>4</v>
      </c>
      <c r="G858" s="29" t="s">
        <v>24</v>
      </c>
      <c r="H858" s="29" t="s">
        <v>26</v>
      </c>
    </row>
    <row r="859" customFormat="false" ht="14.25" hidden="false" customHeight="false" outlineLevel="0" collapsed="false">
      <c r="A859" s="1" t="n">
        <v>1862</v>
      </c>
      <c r="B859" s="30" t="n">
        <v>43177</v>
      </c>
      <c r="C859" s="29" t="s">
        <v>37</v>
      </c>
      <c r="D859" s="62" t="n">
        <v>43</v>
      </c>
      <c r="E859" s="62" t="n">
        <v>7973.79</v>
      </c>
      <c r="F859" s="62" t="s">
        <v>4</v>
      </c>
      <c r="G859" s="29" t="s">
        <v>24</v>
      </c>
      <c r="H859" s="29" t="s">
        <v>25</v>
      </c>
    </row>
    <row r="860" customFormat="false" ht="14.25" hidden="false" customHeight="false" outlineLevel="0" collapsed="false">
      <c r="A860" s="1" t="n">
        <v>1863</v>
      </c>
      <c r="B860" s="30" t="n">
        <v>43319</v>
      </c>
      <c r="C860" s="29" t="s">
        <v>28</v>
      </c>
      <c r="D860" s="62" t="n">
        <v>20</v>
      </c>
      <c r="E860" s="62" t="n">
        <v>706.49</v>
      </c>
      <c r="F860" s="62" t="s">
        <v>5</v>
      </c>
      <c r="G860" s="29" t="s">
        <v>29</v>
      </c>
      <c r="H860" s="29" t="s">
        <v>38</v>
      </c>
    </row>
    <row r="861" customFormat="false" ht="14.25" hidden="false" customHeight="false" outlineLevel="0" collapsed="false">
      <c r="A861" s="1" t="n">
        <v>1864</v>
      </c>
      <c r="B861" s="30" t="n">
        <v>43319</v>
      </c>
      <c r="C861" s="29" t="s">
        <v>28</v>
      </c>
      <c r="D861" s="62" t="n">
        <v>12</v>
      </c>
      <c r="E861" s="62" t="n">
        <v>289.15</v>
      </c>
      <c r="F861" s="62" t="s">
        <v>5</v>
      </c>
      <c r="G861" s="29" t="s">
        <v>29</v>
      </c>
      <c r="H861" s="29" t="s">
        <v>36</v>
      </c>
    </row>
    <row r="862" customFormat="false" ht="14.25" hidden="false" customHeight="false" outlineLevel="0" collapsed="false">
      <c r="A862" s="1" t="n">
        <v>1865</v>
      </c>
      <c r="B862" s="30" t="n">
        <v>43201</v>
      </c>
      <c r="C862" s="29" t="s">
        <v>28</v>
      </c>
      <c r="D862" s="62" t="n">
        <v>40</v>
      </c>
      <c r="E862" s="62" t="n">
        <v>179.18</v>
      </c>
      <c r="F862" s="62" t="s">
        <v>5</v>
      </c>
      <c r="G862" s="29" t="s">
        <v>29</v>
      </c>
      <c r="H862" s="29" t="s">
        <v>34</v>
      </c>
    </row>
    <row r="863" customFormat="false" ht="14.25" hidden="false" customHeight="false" outlineLevel="0" collapsed="false">
      <c r="A863" s="1" t="n">
        <v>1866</v>
      </c>
      <c r="B863" s="30" t="n">
        <v>43431</v>
      </c>
      <c r="C863" s="29" t="s">
        <v>31</v>
      </c>
      <c r="D863" s="62" t="n">
        <v>48</v>
      </c>
      <c r="E863" s="62" t="n">
        <v>272.33</v>
      </c>
      <c r="F863" s="62" t="s">
        <v>4</v>
      </c>
      <c r="G863" s="29" t="s">
        <v>29</v>
      </c>
      <c r="H863" s="29" t="s">
        <v>30</v>
      </c>
    </row>
    <row r="864" customFormat="false" ht="14.25" hidden="false" customHeight="false" outlineLevel="0" collapsed="false">
      <c r="A864" s="1" t="n">
        <v>1867</v>
      </c>
      <c r="B864" s="30" t="n">
        <v>43431</v>
      </c>
      <c r="C864" s="29" t="s">
        <v>31</v>
      </c>
      <c r="D864" s="62" t="n">
        <v>4</v>
      </c>
      <c r="E864" s="62" t="n">
        <v>56.1</v>
      </c>
      <c r="F864" s="62" t="s">
        <v>4</v>
      </c>
      <c r="G864" s="29" t="s">
        <v>22</v>
      </c>
      <c r="H864" s="29" t="s">
        <v>23</v>
      </c>
    </row>
    <row r="865" customFormat="false" ht="14.25" hidden="false" customHeight="false" outlineLevel="0" collapsed="false">
      <c r="A865" s="1" t="n">
        <v>1868</v>
      </c>
      <c r="B865" s="30" t="n">
        <v>43357</v>
      </c>
      <c r="C865" s="29" t="s">
        <v>37</v>
      </c>
      <c r="D865" s="62" t="n">
        <v>23</v>
      </c>
      <c r="E865" s="62" t="n">
        <v>1259.33</v>
      </c>
      <c r="F865" s="62" t="s">
        <v>4</v>
      </c>
      <c r="G865" s="29" t="s">
        <v>24</v>
      </c>
      <c r="H865" s="29" t="s">
        <v>25</v>
      </c>
    </row>
    <row r="866" customFormat="false" ht="14.25" hidden="false" customHeight="false" outlineLevel="0" collapsed="false">
      <c r="A866" s="1" t="n">
        <v>1869</v>
      </c>
      <c r="B866" s="30" t="n">
        <v>43357</v>
      </c>
      <c r="C866" s="29" t="s">
        <v>37</v>
      </c>
      <c r="D866" s="62" t="n">
        <v>38</v>
      </c>
      <c r="E866" s="62" t="n">
        <v>1316.99</v>
      </c>
      <c r="F866" s="62" t="s">
        <v>4</v>
      </c>
      <c r="G866" s="29" t="s">
        <v>24</v>
      </c>
      <c r="H866" s="29" t="s">
        <v>26</v>
      </c>
    </row>
    <row r="867" customFormat="false" ht="14.25" hidden="false" customHeight="false" outlineLevel="0" collapsed="false">
      <c r="A867" s="1" t="n">
        <v>1870</v>
      </c>
      <c r="B867" s="30" t="n">
        <v>43357</v>
      </c>
      <c r="C867" s="29" t="s">
        <v>37</v>
      </c>
      <c r="D867" s="62" t="n">
        <v>37</v>
      </c>
      <c r="E867" s="62" t="n">
        <v>181.83</v>
      </c>
      <c r="F867" s="62" t="s">
        <v>4</v>
      </c>
      <c r="G867" s="29" t="s">
        <v>29</v>
      </c>
      <c r="H867" s="29" t="s">
        <v>36</v>
      </c>
    </row>
    <row r="868" customFormat="false" ht="14.25" hidden="false" customHeight="false" outlineLevel="0" collapsed="false">
      <c r="A868" s="1" t="n">
        <v>1871</v>
      </c>
      <c r="B868" s="30" t="n">
        <v>43444</v>
      </c>
      <c r="C868" s="29" t="s">
        <v>21</v>
      </c>
      <c r="D868" s="62" t="n">
        <v>25</v>
      </c>
      <c r="E868" s="62" t="n">
        <v>287.38</v>
      </c>
      <c r="F868" s="62" t="s">
        <v>4</v>
      </c>
      <c r="G868" s="29" t="s">
        <v>29</v>
      </c>
      <c r="H868" s="29" t="s">
        <v>41</v>
      </c>
    </row>
    <row r="869" customFormat="false" ht="14.25" hidden="false" customHeight="false" outlineLevel="0" collapsed="false">
      <c r="A869" s="1" t="n">
        <v>1872</v>
      </c>
      <c r="B869" s="30" t="n">
        <v>43444</v>
      </c>
      <c r="C869" s="29" t="s">
        <v>21</v>
      </c>
      <c r="D869" s="62" t="n">
        <v>26</v>
      </c>
      <c r="E869" s="62" t="n">
        <v>1370.3</v>
      </c>
      <c r="F869" s="62" t="s">
        <v>4</v>
      </c>
      <c r="G869" s="29" t="s">
        <v>22</v>
      </c>
      <c r="H869" s="29" t="s">
        <v>23</v>
      </c>
    </row>
    <row r="870" customFormat="false" ht="14.25" hidden="false" customHeight="false" outlineLevel="0" collapsed="false">
      <c r="A870" s="1" t="n">
        <v>1873</v>
      </c>
      <c r="B870" s="30" t="n">
        <v>43210</v>
      </c>
      <c r="C870" s="29" t="s">
        <v>37</v>
      </c>
      <c r="D870" s="62" t="n">
        <v>47</v>
      </c>
      <c r="E870" s="62" t="n">
        <v>718.8</v>
      </c>
      <c r="F870" s="62" t="s">
        <v>6</v>
      </c>
      <c r="G870" s="29" t="s">
        <v>29</v>
      </c>
      <c r="H870" s="29" t="s">
        <v>45</v>
      </c>
    </row>
    <row r="871" customFormat="false" ht="14.25" hidden="false" customHeight="false" outlineLevel="0" collapsed="false">
      <c r="A871" s="1" t="n">
        <v>1874</v>
      </c>
      <c r="B871" s="30" t="n">
        <v>43210</v>
      </c>
      <c r="C871" s="29" t="s">
        <v>37</v>
      </c>
      <c r="D871" s="62" t="n">
        <v>12</v>
      </c>
      <c r="E871" s="62" t="n">
        <v>280.44</v>
      </c>
      <c r="F871" s="62" t="s">
        <v>6</v>
      </c>
      <c r="G871" s="29" t="s">
        <v>22</v>
      </c>
      <c r="H871" s="29" t="s">
        <v>23</v>
      </c>
    </row>
    <row r="872" customFormat="false" ht="14.25" hidden="false" customHeight="false" outlineLevel="0" collapsed="false">
      <c r="A872" s="1" t="n">
        <v>1875</v>
      </c>
      <c r="B872" s="30" t="n">
        <v>43127</v>
      </c>
      <c r="C872" s="29" t="s">
        <v>39</v>
      </c>
      <c r="D872" s="62" t="n">
        <v>41</v>
      </c>
      <c r="E872" s="62" t="n">
        <v>12973.9</v>
      </c>
      <c r="F872" s="62" t="s">
        <v>3</v>
      </c>
      <c r="G872" s="29" t="s">
        <v>24</v>
      </c>
      <c r="H872" s="29" t="s">
        <v>42</v>
      </c>
    </row>
    <row r="873" customFormat="false" ht="14.25" hidden="false" customHeight="false" outlineLevel="0" collapsed="false">
      <c r="A873" s="1" t="n">
        <v>1876</v>
      </c>
      <c r="B873" s="30" t="n">
        <v>43127</v>
      </c>
      <c r="C873" s="29" t="s">
        <v>39</v>
      </c>
      <c r="D873" s="62" t="n">
        <v>17</v>
      </c>
      <c r="E873" s="62" t="n">
        <v>215.84</v>
      </c>
      <c r="F873" s="62" t="s">
        <v>3</v>
      </c>
      <c r="G873" s="29" t="s">
        <v>29</v>
      </c>
      <c r="H873" s="29" t="s">
        <v>36</v>
      </c>
    </row>
    <row r="874" customFormat="false" ht="14.25" hidden="false" customHeight="false" outlineLevel="0" collapsed="false">
      <c r="A874" s="1" t="n">
        <v>1877</v>
      </c>
      <c r="B874" s="30" t="n">
        <v>43270</v>
      </c>
      <c r="C874" s="29" t="s">
        <v>37</v>
      </c>
      <c r="D874" s="62" t="n">
        <v>26</v>
      </c>
      <c r="E874" s="62" t="n">
        <v>5017.17</v>
      </c>
      <c r="F874" s="62" t="s">
        <v>4</v>
      </c>
      <c r="G874" s="29" t="s">
        <v>24</v>
      </c>
      <c r="H874" s="29" t="s">
        <v>25</v>
      </c>
    </row>
    <row r="875" customFormat="false" ht="14.25" hidden="false" customHeight="false" outlineLevel="0" collapsed="false">
      <c r="A875" s="1" t="n">
        <v>1878</v>
      </c>
      <c r="B875" s="30" t="n">
        <v>43455</v>
      </c>
      <c r="C875" s="29" t="s">
        <v>21</v>
      </c>
      <c r="D875" s="62" t="n">
        <v>17</v>
      </c>
      <c r="E875" s="62" t="n">
        <v>77.84</v>
      </c>
      <c r="F875" s="62" t="s">
        <v>6</v>
      </c>
      <c r="G875" s="29" t="s">
        <v>29</v>
      </c>
      <c r="H875" s="29" t="s">
        <v>34</v>
      </c>
    </row>
    <row r="876" customFormat="false" ht="14.25" hidden="false" customHeight="false" outlineLevel="0" collapsed="false">
      <c r="A876" s="1" t="n">
        <v>1879</v>
      </c>
      <c r="B876" s="30" t="n">
        <v>43161</v>
      </c>
      <c r="C876" s="29" t="s">
        <v>39</v>
      </c>
      <c r="D876" s="62" t="n">
        <v>8</v>
      </c>
      <c r="E876" s="62" t="n">
        <v>472.73</v>
      </c>
      <c r="F876" s="62" t="s">
        <v>3</v>
      </c>
      <c r="G876" s="29" t="s">
        <v>24</v>
      </c>
      <c r="H876" s="29" t="s">
        <v>25</v>
      </c>
    </row>
    <row r="877" customFormat="false" ht="14.25" hidden="false" customHeight="false" outlineLevel="0" collapsed="false">
      <c r="A877" s="1" t="n">
        <v>1880</v>
      </c>
      <c r="B877" s="30" t="n">
        <v>43361</v>
      </c>
      <c r="C877" s="29" t="s">
        <v>21</v>
      </c>
      <c r="D877" s="62" t="n">
        <v>25</v>
      </c>
      <c r="E877" s="62" t="n">
        <v>1198.3</v>
      </c>
      <c r="F877" s="62" t="s">
        <v>6</v>
      </c>
      <c r="G877" s="29" t="s">
        <v>29</v>
      </c>
      <c r="H877" s="29" t="s">
        <v>36</v>
      </c>
    </row>
    <row r="878" customFormat="false" ht="14.25" hidden="false" customHeight="false" outlineLevel="0" collapsed="false">
      <c r="A878" s="1" t="n">
        <v>1881</v>
      </c>
      <c r="B878" s="30" t="n">
        <v>43218</v>
      </c>
      <c r="C878" s="29" t="s">
        <v>39</v>
      </c>
      <c r="D878" s="62" t="n">
        <v>45</v>
      </c>
      <c r="E878" s="62" t="n">
        <v>535.51</v>
      </c>
      <c r="F878" s="62" t="s">
        <v>5</v>
      </c>
      <c r="G878" s="29" t="s">
        <v>29</v>
      </c>
      <c r="H878" s="29" t="s">
        <v>38</v>
      </c>
    </row>
    <row r="879" customFormat="false" ht="14.25" hidden="false" customHeight="false" outlineLevel="0" collapsed="false">
      <c r="A879" s="1" t="n">
        <v>1882</v>
      </c>
      <c r="B879" s="30" t="n">
        <v>43304</v>
      </c>
      <c r="C879" s="29" t="s">
        <v>21</v>
      </c>
      <c r="D879" s="62" t="n">
        <v>44</v>
      </c>
      <c r="E879" s="62" t="n">
        <v>78.79</v>
      </c>
      <c r="F879" s="62" t="s">
        <v>4</v>
      </c>
      <c r="G879" s="29" t="s">
        <v>24</v>
      </c>
      <c r="H879" s="29" t="s">
        <v>26</v>
      </c>
    </row>
    <row r="880" customFormat="false" ht="14.25" hidden="false" customHeight="false" outlineLevel="0" collapsed="false">
      <c r="A880" s="1" t="n">
        <v>1883</v>
      </c>
      <c r="B880" s="30" t="n">
        <v>43234</v>
      </c>
      <c r="C880" s="29" t="s">
        <v>31</v>
      </c>
      <c r="D880" s="62" t="n">
        <v>38</v>
      </c>
      <c r="E880" s="62" t="n">
        <v>1752.42</v>
      </c>
      <c r="F880" s="62" t="s">
        <v>6</v>
      </c>
      <c r="G880" s="29" t="s">
        <v>29</v>
      </c>
      <c r="H880" s="29" t="s">
        <v>41</v>
      </c>
    </row>
    <row r="881" customFormat="false" ht="14.25" hidden="false" customHeight="false" outlineLevel="0" collapsed="false">
      <c r="A881" s="1" t="n">
        <v>1884</v>
      </c>
      <c r="B881" s="30" t="n">
        <v>43234</v>
      </c>
      <c r="C881" s="29" t="s">
        <v>31</v>
      </c>
      <c r="D881" s="62" t="n">
        <v>23</v>
      </c>
      <c r="E881" s="62" t="n">
        <v>207.41</v>
      </c>
      <c r="F881" s="62" t="s">
        <v>6</v>
      </c>
      <c r="G881" s="29" t="s">
        <v>29</v>
      </c>
      <c r="H881" s="29" t="s">
        <v>34</v>
      </c>
    </row>
    <row r="882" customFormat="false" ht="14.25" hidden="false" customHeight="false" outlineLevel="0" collapsed="false">
      <c r="A882" s="1" t="n">
        <v>1885</v>
      </c>
      <c r="B882" s="30" t="n">
        <v>43425</v>
      </c>
      <c r="C882" s="29" t="s">
        <v>21</v>
      </c>
      <c r="D882" s="62" t="n">
        <v>21</v>
      </c>
      <c r="E882" s="62" t="n">
        <v>217.8</v>
      </c>
      <c r="F882" s="62" t="s">
        <v>5</v>
      </c>
      <c r="G882" s="29" t="s">
        <v>29</v>
      </c>
      <c r="H882" s="29" t="s">
        <v>30</v>
      </c>
    </row>
    <row r="883" customFormat="false" ht="14.25" hidden="false" customHeight="false" outlineLevel="0" collapsed="false">
      <c r="A883" s="1" t="n">
        <v>1886</v>
      </c>
      <c r="B883" s="30" t="n">
        <v>43425</v>
      </c>
      <c r="C883" s="29" t="s">
        <v>21</v>
      </c>
      <c r="D883" s="62" t="n">
        <v>38</v>
      </c>
      <c r="E883" s="62" t="n">
        <v>293.06</v>
      </c>
      <c r="F883" s="62" t="s">
        <v>5</v>
      </c>
      <c r="G883" s="29" t="s">
        <v>29</v>
      </c>
      <c r="H883" s="29" t="s">
        <v>34</v>
      </c>
    </row>
    <row r="884" customFormat="false" ht="14.25" hidden="false" customHeight="false" outlineLevel="0" collapsed="false">
      <c r="A884" s="1" t="n">
        <v>1887</v>
      </c>
      <c r="B884" s="30" t="n">
        <v>43239</v>
      </c>
      <c r="C884" s="29" t="s">
        <v>28</v>
      </c>
      <c r="D884" s="62" t="n">
        <v>44</v>
      </c>
      <c r="E884" s="62" t="n">
        <v>780.83</v>
      </c>
      <c r="F884" s="62" t="s">
        <v>5</v>
      </c>
      <c r="G884" s="29" t="s">
        <v>29</v>
      </c>
      <c r="H884" s="29" t="s">
        <v>45</v>
      </c>
    </row>
    <row r="885" customFormat="false" ht="14.25" hidden="false" customHeight="false" outlineLevel="0" collapsed="false">
      <c r="A885" s="1" t="n">
        <v>1888</v>
      </c>
      <c r="B885" s="30" t="n">
        <v>43239</v>
      </c>
      <c r="C885" s="29" t="s">
        <v>28</v>
      </c>
      <c r="D885" s="62" t="n">
        <v>11</v>
      </c>
      <c r="E885" s="62" t="n">
        <v>1235.78</v>
      </c>
      <c r="F885" s="62" t="s">
        <v>5</v>
      </c>
      <c r="G885" s="29" t="s">
        <v>24</v>
      </c>
      <c r="H885" s="29" t="s">
        <v>25</v>
      </c>
    </row>
    <row r="886" customFormat="false" ht="14.25" hidden="false" customHeight="false" outlineLevel="0" collapsed="false">
      <c r="A886" s="1" t="n">
        <v>1889</v>
      </c>
      <c r="B886" s="30" t="n">
        <v>43239</v>
      </c>
      <c r="C886" s="29" t="s">
        <v>28</v>
      </c>
      <c r="D886" s="62" t="n">
        <v>28</v>
      </c>
      <c r="E886" s="62" t="n">
        <v>1516.41</v>
      </c>
      <c r="F886" s="62" t="s">
        <v>5</v>
      </c>
      <c r="G886" s="29" t="s">
        <v>22</v>
      </c>
      <c r="H886" s="29" t="s">
        <v>23</v>
      </c>
    </row>
    <row r="887" customFormat="false" ht="14.25" hidden="false" customHeight="false" outlineLevel="0" collapsed="false">
      <c r="A887" s="1" t="n">
        <v>1890</v>
      </c>
      <c r="B887" s="30" t="n">
        <v>43464</v>
      </c>
      <c r="C887" s="29" t="s">
        <v>39</v>
      </c>
      <c r="D887" s="62" t="n">
        <v>24</v>
      </c>
      <c r="E887" s="62" t="n">
        <v>1433</v>
      </c>
      <c r="F887" s="62" t="s">
        <v>5</v>
      </c>
      <c r="G887" s="29" t="s">
        <v>29</v>
      </c>
      <c r="H887" s="29" t="s">
        <v>41</v>
      </c>
    </row>
    <row r="888" customFormat="false" ht="14.25" hidden="false" customHeight="false" outlineLevel="0" collapsed="false">
      <c r="A888" s="1" t="n">
        <v>1891</v>
      </c>
      <c r="B888" s="30" t="n">
        <v>43146</v>
      </c>
      <c r="C888" s="29" t="s">
        <v>28</v>
      </c>
      <c r="D888" s="62" t="n">
        <v>37</v>
      </c>
      <c r="E888" s="62" t="n">
        <v>239.4</v>
      </c>
      <c r="F888" s="62" t="s">
        <v>5</v>
      </c>
      <c r="G888" s="29" t="s">
        <v>29</v>
      </c>
      <c r="H888" s="29" t="s">
        <v>45</v>
      </c>
    </row>
    <row r="889" customFormat="false" ht="14.25" hidden="false" customHeight="false" outlineLevel="0" collapsed="false">
      <c r="A889" s="1" t="n">
        <v>1892</v>
      </c>
      <c r="B889" s="30" t="n">
        <v>43146</v>
      </c>
      <c r="C889" s="29" t="s">
        <v>28</v>
      </c>
      <c r="D889" s="62" t="n">
        <v>2</v>
      </c>
      <c r="E889" s="62" t="n">
        <v>28.7</v>
      </c>
      <c r="F889" s="62" t="s">
        <v>5</v>
      </c>
      <c r="G889" s="29" t="s">
        <v>22</v>
      </c>
      <c r="H889" s="29" t="s">
        <v>23</v>
      </c>
    </row>
    <row r="890" customFormat="false" ht="14.25" hidden="false" customHeight="false" outlineLevel="0" collapsed="false">
      <c r="A890" s="1" t="n">
        <v>1893</v>
      </c>
      <c r="B890" s="30" t="n">
        <v>43434</v>
      </c>
      <c r="C890" s="29" t="s">
        <v>21</v>
      </c>
      <c r="D890" s="62" t="n">
        <v>42</v>
      </c>
      <c r="E890" s="62" t="n">
        <v>952.95</v>
      </c>
      <c r="F890" s="62" t="s">
        <v>5</v>
      </c>
      <c r="G890" s="29" t="s">
        <v>22</v>
      </c>
      <c r="H890" s="29" t="s">
        <v>23</v>
      </c>
    </row>
    <row r="891" customFormat="false" ht="14.25" hidden="false" customHeight="false" outlineLevel="0" collapsed="false">
      <c r="A891" s="1" t="n">
        <v>1894</v>
      </c>
      <c r="B891" s="30" t="n">
        <v>43434</v>
      </c>
      <c r="C891" s="29" t="s">
        <v>21</v>
      </c>
      <c r="D891" s="62" t="n">
        <v>10</v>
      </c>
      <c r="E891" s="62" t="n">
        <v>68.68</v>
      </c>
      <c r="F891" s="62" t="s">
        <v>5</v>
      </c>
      <c r="G891" s="29" t="s">
        <v>29</v>
      </c>
      <c r="H891" s="29" t="s">
        <v>30</v>
      </c>
    </row>
    <row r="892" customFormat="false" ht="14.25" hidden="false" customHeight="false" outlineLevel="0" collapsed="false">
      <c r="A892" s="1" t="n">
        <v>1895</v>
      </c>
      <c r="B892" s="30" t="n">
        <v>43434</v>
      </c>
      <c r="C892" s="29" t="s">
        <v>21</v>
      </c>
      <c r="D892" s="62" t="n">
        <v>29</v>
      </c>
      <c r="E892" s="62" t="n">
        <v>3771.27</v>
      </c>
      <c r="F892" s="62" t="s">
        <v>5</v>
      </c>
      <c r="G892" s="29" t="s">
        <v>22</v>
      </c>
      <c r="H892" s="29" t="s">
        <v>40</v>
      </c>
    </row>
    <row r="893" customFormat="false" ht="14.25" hidden="false" customHeight="false" outlineLevel="0" collapsed="false">
      <c r="A893" s="1" t="n">
        <v>1896</v>
      </c>
      <c r="B893" s="30" t="n">
        <v>43434</v>
      </c>
      <c r="C893" s="29" t="s">
        <v>21</v>
      </c>
      <c r="D893" s="62" t="n">
        <v>1</v>
      </c>
      <c r="E893" s="62" t="n">
        <v>14.94</v>
      </c>
      <c r="F893" s="62" t="s">
        <v>5</v>
      </c>
      <c r="G893" s="29" t="s">
        <v>29</v>
      </c>
      <c r="H893" s="29" t="s">
        <v>34</v>
      </c>
    </row>
    <row r="894" customFormat="false" ht="14.25" hidden="false" customHeight="false" outlineLevel="0" collapsed="false">
      <c r="A894" s="1" t="n">
        <v>1897</v>
      </c>
      <c r="B894" s="30" t="n">
        <v>43434</v>
      </c>
      <c r="C894" s="29" t="s">
        <v>21</v>
      </c>
      <c r="D894" s="62" t="n">
        <v>50</v>
      </c>
      <c r="E894" s="62" t="n">
        <v>568.68</v>
      </c>
      <c r="F894" s="62" t="s">
        <v>5</v>
      </c>
      <c r="G894" s="29" t="s">
        <v>29</v>
      </c>
      <c r="H894" s="29" t="s">
        <v>45</v>
      </c>
    </row>
    <row r="895" customFormat="false" ht="14.25" hidden="false" customHeight="false" outlineLevel="0" collapsed="false">
      <c r="A895" s="1" t="n">
        <v>1898</v>
      </c>
      <c r="B895" s="30" t="n">
        <v>43464</v>
      </c>
      <c r="C895" s="29" t="s">
        <v>21</v>
      </c>
      <c r="D895" s="62" t="n">
        <v>2</v>
      </c>
      <c r="E895" s="62" t="n">
        <v>64.8</v>
      </c>
      <c r="F895" s="62" t="s">
        <v>6</v>
      </c>
      <c r="G895" s="29" t="s">
        <v>24</v>
      </c>
      <c r="H895" s="29" t="s">
        <v>25</v>
      </c>
    </row>
    <row r="896" customFormat="false" ht="14.25" hidden="false" customHeight="false" outlineLevel="0" collapsed="false">
      <c r="A896" s="1" t="n">
        <v>1899</v>
      </c>
      <c r="B896" s="30" t="n">
        <v>43353</v>
      </c>
      <c r="C896" s="29" t="s">
        <v>28</v>
      </c>
      <c r="D896" s="62" t="n">
        <v>16</v>
      </c>
      <c r="E896" s="62" t="n">
        <v>117.59</v>
      </c>
      <c r="F896" s="62" t="s">
        <v>4</v>
      </c>
      <c r="G896" s="29" t="s">
        <v>29</v>
      </c>
      <c r="H896" s="29" t="s">
        <v>34</v>
      </c>
    </row>
    <row r="897" customFormat="false" ht="14.25" hidden="false" customHeight="false" outlineLevel="0" collapsed="false">
      <c r="A897" s="1" t="n">
        <v>1900</v>
      </c>
      <c r="B897" s="30" t="n">
        <v>43380</v>
      </c>
      <c r="C897" s="29" t="s">
        <v>31</v>
      </c>
      <c r="D897" s="62" t="n">
        <v>17</v>
      </c>
      <c r="E897" s="62" t="n">
        <v>510.93</v>
      </c>
      <c r="F897" s="62" t="s">
        <v>4</v>
      </c>
      <c r="G897" s="29" t="s">
        <v>24</v>
      </c>
      <c r="H897" s="29" t="s">
        <v>25</v>
      </c>
    </row>
    <row r="898" customFormat="false" ht="14.25" hidden="false" customHeight="false" outlineLevel="0" collapsed="false">
      <c r="A898" s="1" t="n">
        <v>1901</v>
      </c>
      <c r="B898" s="30" t="n">
        <v>43254</v>
      </c>
      <c r="C898" s="29" t="s">
        <v>39</v>
      </c>
      <c r="D898" s="62" t="n">
        <v>3</v>
      </c>
      <c r="E898" s="62" t="n">
        <v>79.23</v>
      </c>
      <c r="F898" s="62" t="s">
        <v>6</v>
      </c>
      <c r="G898" s="29" t="s">
        <v>22</v>
      </c>
      <c r="H898" s="29" t="s">
        <v>23</v>
      </c>
    </row>
    <row r="899" customFormat="false" ht="14.25" hidden="false" customHeight="false" outlineLevel="0" collapsed="false">
      <c r="A899" s="1" t="n">
        <v>1902</v>
      </c>
      <c r="B899" s="30" t="n">
        <v>43350</v>
      </c>
      <c r="C899" s="29" t="s">
        <v>31</v>
      </c>
      <c r="D899" s="62" t="n">
        <v>9</v>
      </c>
      <c r="E899" s="62" t="n">
        <v>1103.23</v>
      </c>
      <c r="F899" s="62" t="s">
        <v>4</v>
      </c>
      <c r="G899" s="29" t="s">
        <v>24</v>
      </c>
      <c r="H899" s="29" t="s">
        <v>26</v>
      </c>
    </row>
    <row r="900" customFormat="false" ht="14.25" hidden="false" customHeight="false" outlineLevel="0" collapsed="false">
      <c r="A900" s="1" t="n">
        <v>1903</v>
      </c>
      <c r="B900" s="30" t="n">
        <v>43356</v>
      </c>
      <c r="C900" s="29" t="s">
        <v>28</v>
      </c>
      <c r="D900" s="62" t="n">
        <v>8</v>
      </c>
      <c r="E900" s="62" t="n">
        <v>322.68</v>
      </c>
      <c r="F900" s="62" t="s">
        <v>4</v>
      </c>
      <c r="G900" s="29" t="s">
        <v>22</v>
      </c>
      <c r="H900" s="29" t="s">
        <v>40</v>
      </c>
    </row>
    <row r="901" customFormat="false" ht="14.25" hidden="false" customHeight="false" outlineLevel="0" collapsed="false">
      <c r="A901" s="1" t="n">
        <v>1904</v>
      </c>
      <c r="B901" s="30" t="n">
        <v>43422</v>
      </c>
      <c r="C901" s="29" t="s">
        <v>39</v>
      </c>
      <c r="D901" s="62" t="n">
        <v>31</v>
      </c>
      <c r="E901" s="62" t="n">
        <v>176.46</v>
      </c>
      <c r="F901" s="62" t="s">
        <v>6</v>
      </c>
      <c r="G901" s="29" t="s">
        <v>29</v>
      </c>
      <c r="H901" s="29" t="s">
        <v>36</v>
      </c>
    </row>
    <row r="902" customFormat="false" ht="14.25" hidden="false" customHeight="false" outlineLevel="0" collapsed="false">
      <c r="A902" s="1" t="n">
        <v>1905</v>
      </c>
      <c r="B902" s="30" t="n">
        <v>43422</v>
      </c>
      <c r="C902" s="29" t="s">
        <v>39</v>
      </c>
      <c r="D902" s="62" t="n">
        <v>40</v>
      </c>
      <c r="E902" s="62" t="n">
        <v>8360.66</v>
      </c>
      <c r="F902" s="62" t="s">
        <v>6</v>
      </c>
      <c r="G902" s="29" t="s">
        <v>24</v>
      </c>
      <c r="H902" s="29" t="s">
        <v>43</v>
      </c>
    </row>
    <row r="903" customFormat="false" ht="14.25" hidden="false" customHeight="false" outlineLevel="0" collapsed="false">
      <c r="A903" s="1" t="n">
        <v>1906</v>
      </c>
      <c r="B903" s="30" t="n">
        <v>43390</v>
      </c>
      <c r="C903" s="29" t="s">
        <v>37</v>
      </c>
      <c r="D903" s="62" t="n">
        <v>6</v>
      </c>
      <c r="E903" s="62" t="n">
        <v>691.37</v>
      </c>
      <c r="F903" s="62" t="s">
        <v>6</v>
      </c>
      <c r="G903" s="29" t="s">
        <v>29</v>
      </c>
      <c r="H903" s="29" t="s">
        <v>38</v>
      </c>
    </row>
    <row r="904" customFormat="false" ht="14.25" hidden="false" customHeight="false" outlineLevel="0" collapsed="false">
      <c r="A904" s="1" t="n">
        <v>1907</v>
      </c>
      <c r="B904" s="30" t="n">
        <v>43390</v>
      </c>
      <c r="C904" s="29" t="s">
        <v>37</v>
      </c>
      <c r="D904" s="62" t="n">
        <v>16</v>
      </c>
      <c r="E904" s="62" t="n">
        <v>345.89</v>
      </c>
      <c r="F904" s="62" t="s">
        <v>6</v>
      </c>
      <c r="G904" s="29" t="s">
        <v>22</v>
      </c>
      <c r="H904" s="29" t="s">
        <v>23</v>
      </c>
    </row>
    <row r="905" customFormat="false" ht="14.25" hidden="false" customHeight="false" outlineLevel="0" collapsed="false">
      <c r="A905" s="1" t="n">
        <v>1908</v>
      </c>
      <c r="B905" s="30" t="n">
        <v>43239</v>
      </c>
      <c r="C905" s="29" t="s">
        <v>37</v>
      </c>
      <c r="D905" s="62" t="n">
        <v>25</v>
      </c>
      <c r="E905" s="62" t="n">
        <v>79.25</v>
      </c>
      <c r="F905" s="62" t="s">
        <v>4</v>
      </c>
      <c r="G905" s="29" t="s">
        <v>29</v>
      </c>
      <c r="H905" s="29" t="s">
        <v>34</v>
      </c>
    </row>
    <row r="906" customFormat="false" ht="14.25" hidden="false" customHeight="false" outlineLevel="0" collapsed="false">
      <c r="A906" s="1" t="n">
        <v>1909</v>
      </c>
      <c r="B906" s="30" t="n">
        <v>43239</v>
      </c>
      <c r="C906" s="29" t="s">
        <v>37</v>
      </c>
      <c r="D906" s="62" t="n">
        <v>29</v>
      </c>
      <c r="E906" s="62" t="n">
        <v>1636.09</v>
      </c>
      <c r="F906" s="62" t="s">
        <v>4</v>
      </c>
      <c r="G906" s="29" t="s">
        <v>24</v>
      </c>
      <c r="H906" s="29" t="s">
        <v>25</v>
      </c>
    </row>
    <row r="907" customFormat="false" ht="14.25" hidden="false" customHeight="false" outlineLevel="0" collapsed="false">
      <c r="A907" s="1" t="n">
        <v>1910</v>
      </c>
      <c r="B907" s="30" t="n">
        <v>43130</v>
      </c>
      <c r="C907" s="29" t="s">
        <v>21</v>
      </c>
      <c r="D907" s="62" t="n">
        <v>3</v>
      </c>
      <c r="E907" s="62" t="n">
        <v>337.34</v>
      </c>
      <c r="F907" s="62" t="s">
        <v>6</v>
      </c>
      <c r="G907" s="29" t="s">
        <v>22</v>
      </c>
      <c r="H907" s="29" t="s">
        <v>23</v>
      </c>
    </row>
    <row r="908" customFormat="false" ht="14.25" hidden="false" customHeight="false" outlineLevel="0" collapsed="false">
      <c r="A908" s="1" t="n">
        <v>1911</v>
      </c>
      <c r="B908" s="30" t="n">
        <v>43130</v>
      </c>
      <c r="C908" s="29" t="s">
        <v>21</v>
      </c>
      <c r="D908" s="62" t="n">
        <v>12</v>
      </c>
      <c r="E908" s="62" t="n">
        <v>88.42</v>
      </c>
      <c r="F908" s="62" t="s">
        <v>6</v>
      </c>
      <c r="G908" s="29" t="s">
        <v>29</v>
      </c>
      <c r="H908" s="29" t="s">
        <v>30</v>
      </c>
    </row>
    <row r="909" customFormat="false" ht="14.25" hidden="false" customHeight="false" outlineLevel="0" collapsed="false">
      <c r="A909" s="1" t="n">
        <v>1912</v>
      </c>
      <c r="B909" s="30" t="n">
        <v>43323</v>
      </c>
      <c r="C909" s="29" t="s">
        <v>37</v>
      </c>
      <c r="D909" s="62" t="n">
        <v>16</v>
      </c>
      <c r="E909" s="62" t="n">
        <v>2815.28</v>
      </c>
      <c r="F909" s="62" t="s">
        <v>4</v>
      </c>
      <c r="G909" s="29" t="s">
        <v>24</v>
      </c>
      <c r="H909" s="29" t="s">
        <v>25</v>
      </c>
    </row>
    <row r="910" customFormat="false" ht="14.25" hidden="false" customHeight="false" outlineLevel="0" collapsed="false">
      <c r="A910" s="1" t="n">
        <v>1913</v>
      </c>
      <c r="B910" s="30" t="n">
        <v>43323</v>
      </c>
      <c r="C910" s="29" t="s">
        <v>37</v>
      </c>
      <c r="D910" s="62" t="n">
        <v>48</v>
      </c>
      <c r="E910" s="62" t="n">
        <v>19511.95</v>
      </c>
      <c r="F910" s="62" t="s">
        <v>4</v>
      </c>
      <c r="G910" s="29" t="s">
        <v>29</v>
      </c>
      <c r="H910" s="29" t="s">
        <v>38</v>
      </c>
    </row>
    <row r="911" customFormat="false" ht="14.25" hidden="false" customHeight="false" outlineLevel="0" collapsed="false">
      <c r="A911" s="1" t="n">
        <v>1914</v>
      </c>
      <c r="B911" s="30" t="n">
        <v>43168</v>
      </c>
      <c r="C911" s="29" t="s">
        <v>31</v>
      </c>
      <c r="D911" s="62" t="n">
        <v>45</v>
      </c>
      <c r="E911" s="62" t="n">
        <v>13573.53</v>
      </c>
      <c r="F911" s="62" t="s">
        <v>6</v>
      </c>
      <c r="G911" s="29" t="s">
        <v>22</v>
      </c>
      <c r="H911" s="29" t="s">
        <v>27</v>
      </c>
    </row>
    <row r="912" customFormat="false" ht="14.25" hidden="false" customHeight="false" outlineLevel="0" collapsed="false">
      <c r="A912" s="1" t="n">
        <v>1915</v>
      </c>
      <c r="B912" s="30" t="n">
        <v>43287</v>
      </c>
      <c r="C912" s="29" t="s">
        <v>28</v>
      </c>
      <c r="D912" s="62" t="n">
        <v>21</v>
      </c>
      <c r="E912" s="62" t="n">
        <v>452.87</v>
      </c>
      <c r="F912" s="62" t="s">
        <v>3</v>
      </c>
      <c r="G912" s="29" t="s">
        <v>29</v>
      </c>
      <c r="H912" s="29" t="s">
        <v>34</v>
      </c>
    </row>
    <row r="913" customFormat="false" ht="14.25" hidden="false" customHeight="false" outlineLevel="0" collapsed="false">
      <c r="A913" s="1" t="n">
        <v>1916</v>
      </c>
      <c r="B913" s="30" t="n">
        <v>43402</v>
      </c>
      <c r="C913" s="29" t="s">
        <v>21</v>
      </c>
      <c r="D913" s="62" t="n">
        <v>38</v>
      </c>
      <c r="E913" s="62" t="n">
        <v>498.51</v>
      </c>
      <c r="F913" s="62" t="s">
        <v>5</v>
      </c>
      <c r="G913" s="29" t="s">
        <v>29</v>
      </c>
      <c r="H913" s="29" t="s">
        <v>36</v>
      </c>
    </row>
    <row r="914" customFormat="false" ht="14.25" hidden="false" customHeight="false" outlineLevel="0" collapsed="false">
      <c r="A914" s="1" t="n">
        <v>1917</v>
      </c>
      <c r="B914" s="30" t="n">
        <v>43357</v>
      </c>
      <c r="C914" s="29" t="s">
        <v>37</v>
      </c>
      <c r="D914" s="62" t="n">
        <v>20</v>
      </c>
      <c r="E914" s="62" t="n">
        <v>904.9</v>
      </c>
      <c r="F914" s="62" t="s">
        <v>4</v>
      </c>
      <c r="G914" s="29" t="s">
        <v>24</v>
      </c>
      <c r="H914" s="29" t="s">
        <v>26</v>
      </c>
    </row>
    <row r="915" customFormat="false" ht="14.25" hidden="false" customHeight="false" outlineLevel="0" collapsed="false">
      <c r="A915" s="1" t="n">
        <v>1918</v>
      </c>
      <c r="B915" s="30" t="n">
        <v>43357</v>
      </c>
      <c r="C915" s="29" t="s">
        <v>37</v>
      </c>
      <c r="D915" s="62" t="n">
        <v>25</v>
      </c>
      <c r="E915" s="62" t="n">
        <v>499.69</v>
      </c>
      <c r="F915" s="62" t="s">
        <v>4</v>
      </c>
      <c r="G915" s="29" t="s">
        <v>22</v>
      </c>
      <c r="H915" s="29" t="s">
        <v>23</v>
      </c>
    </row>
    <row r="916" customFormat="false" ht="14.25" hidden="false" customHeight="false" outlineLevel="0" collapsed="false">
      <c r="A916" s="1" t="n">
        <v>1919</v>
      </c>
      <c r="B916" s="30" t="n">
        <v>43357</v>
      </c>
      <c r="C916" s="29" t="s">
        <v>37</v>
      </c>
      <c r="D916" s="62" t="n">
        <v>36</v>
      </c>
      <c r="E916" s="62" t="n">
        <v>68.94</v>
      </c>
      <c r="F916" s="62" t="s">
        <v>4</v>
      </c>
      <c r="G916" s="29" t="s">
        <v>22</v>
      </c>
      <c r="H916" s="29" t="s">
        <v>27</v>
      </c>
    </row>
    <row r="917" customFormat="false" ht="14.25" hidden="false" customHeight="false" outlineLevel="0" collapsed="false">
      <c r="A917" s="1" t="n">
        <v>1920</v>
      </c>
      <c r="B917" s="30" t="n">
        <v>43136</v>
      </c>
      <c r="C917" s="29" t="s">
        <v>37</v>
      </c>
      <c r="D917" s="62" t="n">
        <v>4</v>
      </c>
      <c r="E917" s="62" t="n">
        <v>1370.38</v>
      </c>
      <c r="F917" s="62" t="s">
        <v>3</v>
      </c>
      <c r="G917" s="29" t="s">
        <v>22</v>
      </c>
      <c r="H917" s="29" t="s">
        <v>27</v>
      </c>
    </row>
    <row r="918" customFormat="false" ht="14.25" hidden="false" customHeight="false" outlineLevel="0" collapsed="false">
      <c r="A918" s="1" t="n">
        <v>1921</v>
      </c>
      <c r="B918" s="30" t="n">
        <v>43347</v>
      </c>
      <c r="C918" s="29" t="s">
        <v>39</v>
      </c>
      <c r="D918" s="62" t="n">
        <v>1</v>
      </c>
      <c r="E918" s="62" t="n">
        <v>13.95</v>
      </c>
      <c r="F918" s="62" t="s">
        <v>4</v>
      </c>
      <c r="G918" s="29" t="s">
        <v>29</v>
      </c>
      <c r="H918" s="29" t="s">
        <v>30</v>
      </c>
    </row>
    <row r="919" customFormat="false" ht="14.25" hidden="false" customHeight="false" outlineLevel="0" collapsed="false">
      <c r="A919" s="1" t="n">
        <v>1922</v>
      </c>
      <c r="B919" s="30" t="n">
        <v>43361</v>
      </c>
      <c r="C919" s="29" t="s">
        <v>21</v>
      </c>
      <c r="D919" s="62" t="n">
        <v>12</v>
      </c>
      <c r="E919" s="62" t="n">
        <v>101.14</v>
      </c>
      <c r="F919" s="62" t="s">
        <v>3</v>
      </c>
      <c r="G919" s="29" t="s">
        <v>29</v>
      </c>
      <c r="H919" s="29" t="s">
        <v>34</v>
      </c>
    </row>
    <row r="920" customFormat="false" ht="14.25" hidden="false" customHeight="false" outlineLevel="0" collapsed="false">
      <c r="A920" s="1" t="n">
        <v>1923</v>
      </c>
      <c r="B920" s="30" t="n">
        <v>43398</v>
      </c>
      <c r="C920" s="29" t="s">
        <v>31</v>
      </c>
      <c r="D920" s="62" t="n">
        <v>19</v>
      </c>
      <c r="E920" s="62" t="n">
        <v>80.45</v>
      </c>
      <c r="F920" s="62" t="s">
        <v>4</v>
      </c>
      <c r="G920" s="29" t="s">
        <v>29</v>
      </c>
      <c r="H920" s="29" t="s">
        <v>35</v>
      </c>
    </row>
    <row r="921" customFormat="false" ht="14.25" hidden="false" customHeight="false" outlineLevel="0" collapsed="false">
      <c r="A921" s="1" t="n">
        <v>1924</v>
      </c>
      <c r="B921" s="30" t="n">
        <v>43344</v>
      </c>
      <c r="C921" s="29" t="s">
        <v>31</v>
      </c>
      <c r="D921" s="62" t="n">
        <v>34</v>
      </c>
      <c r="E921" s="62" t="n">
        <v>5142.33</v>
      </c>
      <c r="F921" s="62" t="s">
        <v>4</v>
      </c>
      <c r="G921" s="29" t="s">
        <v>22</v>
      </c>
      <c r="H921" s="29" t="s">
        <v>44</v>
      </c>
    </row>
    <row r="922" customFormat="false" ht="14.25" hidden="false" customHeight="false" outlineLevel="0" collapsed="false">
      <c r="A922" s="1" t="n">
        <v>1925</v>
      </c>
      <c r="B922" s="30" t="n">
        <v>43344</v>
      </c>
      <c r="C922" s="29" t="s">
        <v>31</v>
      </c>
      <c r="D922" s="62" t="n">
        <v>1</v>
      </c>
      <c r="E922" s="62" t="n">
        <v>248.96</v>
      </c>
      <c r="F922" s="62" t="s">
        <v>4</v>
      </c>
      <c r="G922" s="29" t="s">
        <v>29</v>
      </c>
      <c r="H922" s="29" t="s">
        <v>34</v>
      </c>
    </row>
    <row r="923" customFormat="false" ht="14.25" hidden="false" customHeight="false" outlineLevel="0" collapsed="false">
      <c r="A923" s="1" t="n">
        <v>1926</v>
      </c>
      <c r="B923" s="30" t="n">
        <v>43344</v>
      </c>
      <c r="C923" s="29" t="s">
        <v>31</v>
      </c>
      <c r="D923" s="62" t="n">
        <v>10</v>
      </c>
      <c r="E923" s="62" t="n">
        <v>6794.81</v>
      </c>
      <c r="F923" s="62" t="s">
        <v>4</v>
      </c>
      <c r="G923" s="29" t="s">
        <v>24</v>
      </c>
      <c r="H923" s="29" t="s">
        <v>43</v>
      </c>
    </row>
    <row r="924" customFormat="false" ht="14.25" hidden="false" customHeight="false" outlineLevel="0" collapsed="false">
      <c r="A924" s="1" t="n">
        <v>1927</v>
      </c>
      <c r="B924" s="30" t="n">
        <v>43357</v>
      </c>
      <c r="C924" s="29" t="s">
        <v>21</v>
      </c>
      <c r="D924" s="62" t="n">
        <v>47</v>
      </c>
      <c r="E924" s="62" t="n">
        <v>193.81</v>
      </c>
      <c r="F924" s="62" t="s">
        <v>6</v>
      </c>
      <c r="G924" s="29" t="s">
        <v>29</v>
      </c>
      <c r="H924" s="29" t="s">
        <v>45</v>
      </c>
    </row>
    <row r="925" customFormat="false" ht="14.25" hidden="false" customHeight="false" outlineLevel="0" collapsed="false">
      <c r="A925" s="1" t="n">
        <v>1928</v>
      </c>
      <c r="B925" s="30" t="n">
        <v>43162</v>
      </c>
      <c r="C925" s="29" t="s">
        <v>28</v>
      </c>
      <c r="D925" s="62" t="n">
        <v>4</v>
      </c>
      <c r="E925" s="62" t="n">
        <v>79.07</v>
      </c>
      <c r="F925" s="62" t="s">
        <v>6</v>
      </c>
      <c r="G925" s="29" t="s">
        <v>29</v>
      </c>
      <c r="H925" s="29" t="s">
        <v>34</v>
      </c>
    </row>
    <row r="926" customFormat="false" ht="14.25" hidden="false" customHeight="false" outlineLevel="0" collapsed="false">
      <c r="A926" s="1" t="n">
        <v>1929</v>
      </c>
      <c r="B926" s="30" t="n">
        <v>43162</v>
      </c>
      <c r="C926" s="29" t="s">
        <v>28</v>
      </c>
      <c r="D926" s="62" t="n">
        <v>31</v>
      </c>
      <c r="E926" s="62" t="n">
        <v>211.42</v>
      </c>
      <c r="F926" s="62" t="s">
        <v>6</v>
      </c>
      <c r="G926" s="29" t="s">
        <v>29</v>
      </c>
      <c r="H926" s="29" t="s">
        <v>34</v>
      </c>
    </row>
    <row r="927" customFormat="false" ht="14.25" hidden="false" customHeight="false" outlineLevel="0" collapsed="false">
      <c r="A927" s="1" t="n">
        <v>1930</v>
      </c>
      <c r="B927" s="30" t="n">
        <v>43279</v>
      </c>
      <c r="C927" s="29" t="s">
        <v>39</v>
      </c>
      <c r="D927" s="62" t="n">
        <v>1</v>
      </c>
      <c r="E927" s="62" t="n">
        <v>11.86</v>
      </c>
      <c r="F927" s="62" t="s">
        <v>5</v>
      </c>
      <c r="G927" s="29" t="s">
        <v>29</v>
      </c>
      <c r="H927" s="29" t="s">
        <v>34</v>
      </c>
    </row>
    <row r="928" customFormat="false" ht="14.25" hidden="false" customHeight="false" outlineLevel="0" collapsed="false">
      <c r="A928" s="1" t="n">
        <v>1931</v>
      </c>
      <c r="B928" s="30" t="n">
        <v>43279</v>
      </c>
      <c r="C928" s="29" t="s">
        <v>39</v>
      </c>
      <c r="D928" s="62" t="n">
        <v>27</v>
      </c>
      <c r="E928" s="62" t="n">
        <v>145.37</v>
      </c>
      <c r="F928" s="62" t="s">
        <v>5</v>
      </c>
      <c r="G928" s="29" t="s">
        <v>29</v>
      </c>
      <c r="H928" s="29" t="s">
        <v>36</v>
      </c>
    </row>
    <row r="929" customFormat="false" ht="14.25" hidden="false" customHeight="false" outlineLevel="0" collapsed="false">
      <c r="A929" s="1" t="n">
        <v>1932</v>
      </c>
      <c r="B929" s="30" t="n">
        <v>43293</v>
      </c>
      <c r="C929" s="29" t="s">
        <v>28</v>
      </c>
      <c r="D929" s="62" t="n">
        <v>36</v>
      </c>
      <c r="E929" s="62" t="n">
        <v>235.88</v>
      </c>
      <c r="F929" s="62" t="s">
        <v>6</v>
      </c>
      <c r="G929" s="29" t="s">
        <v>29</v>
      </c>
      <c r="H929" s="29" t="s">
        <v>35</v>
      </c>
    </row>
    <row r="930" customFormat="false" ht="14.25" hidden="false" customHeight="false" outlineLevel="0" collapsed="false">
      <c r="A930" s="1" t="n">
        <v>1933</v>
      </c>
      <c r="B930" s="30" t="n">
        <v>43385</v>
      </c>
      <c r="C930" s="29" t="s">
        <v>28</v>
      </c>
      <c r="D930" s="62" t="n">
        <v>25</v>
      </c>
      <c r="E930" s="62" t="n">
        <v>415.92</v>
      </c>
      <c r="F930" s="62" t="s">
        <v>4</v>
      </c>
      <c r="G930" s="29" t="s">
        <v>29</v>
      </c>
      <c r="H930" s="29" t="s">
        <v>34</v>
      </c>
    </row>
    <row r="931" customFormat="false" ht="14.25" hidden="false" customHeight="false" outlineLevel="0" collapsed="false">
      <c r="A931" s="1" t="n">
        <v>1934</v>
      </c>
      <c r="B931" s="30" t="n">
        <v>43345</v>
      </c>
      <c r="C931" s="29" t="s">
        <v>21</v>
      </c>
      <c r="D931" s="62" t="n">
        <v>8</v>
      </c>
      <c r="E931" s="62" t="n">
        <v>492.83</v>
      </c>
      <c r="F931" s="62" t="s">
        <v>3</v>
      </c>
      <c r="G931" s="29" t="s">
        <v>24</v>
      </c>
      <c r="H931" s="29" t="s">
        <v>25</v>
      </c>
    </row>
    <row r="932" customFormat="false" ht="14.25" hidden="false" customHeight="false" outlineLevel="0" collapsed="false">
      <c r="A932" s="1" t="n">
        <v>1935</v>
      </c>
      <c r="B932" s="30" t="n">
        <v>43287</v>
      </c>
      <c r="C932" s="29" t="s">
        <v>21</v>
      </c>
      <c r="D932" s="62" t="n">
        <v>3</v>
      </c>
      <c r="E932" s="62" t="n">
        <v>9814.38</v>
      </c>
      <c r="F932" s="62" t="s">
        <v>3</v>
      </c>
      <c r="G932" s="29" t="s">
        <v>24</v>
      </c>
      <c r="H932" s="29" t="s">
        <v>42</v>
      </c>
    </row>
    <row r="933" customFormat="false" ht="14.25" hidden="false" customHeight="false" outlineLevel="0" collapsed="false">
      <c r="A933" s="1" t="n">
        <v>1936</v>
      </c>
      <c r="B933" s="30" t="n">
        <v>43287</v>
      </c>
      <c r="C933" s="29" t="s">
        <v>21</v>
      </c>
      <c r="D933" s="62" t="n">
        <v>23</v>
      </c>
      <c r="E933" s="62" t="n">
        <v>1100.13</v>
      </c>
      <c r="F933" s="62" t="s">
        <v>3</v>
      </c>
      <c r="G933" s="29" t="s">
        <v>24</v>
      </c>
      <c r="H933" s="29" t="s">
        <v>25</v>
      </c>
    </row>
    <row r="934" customFormat="false" ht="14.25" hidden="false" customHeight="false" outlineLevel="0" collapsed="false">
      <c r="A934" s="1" t="n">
        <v>1937</v>
      </c>
      <c r="B934" s="30" t="n">
        <v>43177</v>
      </c>
      <c r="C934" s="29" t="s">
        <v>31</v>
      </c>
      <c r="D934" s="62" t="n">
        <v>31</v>
      </c>
      <c r="E934" s="62" t="n">
        <v>168.84</v>
      </c>
      <c r="F934" s="62" t="s">
        <v>4</v>
      </c>
      <c r="G934" s="29" t="s">
        <v>29</v>
      </c>
      <c r="H934" s="29" t="s">
        <v>36</v>
      </c>
    </row>
    <row r="935" customFormat="false" ht="14.25" hidden="false" customHeight="false" outlineLevel="0" collapsed="false">
      <c r="A935" s="1" t="n">
        <v>1938</v>
      </c>
      <c r="B935" s="30" t="n">
        <v>43227</v>
      </c>
      <c r="C935" s="29" t="s">
        <v>28</v>
      </c>
      <c r="D935" s="62" t="n">
        <v>19</v>
      </c>
      <c r="E935" s="62" t="n">
        <v>402.54</v>
      </c>
      <c r="F935" s="62" t="s">
        <v>5</v>
      </c>
      <c r="G935" s="29" t="s">
        <v>29</v>
      </c>
      <c r="H935" s="29" t="s">
        <v>34</v>
      </c>
    </row>
    <row r="936" customFormat="false" ht="14.25" hidden="false" customHeight="false" outlineLevel="0" collapsed="false">
      <c r="A936" s="1" t="n">
        <v>1939</v>
      </c>
      <c r="B936" s="30" t="n">
        <v>43318</v>
      </c>
      <c r="C936" s="29" t="s">
        <v>21</v>
      </c>
      <c r="D936" s="62" t="n">
        <v>48</v>
      </c>
      <c r="E936" s="62" t="n">
        <v>413.01</v>
      </c>
      <c r="F936" s="62" t="s">
        <v>6</v>
      </c>
      <c r="G936" s="29" t="s">
        <v>29</v>
      </c>
      <c r="H936" s="29" t="s">
        <v>41</v>
      </c>
    </row>
    <row r="937" customFormat="false" ht="14.25" hidden="false" customHeight="false" outlineLevel="0" collapsed="false">
      <c r="A937" s="1" t="n">
        <v>1940</v>
      </c>
      <c r="B937" s="30" t="n">
        <v>43334</v>
      </c>
      <c r="C937" s="29" t="s">
        <v>21</v>
      </c>
      <c r="D937" s="62" t="n">
        <v>15</v>
      </c>
      <c r="E937" s="62" t="n">
        <v>5666.92</v>
      </c>
      <c r="F937" s="62" t="s">
        <v>5</v>
      </c>
      <c r="G937" s="29" t="s">
        <v>29</v>
      </c>
      <c r="H937" s="29" t="s">
        <v>41</v>
      </c>
    </row>
    <row r="938" customFormat="false" ht="14.25" hidden="false" customHeight="false" outlineLevel="0" collapsed="false">
      <c r="A938" s="1" t="n">
        <v>1941</v>
      </c>
      <c r="B938" s="30" t="n">
        <v>43178</v>
      </c>
      <c r="C938" s="29" t="s">
        <v>28</v>
      </c>
      <c r="D938" s="62" t="n">
        <v>1</v>
      </c>
      <c r="E938" s="62" t="n">
        <v>8.17</v>
      </c>
      <c r="F938" s="62" t="s">
        <v>4</v>
      </c>
      <c r="G938" s="29" t="s">
        <v>29</v>
      </c>
      <c r="H938" s="29" t="s">
        <v>36</v>
      </c>
    </row>
    <row r="939" customFormat="false" ht="14.25" hidden="false" customHeight="false" outlineLevel="0" collapsed="false">
      <c r="A939" s="1" t="n">
        <v>1942</v>
      </c>
      <c r="B939" s="30" t="n">
        <v>43178</v>
      </c>
      <c r="C939" s="29" t="s">
        <v>28</v>
      </c>
      <c r="D939" s="62" t="n">
        <v>44</v>
      </c>
      <c r="E939" s="62" t="n">
        <v>23039.52</v>
      </c>
      <c r="F939" s="62" t="s">
        <v>4</v>
      </c>
      <c r="G939" s="29" t="s">
        <v>24</v>
      </c>
      <c r="H939" s="29" t="s">
        <v>42</v>
      </c>
    </row>
    <row r="940" customFormat="false" ht="14.25" hidden="false" customHeight="false" outlineLevel="0" collapsed="false">
      <c r="A940" s="1" t="n">
        <v>1943</v>
      </c>
      <c r="B940" s="30" t="n">
        <v>43440</v>
      </c>
      <c r="C940" s="29" t="s">
        <v>37</v>
      </c>
      <c r="D940" s="62" t="n">
        <v>1</v>
      </c>
      <c r="E940" s="62" t="n">
        <v>38.95</v>
      </c>
      <c r="F940" s="62" t="s">
        <v>5</v>
      </c>
      <c r="G940" s="29" t="s">
        <v>29</v>
      </c>
      <c r="H940" s="29" t="s">
        <v>34</v>
      </c>
    </row>
    <row r="941" customFormat="false" ht="14.25" hidden="false" customHeight="false" outlineLevel="0" collapsed="false">
      <c r="A941" s="1" t="n">
        <v>1944</v>
      </c>
      <c r="B941" s="30" t="n">
        <v>43440</v>
      </c>
      <c r="C941" s="29" t="s">
        <v>37</v>
      </c>
      <c r="D941" s="62" t="n">
        <v>36</v>
      </c>
      <c r="E941" s="62" t="n">
        <v>188.69</v>
      </c>
      <c r="F941" s="62" t="s">
        <v>5</v>
      </c>
      <c r="G941" s="29" t="s">
        <v>29</v>
      </c>
      <c r="H941" s="29" t="s">
        <v>36</v>
      </c>
    </row>
    <row r="942" customFormat="false" ht="14.25" hidden="false" customHeight="false" outlineLevel="0" collapsed="false">
      <c r="A942" s="1" t="n">
        <v>1945</v>
      </c>
      <c r="B942" s="30" t="n">
        <v>43384</v>
      </c>
      <c r="C942" s="29" t="s">
        <v>28</v>
      </c>
      <c r="D942" s="62" t="n">
        <v>33</v>
      </c>
      <c r="E942" s="62" t="n">
        <v>298.16</v>
      </c>
      <c r="F942" s="62" t="s">
        <v>5</v>
      </c>
      <c r="G942" s="29" t="s">
        <v>24</v>
      </c>
      <c r="H942" s="29" t="s">
        <v>26</v>
      </c>
    </row>
    <row r="943" customFormat="false" ht="14.25" hidden="false" customHeight="false" outlineLevel="0" collapsed="false">
      <c r="A943" s="1" t="n">
        <v>1946</v>
      </c>
      <c r="B943" s="30" t="n">
        <v>43117</v>
      </c>
      <c r="C943" s="29" t="s">
        <v>21</v>
      </c>
      <c r="D943" s="62" t="n">
        <v>41</v>
      </c>
      <c r="E943" s="62" t="n">
        <v>246.41</v>
      </c>
      <c r="F943" s="62" t="s">
        <v>4</v>
      </c>
      <c r="G943" s="29" t="s">
        <v>29</v>
      </c>
      <c r="H943" s="29" t="s">
        <v>34</v>
      </c>
    </row>
    <row r="944" customFormat="false" ht="14.25" hidden="false" customHeight="false" outlineLevel="0" collapsed="false">
      <c r="A944" s="1" t="n">
        <v>1947</v>
      </c>
      <c r="B944" s="30" t="n">
        <v>43117</v>
      </c>
      <c r="C944" s="29" t="s">
        <v>21</v>
      </c>
      <c r="D944" s="62" t="n">
        <v>27</v>
      </c>
      <c r="E944" s="62" t="n">
        <v>1703.48</v>
      </c>
      <c r="F944" s="62" t="s">
        <v>4</v>
      </c>
      <c r="G944" s="29" t="s">
        <v>24</v>
      </c>
      <c r="H944" s="29" t="s">
        <v>25</v>
      </c>
    </row>
    <row r="945" customFormat="false" ht="14.25" hidden="false" customHeight="false" outlineLevel="0" collapsed="false">
      <c r="A945" s="1" t="n">
        <v>1948</v>
      </c>
      <c r="B945" s="30" t="n">
        <v>43326</v>
      </c>
      <c r="C945" s="29" t="s">
        <v>21</v>
      </c>
      <c r="D945" s="62" t="n">
        <v>26</v>
      </c>
      <c r="E945" s="62" t="n">
        <v>173.3</v>
      </c>
      <c r="F945" s="62" t="s">
        <v>5</v>
      </c>
      <c r="G945" s="29" t="s">
        <v>29</v>
      </c>
      <c r="H945" s="29" t="s">
        <v>36</v>
      </c>
    </row>
    <row r="946" customFormat="false" ht="14.25" hidden="false" customHeight="false" outlineLevel="0" collapsed="false">
      <c r="A946" s="1" t="n">
        <v>1949</v>
      </c>
      <c r="B946" s="30" t="n">
        <v>43375</v>
      </c>
      <c r="C946" s="29" t="s">
        <v>31</v>
      </c>
      <c r="D946" s="62" t="n">
        <v>17</v>
      </c>
      <c r="E946" s="62" t="n">
        <v>1842.16</v>
      </c>
      <c r="F946" s="62" t="s">
        <v>5</v>
      </c>
      <c r="G946" s="29" t="s">
        <v>24</v>
      </c>
      <c r="H946" s="29" t="s">
        <v>25</v>
      </c>
    </row>
    <row r="947" customFormat="false" ht="14.25" hidden="false" customHeight="false" outlineLevel="0" collapsed="false">
      <c r="A947" s="1" t="n">
        <v>1950</v>
      </c>
      <c r="B947" s="30" t="n">
        <v>43375</v>
      </c>
      <c r="C947" s="29" t="s">
        <v>31</v>
      </c>
      <c r="D947" s="62" t="n">
        <v>50</v>
      </c>
      <c r="E947" s="62" t="n">
        <v>442.31</v>
      </c>
      <c r="F947" s="62" t="s">
        <v>5</v>
      </c>
      <c r="G947" s="29" t="s">
        <v>29</v>
      </c>
      <c r="H947" s="29" t="s">
        <v>32</v>
      </c>
    </row>
    <row r="948" customFormat="false" ht="14.25" hidden="false" customHeight="false" outlineLevel="0" collapsed="false">
      <c r="A948" s="1" t="n">
        <v>1951</v>
      </c>
      <c r="B948" s="30" t="n">
        <v>43158</v>
      </c>
      <c r="C948" s="29" t="s">
        <v>28</v>
      </c>
      <c r="D948" s="62" t="n">
        <v>13</v>
      </c>
      <c r="E948" s="62" t="n">
        <v>75.04</v>
      </c>
      <c r="F948" s="62" t="s">
        <v>6</v>
      </c>
      <c r="G948" s="29" t="s">
        <v>29</v>
      </c>
      <c r="H948" s="29" t="s">
        <v>36</v>
      </c>
    </row>
    <row r="949" customFormat="false" ht="14.25" hidden="false" customHeight="false" outlineLevel="0" collapsed="false">
      <c r="A949" s="1" t="n">
        <v>1952</v>
      </c>
      <c r="B949" s="30" t="n">
        <v>43158</v>
      </c>
      <c r="C949" s="29" t="s">
        <v>28</v>
      </c>
      <c r="D949" s="62" t="n">
        <v>5</v>
      </c>
      <c r="E949" s="62" t="n">
        <v>63.94</v>
      </c>
      <c r="F949" s="62" t="s">
        <v>6</v>
      </c>
      <c r="G949" s="29" t="s">
        <v>29</v>
      </c>
      <c r="H949" s="29" t="s">
        <v>32</v>
      </c>
    </row>
    <row r="950" customFormat="false" ht="14.25" hidden="false" customHeight="false" outlineLevel="0" collapsed="false">
      <c r="A950" s="1" t="n">
        <v>1953</v>
      </c>
      <c r="B950" s="30" t="n">
        <v>43140</v>
      </c>
      <c r="C950" s="29" t="s">
        <v>39</v>
      </c>
      <c r="D950" s="62" t="n">
        <v>48</v>
      </c>
      <c r="E950" s="62" t="n">
        <v>2326.63</v>
      </c>
      <c r="F950" s="62" t="s">
        <v>6</v>
      </c>
      <c r="G950" s="29" t="s">
        <v>24</v>
      </c>
      <c r="H950" s="29" t="s">
        <v>25</v>
      </c>
    </row>
    <row r="951" customFormat="false" ht="14.25" hidden="false" customHeight="false" outlineLevel="0" collapsed="false">
      <c r="A951" s="1" t="n">
        <v>1954</v>
      </c>
      <c r="B951" s="30" t="n">
        <v>43191</v>
      </c>
      <c r="C951" s="29" t="s">
        <v>37</v>
      </c>
      <c r="D951" s="62" t="n">
        <v>14</v>
      </c>
      <c r="E951" s="62" t="n">
        <v>104.79</v>
      </c>
      <c r="F951" s="62" t="s">
        <v>4</v>
      </c>
      <c r="G951" s="29" t="s">
        <v>29</v>
      </c>
      <c r="H951" s="29" t="s">
        <v>41</v>
      </c>
    </row>
    <row r="952" customFormat="false" ht="14.25" hidden="false" customHeight="false" outlineLevel="0" collapsed="false">
      <c r="A952" s="1" t="n">
        <v>1955</v>
      </c>
      <c r="B952" s="30" t="n">
        <v>43191</v>
      </c>
      <c r="C952" s="29" t="s">
        <v>37</v>
      </c>
      <c r="D952" s="62" t="n">
        <v>46</v>
      </c>
      <c r="E952" s="62" t="n">
        <v>521.63</v>
      </c>
      <c r="F952" s="62" t="s">
        <v>4</v>
      </c>
      <c r="G952" s="29" t="s">
        <v>29</v>
      </c>
      <c r="H952" s="29" t="s">
        <v>32</v>
      </c>
    </row>
    <row r="953" customFormat="false" ht="14.25" hidden="false" customHeight="false" outlineLevel="0" collapsed="false">
      <c r="A953" s="1" t="n">
        <v>1956</v>
      </c>
      <c r="B953" s="30" t="n">
        <v>43191</v>
      </c>
      <c r="C953" s="29" t="s">
        <v>37</v>
      </c>
      <c r="D953" s="62" t="n">
        <v>4</v>
      </c>
      <c r="E953" s="62" t="n">
        <v>27.31</v>
      </c>
      <c r="F953" s="62" t="s">
        <v>4</v>
      </c>
      <c r="G953" s="29" t="s">
        <v>29</v>
      </c>
      <c r="H953" s="29" t="s">
        <v>34</v>
      </c>
    </row>
    <row r="954" customFormat="false" ht="14.25" hidden="false" customHeight="false" outlineLevel="0" collapsed="false">
      <c r="A954" s="1" t="n">
        <v>1957</v>
      </c>
      <c r="B954" s="30" t="n">
        <v>43189</v>
      </c>
      <c r="C954" s="29" t="s">
        <v>21</v>
      </c>
      <c r="D954" s="62" t="n">
        <v>9</v>
      </c>
      <c r="E954" s="62" t="n">
        <v>63.5</v>
      </c>
      <c r="F954" s="62" t="s">
        <v>3</v>
      </c>
      <c r="G954" s="29" t="s">
        <v>29</v>
      </c>
      <c r="H954" s="29" t="s">
        <v>36</v>
      </c>
    </row>
    <row r="955" customFormat="false" ht="14.25" hidden="false" customHeight="false" outlineLevel="0" collapsed="false">
      <c r="A955" s="1" t="n">
        <v>1958</v>
      </c>
      <c r="B955" s="30" t="n">
        <v>43302</v>
      </c>
      <c r="C955" s="29" t="s">
        <v>37</v>
      </c>
      <c r="D955" s="62" t="n">
        <v>43</v>
      </c>
      <c r="E955" s="62" t="n">
        <v>927.4</v>
      </c>
      <c r="F955" s="62" t="s">
        <v>4</v>
      </c>
      <c r="G955" s="29" t="s">
        <v>24</v>
      </c>
      <c r="H955" s="29" t="s">
        <v>26</v>
      </c>
    </row>
    <row r="956" customFormat="false" ht="14.25" hidden="false" customHeight="false" outlineLevel="0" collapsed="false">
      <c r="A956" s="1" t="n">
        <v>1959</v>
      </c>
      <c r="B956" s="30" t="n">
        <v>43302</v>
      </c>
      <c r="C956" s="29" t="s">
        <v>37</v>
      </c>
      <c r="D956" s="62" t="n">
        <v>6</v>
      </c>
      <c r="E956" s="62" t="n">
        <v>687.39</v>
      </c>
      <c r="F956" s="62" t="s">
        <v>4</v>
      </c>
      <c r="G956" s="29" t="s">
        <v>29</v>
      </c>
      <c r="H956" s="29" t="s">
        <v>36</v>
      </c>
    </row>
    <row r="957" customFormat="false" ht="14.25" hidden="false" customHeight="false" outlineLevel="0" collapsed="false">
      <c r="A957" s="1" t="n">
        <v>1960</v>
      </c>
      <c r="B957" s="30" t="n">
        <v>43302</v>
      </c>
      <c r="C957" s="29" t="s">
        <v>37</v>
      </c>
      <c r="D957" s="62" t="n">
        <v>26</v>
      </c>
      <c r="E957" s="62" t="n">
        <v>2321.64</v>
      </c>
      <c r="F957" s="62" t="s">
        <v>4</v>
      </c>
      <c r="G957" s="29" t="s">
        <v>24</v>
      </c>
      <c r="H957" s="29" t="s">
        <v>25</v>
      </c>
    </row>
    <row r="958" customFormat="false" ht="14.25" hidden="false" customHeight="false" outlineLevel="0" collapsed="false">
      <c r="A958" s="1" t="n">
        <v>1961</v>
      </c>
      <c r="B958" s="30" t="n">
        <v>43413</v>
      </c>
      <c r="C958" s="29" t="s">
        <v>21</v>
      </c>
      <c r="D958" s="62" t="n">
        <v>27</v>
      </c>
      <c r="E958" s="62" t="n">
        <v>1235.73</v>
      </c>
      <c r="F958" s="62" t="s">
        <v>4</v>
      </c>
      <c r="G958" s="29" t="s">
        <v>24</v>
      </c>
      <c r="H958" s="29" t="s">
        <v>26</v>
      </c>
    </row>
    <row r="959" customFormat="false" ht="14.25" hidden="false" customHeight="false" outlineLevel="0" collapsed="false">
      <c r="A959" s="1" t="n">
        <v>1962</v>
      </c>
      <c r="B959" s="30" t="n">
        <v>43413</v>
      </c>
      <c r="C959" s="29" t="s">
        <v>21</v>
      </c>
      <c r="D959" s="62" t="n">
        <v>35</v>
      </c>
      <c r="E959" s="62" t="n">
        <v>3542.71</v>
      </c>
      <c r="F959" s="62" t="s">
        <v>4</v>
      </c>
      <c r="G959" s="29" t="s">
        <v>24</v>
      </c>
      <c r="H959" s="29" t="s">
        <v>25</v>
      </c>
    </row>
    <row r="960" customFormat="false" ht="14.25" hidden="false" customHeight="false" outlineLevel="0" collapsed="false">
      <c r="A960" s="1" t="n">
        <v>1963</v>
      </c>
      <c r="B960" s="30" t="n">
        <v>43247</v>
      </c>
      <c r="C960" s="29" t="s">
        <v>39</v>
      </c>
      <c r="D960" s="62" t="n">
        <v>44</v>
      </c>
      <c r="E960" s="62" t="n">
        <v>263.22</v>
      </c>
      <c r="F960" s="62" t="s">
        <v>4</v>
      </c>
      <c r="G960" s="29" t="s">
        <v>29</v>
      </c>
      <c r="H960" s="29" t="s">
        <v>36</v>
      </c>
    </row>
    <row r="961" customFormat="false" ht="14.25" hidden="false" customHeight="false" outlineLevel="0" collapsed="false">
      <c r="A961" s="1" t="n">
        <v>1964</v>
      </c>
      <c r="B961" s="30" t="n">
        <v>43437</v>
      </c>
      <c r="C961" s="29" t="s">
        <v>28</v>
      </c>
      <c r="D961" s="62" t="n">
        <v>37</v>
      </c>
      <c r="E961" s="62" t="n">
        <v>6497.24</v>
      </c>
      <c r="F961" s="62" t="s">
        <v>5</v>
      </c>
      <c r="G961" s="29" t="s">
        <v>24</v>
      </c>
      <c r="H961" s="29" t="s">
        <v>25</v>
      </c>
    </row>
    <row r="962" customFormat="false" ht="14.25" hidden="false" customHeight="false" outlineLevel="0" collapsed="false">
      <c r="A962" s="1" t="n">
        <v>1965</v>
      </c>
      <c r="B962" s="30" t="n">
        <v>43361</v>
      </c>
      <c r="C962" s="29" t="s">
        <v>31</v>
      </c>
      <c r="D962" s="62" t="n">
        <v>41</v>
      </c>
      <c r="E962" s="62" t="n">
        <v>7344.43</v>
      </c>
      <c r="F962" s="62" t="s">
        <v>3</v>
      </c>
      <c r="G962" s="29" t="s">
        <v>29</v>
      </c>
      <c r="H962" s="29" t="s">
        <v>38</v>
      </c>
    </row>
    <row r="963" customFormat="false" ht="14.25" hidden="false" customHeight="false" outlineLevel="0" collapsed="false">
      <c r="A963" s="1" t="n">
        <v>1966</v>
      </c>
      <c r="B963" s="30" t="n">
        <v>43135</v>
      </c>
      <c r="C963" s="29" t="s">
        <v>31</v>
      </c>
      <c r="D963" s="62" t="n">
        <v>43</v>
      </c>
      <c r="E963" s="62" t="n">
        <v>18330.56</v>
      </c>
      <c r="F963" s="62" t="s">
        <v>4</v>
      </c>
      <c r="G963" s="29" t="s">
        <v>24</v>
      </c>
      <c r="H963" s="29" t="s">
        <v>42</v>
      </c>
    </row>
    <row r="964" customFormat="false" ht="14.25" hidden="false" customHeight="false" outlineLevel="0" collapsed="false">
      <c r="A964" s="1" t="n">
        <v>1967</v>
      </c>
      <c r="B964" s="30" t="n">
        <v>43166</v>
      </c>
      <c r="C964" s="29" t="s">
        <v>28</v>
      </c>
      <c r="D964" s="62" t="n">
        <v>40</v>
      </c>
      <c r="E964" s="62" t="n">
        <v>312.09</v>
      </c>
      <c r="F964" s="62" t="s">
        <v>6</v>
      </c>
      <c r="G964" s="29" t="s">
        <v>29</v>
      </c>
      <c r="H964" s="29" t="s">
        <v>34</v>
      </c>
    </row>
    <row r="965" customFormat="false" ht="14.25" hidden="false" customHeight="false" outlineLevel="0" collapsed="false">
      <c r="A965" s="1" t="n">
        <v>1968</v>
      </c>
      <c r="B965" s="30" t="n">
        <v>43303</v>
      </c>
      <c r="C965" s="29" t="s">
        <v>39</v>
      </c>
      <c r="D965" s="62" t="n">
        <v>3</v>
      </c>
      <c r="E965" s="62" t="n">
        <v>62.73</v>
      </c>
      <c r="F965" s="62" t="s">
        <v>6</v>
      </c>
      <c r="G965" s="29" t="s">
        <v>24</v>
      </c>
      <c r="H965" s="29" t="s">
        <v>26</v>
      </c>
    </row>
    <row r="966" customFormat="false" ht="14.25" hidden="false" customHeight="false" outlineLevel="0" collapsed="false">
      <c r="A966" s="1" t="n">
        <v>1969</v>
      </c>
      <c r="B966" s="30" t="n">
        <v>43303</v>
      </c>
      <c r="C966" s="29" t="s">
        <v>39</v>
      </c>
      <c r="D966" s="62" t="n">
        <v>13</v>
      </c>
      <c r="E966" s="62" t="n">
        <v>101.64</v>
      </c>
      <c r="F966" s="62" t="s">
        <v>6</v>
      </c>
      <c r="G966" s="29" t="s">
        <v>29</v>
      </c>
      <c r="H966" s="29" t="s">
        <v>38</v>
      </c>
    </row>
    <row r="967" customFormat="false" ht="14.25" hidden="false" customHeight="false" outlineLevel="0" collapsed="false">
      <c r="A967" s="1" t="n">
        <v>1970</v>
      </c>
      <c r="B967" s="30" t="n">
        <v>43392</v>
      </c>
      <c r="C967" s="29" t="s">
        <v>21</v>
      </c>
      <c r="D967" s="62" t="n">
        <v>12</v>
      </c>
      <c r="E967" s="62" t="n">
        <v>2425.37</v>
      </c>
      <c r="F967" s="62" t="s">
        <v>5</v>
      </c>
      <c r="G967" s="29" t="s">
        <v>22</v>
      </c>
      <c r="H967" s="29" t="s">
        <v>40</v>
      </c>
    </row>
    <row r="968" customFormat="false" ht="14.25" hidden="false" customHeight="false" outlineLevel="0" collapsed="false">
      <c r="A968" s="1" t="n">
        <v>1971</v>
      </c>
      <c r="B968" s="30" t="n">
        <v>43263</v>
      </c>
      <c r="C968" s="29" t="s">
        <v>39</v>
      </c>
      <c r="D968" s="62" t="n">
        <v>47</v>
      </c>
      <c r="E968" s="62" t="n">
        <v>323.88</v>
      </c>
      <c r="F968" s="62" t="s">
        <v>4</v>
      </c>
      <c r="G968" s="29" t="s">
        <v>29</v>
      </c>
      <c r="H968" s="29" t="s">
        <v>36</v>
      </c>
    </row>
    <row r="969" customFormat="false" ht="14.25" hidden="false" customHeight="false" outlineLevel="0" collapsed="false">
      <c r="A969" s="1" t="n">
        <v>1972</v>
      </c>
      <c r="B969" s="30" t="n">
        <v>43263</v>
      </c>
      <c r="C969" s="29" t="s">
        <v>39</v>
      </c>
      <c r="D969" s="62" t="n">
        <v>12</v>
      </c>
      <c r="E969" s="62" t="n">
        <v>3377.56</v>
      </c>
      <c r="F969" s="62" t="s">
        <v>4</v>
      </c>
      <c r="G969" s="29" t="s">
        <v>22</v>
      </c>
      <c r="H969" s="29" t="s">
        <v>40</v>
      </c>
    </row>
    <row r="970" customFormat="false" ht="14.25" hidden="false" customHeight="false" outlineLevel="0" collapsed="false">
      <c r="A970" s="1" t="n">
        <v>1973</v>
      </c>
      <c r="B970" s="30" t="n">
        <v>43436</v>
      </c>
      <c r="C970" s="29" t="s">
        <v>39</v>
      </c>
      <c r="D970" s="62" t="n">
        <v>11</v>
      </c>
      <c r="E970" s="62" t="n">
        <v>660.42</v>
      </c>
      <c r="F970" s="62" t="s">
        <v>3</v>
      </c>
      <c r="G970" s="29" t="s">
        <v>24</v>
      </c>
      <c r="H970" s="29" t="s">
        <v>25</v>
      </c>
    </row>
    <row r="971" customFormat="false" ht="14.25" hidden="false" customHeight="false" outlineLevel="0" collapsed="false">
      <c r="A971" s="1" t="n">
        <v>1974</v>
      </c>
      <c r="B971" s="30" t="n">
        <v>43374</v>
      </c>
      <c r="C971" s="29" t="s">
        <v>28</v>
      </c>
      <c r="D971" s="62" t="n">
        <v>31</v>
      </c>
      <c r="E971" s="62" t="n">
        <v>150.54</v>
      </c>
      <c r="F971" s="62" t="s">
        <v>4</v>
      </c>
      <c r="G971" s="29" t="s">
        <v>29</v>
      </c>
      <c r="H971" s="29" t="s">
        <v>33</v>
      </c>
    </row>
    <row r="972" customFormat="false" ht="14.25" hidden="false" customHeight="false" outlineLevel="0" collapsed="false">
      <c r="A972" s="1" t="n">
        <v>1975</v>
      </c>
      <c r="B972" s="30" t="n">
        <v>43374</v>
      </c>
      <c r="C972" s="29" t="s">
        <v>28</v>
      </c>
      <c r="D972" s="62" t="n">
        <v>40</v>
      </c>
      <c r="E972" s="62" t="n">
        <v>8334.9</v>
      </c>
      <c r="F972" s="62" t="s">
        <v>4</v>
      </c>
      <c r="G972" s="29" t="s">
        <v>22</v>
      </c>
      <c r="H972" s="29" t="s">
        <v>40</v>
      </c>
    </row>
    <row r="973" customFormat="false" ht="14.25" hidden="false" customHeight="false" outlineLevel="0" collapsed="false">
      <c r="A973" s="1" t="n">
        <v>1976</v>
      </c>
      <c r="B973" s="30" t="n">
        <v>43374</v>
      </c>
      <c r="C973" s="29" t="s">
        <v>28</v>
      </c>
      <c r="D973" s="62" t="n">
        <v>20</v>
      </c>
      <c r="E973" s="62" t="n">
        <v>16803.09</v>
      </c>
      <c r="F973" s="62" t="s">
        <v>4</v>
      </c>
      <c r="G973" s="29" t="s">
        <v>24</v>
      </c>
      <c r="H973" s="29" t="s">
        <v>42</v>
      </c>
    </row>
    <row r="974" customFormat="false" ht="14.25" hidden="false" customHeight="false" outlineLevel="0" collapsed="false">
      <c r="A974" s="1" t="n">
        <v>1977</v>
      </c>
      <c r="B974" s="30" t="n">
        <v>43280</v>
      </c>
      <c r="C974" s="29" t="s">
        <v>28</v>
      </c>
      <c r="D974" s="62" t="n">
        <v>21</v>
      </c>
      <c r="E974" s="62" t="n">
        <v>3160.93</v>
      </c>
      <c r="F974" s="62" t="s">
        <v>4</v>
      </c>
      <c r="G974" s="29" t="s">
        <v>29</v>
      </c>
      <c r="H974" s="29" t="s">
        <v>38</v>
      </c>
    </row>
    <row r="975" customFormat="false" ht="14.25" hidden="false" customHeight="false" outlineLevel="0" collapsed="false">
      <c r="A975" s="1" t="n">
        <v>1978</v>
      </c>
      <c r="B975" s="30" t="n">
        <v>43280</v>
      </c>
      <c r="C975" s="29" t="s">
        <v>28</v>
      </c>
      <c r="D975" s="62" t="n">
        <v>34</v>
      </c>
      <c r="E975" s="62" t="n">
        <v>3611.58</v>
      </c>
      <c r="F975" s="62" t="s">
        <v>4</v>
      </c>
      <c r="G975" s="29" t="s">
        <v>24</v>
      </c>
      <c r="H975" s="29" t="s">
        <v>25</v>
      </c>
    </row>
    <row r="976" customFormat="false" ht="14.25" hidden="false" customHeight="false" outlineLevel="0" collapsed="false">
      <c r="A976" s="1" t="n">
        <v>1979</v>
      </c>
      <c r="B976" s="30" t="n">
        <v>43375</v>
      </c>
      <c r="C976" s="29" t="s">
        <v>37</v>
      </c>
      <c r="D976" s="62" t="n">
        <v>17</v>
      </c>
      <c r="E976" s="62" t="n">
        <v>5481.19</v>
      </c>
      <c r="F976" s="62" t="s">
        <v>3</v>
      </c>
      <c r="G976" s="29" t="s">
        <v>29</v>
      </c>
      <c r="H976" s="29" t="s">
        <v>34</v>
      </c>
    </row>
    <row r="977" customFormat="false" ht="14.25" hidden="false" customHeight="false" outlineLevel="0" collapsed="false">
      <c r="A977" s="1" t="n">
        <v>1980</v>
      </c>
      <c r="B977" s="30" t="n">
        <v>43421</v>
      </c>
      <c r="C977" s="29" t="s">
        <v>37</v>
      </c>
      <c r="D977" s="62" t="n">
        <v>28</v>
      </c>
      <c r="E977" s="62" t="n">
        <v>208.77</v>
      </c>
      <c r="F977" s="62" t="s">
        <v>4</v>
      </c>
      <c r="G977" s="29" t="s">
        <v>29</v>
      </c>
      <c r="H977" s="29" t="s">
        <v>36</v>
      </c>
    </row>
    <row r="978" customFormat="false" ht="14.25" hidden="false" customHeight="false" outlineLevel="0" collapsed="false">
      <c r="A978" s="1" t="n">
        <v>1981</v>
      </c>
      <c r="B978" s="30" t="n">
        <v>43421</v>
      </c>
      <c r="C978" s="29" t="s">
        <v>37</v>
      </c>
      <c r="D978" s="62" t="n">
        <v>29</v>
      </c>
      <c r="E978" s="62" t="n">
        <v>2930.5</v>
      </c>
      <c r="F978" s="62" t="s">
        <v>4</v>
      </c>
      <c r="G978" s="29" t="s">
        <v>24</v>
      </c>
      <c r="H978" s="29" t="s">
        <v>25</v>
      </c>
    </row>
    <row r="979" customFormat="false" ht="14.25" hidden="false" customHeight="false" outlineLevel="0" collapsed="false">
      <c r="A979" s="1" t="n">
        <v>1982</v>
      </c>
      <c r="B979" s="30" t="n">
        <v>43421</v>
      </c>
      <c r="C979" s="29" t="s">
        <v>37</v>
      </c>
      <c r="D979" s="62" t="n">
        <v>30</v>
      </c>
      <c r="E979" s="62" t="n">
        <v>232.64</v>
      </c>
      <c r="F979" s="62" t="s">
        <v>4</v>
      </c>
      <c r="G979" s="29" t="s">
        <v>22</v>
      </c>
      <c r="H979" s="29" t="s">
        <v>23</v>
      </c>
    </row>
    <row r="980" customFormat="false" ht="14.25" hidden="false" customHeight="false" outlineLevel="0" collapsed="false">
      <c r="A980" s="1" t="n">
        <v>1983</v>
      </c>
      <c r="B980" s="30" t="n">
        <v>43421</v>
      </c>
      <c r="C980" s="29" t="s">
        <v>37</v>
      </c>
      <c r="D980" s="62" t="n">
        <v>20</v>
      </c>
      <c r="E980" s="62" t="n">
        <v>168.13</v>
      </c>
      <c r="F980" s="62" t="s">
        <v>4</v>
      </c>
      <c r="G980" s="29" t="s">
        <v>24</v>
      </c>
      <c r="H980" s="29" t="s">
        <v>26</v>
      </c>
    </row>
    <row r="981" customFormat="false" ht="14.25" hidden="false" customHeight="false" outlineLevel="0" collapsed="false">
      <c r="A981" s="1" t="n">
        <v>1984</v>
      </c>
      <c r="B981" s="30" t="n">
        <v>43112</v>
      </c>
      <c r="C981" s="29" t="s">
        <v>21</v>
      </c>
      <c r="D981" s="62" t="n">
        <v>23</v>
      </c>
      <c r="E981" s="62" t="n">
        <v>41.72</v>
      </c>
      <c r="F981" s="62" t="s">
        <v>5</v>
      </c>
      <c r="G981" s="29" t="s">
        <v>24</v>
      </c>
      <c r="H981" s="29" t="s">
        <v>26</v>
      </c>
    </row>
    <row r="982" customFormat="false" ht="14.25" hidden="false" customHeight="false" outlineLevel="0" collapsed="false">
      <c r="A982" s="1" t="n">
        <v>1985</v>
      </c>
      <c r="B982" s="30" t="n">
        <v>43264</v>
      </c>
      <c r="C982" s="29" t="s">
        <v>31</v>
      </c>
      <c r="D982" s="62" t="n">
        <v>8</v>
      </c>
      <c r="E982" s="62" t="n">
        <v>17.49</v>
      </c>
      <c r="F982" s="62" t="s">
        <v>3</v>
      </c>
      <c r="G982" s="29" t="s">
        <v>29</v>
      </c>
      <c r="H982" s="29" t="s">
        <v>34</v>
      </c>
    </row>
    <row r="983" customFormat="false" ht="14.25" hidden="false" customHeight="false" outlineLevel="0" collapsed="false">
      <c r="A983" s="1" t="n">
        <v>1986</v>
      </c>
      <c r="B983" s="30" t="n">
        <v>43264</v>
      </c>
      <c r="C983" s="29" t="s">
        <v>31</v>
      </c>
      <c r="D983" s="62" t="n">
        <v>46</v>
      </c>
      <c r="E983" s="62" t="n">
        <v>236.61</v>
      </c>
      <c r="F983" s="62" t="s">
        <v>3</v>
      </c>
      <c r="G983" s="29" t="s">
        <v>29</v>
      </c>
      <c r="H983" s="29" t="s">
        <v>34</v>
      </c>
    </row>
    <row r="984" customFormat="false" ht="14.25" hidden="false" customHeight="false" outlineLevel="0" collapsed="false">
      <c r="A984" s="1" t="n">
        <v>1987</v>
      </c>
      <c r="B984" s="30" t="n">
        <v>43204</v>
      </c>
      <c r="C984" s="29" t="s">
        <v>31</v>
      </c>
      <c r="D984" s="62" t="n">
        <v>22</v>
      </c>
      <c r="E984" s="62" t="n">
        <v>6552.62</v>
      </c>
      <c r="F984" s="62" t="s">
        <v>5</v>
      </c>
      <c r="G984" s="29" t="s">
        <v>22</v>
      </c>
      <c r="H984" s="29" t="s">
        <v>44</v>
      </c>
    </row>
    <row r="985" customFormat="false" ht="14.25" hidden="false" customHeight="false" outlineLevel="0" collapsed="false">
      <c r="A985" s="1" t="n">
        <v>1988</v>
      </c>
      <c r="B985" s="30" t="n">
        <v>43212</v>
      </c>
      <c r="C985" s="29" t="s">
        <v>21</v>
      </c>
      <c r="D985" s="62" t="n">
        <v>24</v>
      </c>
      <c r="E985" s="62" t="n">
        <v>238.82</v>
      </c>
      <c r="F985" s="62" t="s">
        <v>4</v>
      </c>
      <c r="G985" s="29" t="s">
        <v>29</v>
      </c>
      <c r="H985" s="29" t="s">
        <v>45</v>
      </c>
    </row>
    <row r="986" customFormat="false" ht="14.25" hidden="false" customHeight="false" outlineLevel="0" collapsed="false">
      <c r="A986" s="1" t="n">
        <v>1989</v>
      </c>
      <c r="B986" s="30" t="n">
        <v>43283</v>
      </c>
      <c r="C986" s="29" t="s">
        <v>21</v>
      </c>
      <c r="D986" s="62" t="n">
        <v>46</v>
      </c>
      <c r="E986" s="62" t="n">
        <v>29661.45</v>
      </c>
      <c r="F986" s="62" t="s">
        <v>3</v>
      </c>
      <c r="G986" s="29" t="s">
        <v>24</v>
      </c>
      <c r="H986" s="29" t="s">
        <v>43</v>
      </c>
    </row>
    <row r="987" customFormat="false" ht="14.25" hidden="false" customHeight="false" outlineLevel="0" collapsed="false">
      <c r="A987" s="1" t="n">
        <v>1990</v>
      </c>
      <c r="B987" s="30" t="n">
        <v>43283</v>
      </c>
      <c r="C987" s="29" t="s">
        <v>21</v>
      </c>
      <c r="D987" s="62" t="n">
        <v>29</v>
      </c>
      <c r="E987" s="62" t="n">
        <v>556.54</v>
      </c>
      <c r="F987" s="62" t="s">
        <v>3</v>
      </c>
      <c r="G987" s="29" t="s">
        <v>29</v>
      </c>
      <c r="H987" s="29" t="s">
        <v>36</v>
      </c>
    </row>
    <row r="988" customFormat="false" ht="14.25" hidden="false" customHeight="false" outlineLevel="0" collapsed="false">
      <c r="A988" s="1" t="n">
        <v>1991</v>
      </c>
      <c r="B988" s="30" t="n">
        <v>43206</v>
      </c>
      <c r="C988" s="29" t="s">
        <v>31</v>
      </c>
      <c r="D988" s="62" t="n">
        <v>8</v>
      </c>
      <c r="E988" s="62" t="n">
        <v>23.94</v>
      </c>
      <c r="F988" s="62" t="s">
        <v>4</v>
      </c>
      <c r="G988" s="29" t="s">
        <v>29</v>
      </c>
      <c r="H988" s="29" t="s">
        <v>30</v>
      </c>
    </row>
    <row r="989" customFormat="false" ht="14.25" hidden="false" customHeight="false" outlineLevel="0" collapsed="false">
      <c r="A989" s="1" t="n">
        <v>1992</v>
      </c>
      <c r="B989" s="30" t="n">
        <v>43463</v>
      </c>
      <c r="C989" s="29" t="s">
        <v>28</v>
      </c>
      <c r="D989" s="62" t="n">
        <v>44</v>
      </c>
      <c r="E989" s="62" t="n">
        <v>388.14</v>
      </c>
      <c r="F989" s="62" t="s">
        <v>6</v>
      </c>
      <c r="G989" s="29" t="s">
        <v>24</v>
      </c>
      <c r="H989" s="29" t="s">
        <v>26</v>
      </c>
    </row>
    <row r="990" customFormat="false" ht="14.25" hidden="false" customHeight="false" outlineLevel="0" collapsed="false">
      <c r="A990" s="1" t="n">
        <v>1993</v>
      </c>
      <c r="B990" s="30" t="n">
        <v>43463</v>
      </c>
      <c r="C990" s="29" t="s">
        <v>28</v>
      </c>
      <c r="D990" s="62" t="n">
        <v>29</v>
      </c>
      <c r="E990" s="62" t="n">
        <v>166.77</v>
      </c>
      <c r="F990" s="62" t="s">
        <v>6</v>
      </c>
      <c r="G990" s="29" t="s">
        <v>29</v>
      </c>
      <c r="H990" s="29" t="s">
        <v>36</v>
      </c>
    </row>
    <row r="991" customFormat="false" ht="14.25" hidden="false" customHeight="false" outlineLevel="0" collapsed="false">
      <c r="A991" s="1" t="n">
        <v>1994</v>
      </c>
      <c r="B991" s="30" t="n">
        <v>43135</v>
      </c>
      <c r="C991" s="29" t="s">
        <v>21</v>
      </c>
      <c r="D991" s="62" t="n">
        <v>48</v>
      </c>
      <c r="E991" s="62" t="n">
        <v>4443.77</v>
      </c>
      <c r="F991" s="62" t="s">
        <v>5</v>
      </c>
      <c r="G991" s="29" t="s">
        <v>29</v>
      </c>
      <c r="H991" s="29" t="s">
        <v>41</v>
      </c>
    </row>
    <row r="992" customFormat="false" ht="14.25" hidden="false" customHeight="false" outlineLevel="0" collapsed="false">
      <c r="A992" s="1" t="n">
        <v>1995</v>
      </c>
      <c r="B992" s="30" t="n">
        <v>43428</v>
      </c>
      <c r="C992" s="29" t="s">
        <v>21</v>
      </c>
      <c r="D992" s="62" t="n">
        <v>48</v>
      </c>
      <c r="E992" s="62" t="n">
        <v>8966.84</v>
      </c>
      <c r="F992" s="62" t="s">
        <v>6</v>
      </c>
      <c r="G992" s="29" t="s">
        <v>22</v>
      </c>
      <c r="H992" s="29" t="s">
        <v>44</v>
      </c>
    </row>
    <row r="993" customFormat="false" ht="14.25" hidden="false" customHeight="false" outlineLevel="0" collapsed="false">
      <c r="A993" s="1" t="n">
        <v>1996</v>
      </c>
      <c r="B993" s="30" t="n">
        <v>43428</v>
      </c>
      <c r="C993" s="29" t="s">
        <v>21</v>
      </c>
      <c r="D993" s="62" t="n">
        <v>49</v>
      </c>
      <c r="E993" s="62" t="n">
        <v>20677.96</v>
      </c>
      <c r="F993" s="62" t="s">
        <v>6</v>
      </c>
      <c r="G993" s="29" t="s">
        <v>29</v>
      </c>
      <c r="H993" s="29" t="s">
        <v>34</v>
      </c>
    </row>
    <row r="994" customFormat="false" ht="14.25" hidden="false" customHeight="false" outlineLevel="0" collapsed="false">
      <c r="A994" s="1" t="n">
        <v>1997</v>
      </c>
      <c r="B994" s="30" t="n">
        <v>43294</v>
      </c>
      <c r="C994" s="29" t="s">
        <v>31</v>
      </c>
      <c r="D994" s="62" t="n">
        <v>35</v>
      </c>
      <c r="E994" s="62" t="n">
        <v>991.52</v>
      </c>
      <c r="F994" s="62" t="s">
        <v>3</v>
      </c>
      <c r="G994" s="29" t="s">
        <v>24</v>
      </c>
      <c r="H994" s="29" t="s">
        <v>26</v>
      </c>
    </row>
    <row r="995" customFormat="false" ht="14.25" hidden="false" customHeight="false" outlineLevel="0" collapsed="false">
      <c r="A995" s="1" t="n">
        <v>1998</v>
      </c>
      <c r="B995" s="30" t="n">
        <v>43269</v>
      </c>
      <c r="C995" s="29" t="s">
        <v>37</v>
      </c>
      <c r="D995" s="62" t="n">
        <v>34</v>
      </c>
      <c r="E995" s="62" t="n">
        <v>229.66</v>
      </c>
      <c r="F995" s="62" t="s">
        <v>4</v>
      </c>
      <c r="G995" s="29" t="s">
        <v>29</v>
      </c>
      <c r="H995" s="29" t="s">
        <v>36</v>
      </c>
    </row>
    <row r="996" customFormat="false" ht="14.25" hidden="false" customHeight="false" outlineLevel="0" collapsed="false">
      <c r="A996" s="1" t="n">
        <v>1999</v>
      </c>
      <c r="B996" s="30" t="n">
        <v>43137</v>
      </c>
      <c r="C996" s="29" t="s">
        <v>31</v>
      </c>
      <c r="D996" s="62" t="n">
        <v>42</v>
      </c>
      <c r="E996" s="62" t="n">
        <v>663.15</v>
      </c>
      <c r="F996" s="62" t="s">
        <v>5</v>
      </c>
      <c r="G996" s="29" t="s">
        <v>29</v>
      </c>
      <c r="H996" s="29" t="s">
        <v>34</v>
      </c>
    </row>
    <row r="997" customFormat="false" ht="14.25" hidden="false" customHeight="false" outlineLevel="0" collapsed="false">
      <c r="A997" s="1" t="n">
        <v>2000</v>
      </c>
      <c r="B997" s="30" t="n">
        <v>43105</v>
      </c>
      <c r="C997" s="29" t="s">
        <v>21</v>
      </c>
      <c r="D997" s="62" t="n">
        <v>32</v>
      </c>
      <c r="E997" s="62" t="n">
        <v>15901.34</v>
      </c>
      <c r="F997" s="62" t="s">
        <v>3</v>
      </c>
      <c r="G997" s="29" t="s">
        <v>22</v>
      </c>
      <c r="H997" s="29" t="s">
        <v>40</v>
      </c>
    </row>
    <row r="998" customFormat="false" ht="14.25" hidden="false" customHeight="false" outlineLevel="0" collapsed="false">
      <c r="A998" s="1" t="n">
        <v>2001</v>
      </c>
      <c r="B998" s="30" t="n">
        <v>43105</v>
      </c>
      <c r="C998" s="29" t="s">
        <v>21</v>
      </c>
      <c r="D998" s="62" t="n">
        <v>47</v>
      </c>
      <c r="E998" s="62" t="n">
        <v>329.1</v>
      </c>
      <c r="F998" s="62" t="s">
        <v>3</v>
      </c>
      <c r="G998" s="29" t="s">
        <v>29</v>
      </c>
      <c r="H998" s="29" t="s">
        <v>34</v>
      </c>
    </row>
    <row r="999" customFormat="false" ht="14.25" hidden="false" customHeight="false" outlineLevel="0" collapsed="false">
      <c r="A999" s="1" t="n">
        <v>2002</v>
      </c>
      <c r="B999" s="30" t="n">
        <v>43283</v>
      </c>
      <c r="C999" s="29" t="s">
        <v>31</v>
      </c>
      <c r="D999" s="62" t="n">
        <v>40</v>
      </c>
      <c r="E999" s="62" t="n">
        <v>1580.81</v>
      </c>
      <c r="F999" s="62" t="s">
        <v>4</v>
      </c>
      <c r="G999" s="29" t="s">
        <v>29</v>
      </c>
      <c r="H999" s="29" t="s">
        <v>34</v>
      </c>
    </row>
    <row r="1000" customFormat="false" ht="14.25" hidden="false" customHeight="false" outlineLevel="0" collapsed="false">
      <c r="A1000" s="1" t="n">
        <v>2003</v>
      </c>
      <c r="B1000" s="30" t="n">
        <v>43263</v>
      </c>
      <c r="C1000" s="29" t="s">
        <v>37</v>
      </c>
      <c r="D1000" s="62" t="n">
        <v>44</v>
      </c>
      <c r="E1000" s="62" t="n">
        <v>8308.69</v>
      </c>
      <c r="F1000" s="62" t="s">
        <v>5</v>
      </c>
      <c r="G1000" s="29" t="s">
        <v>29</v>
      </c>
      <c r="H1000" s="29" t="s">
        <v>41</v>
      </c>
    </row>
    <row r="1001" customFormat="false" ht="14.25" hidden="false" customHeight="false" outlineLevel="0" collapsed="false">
      <c r="A1001" s="1" t="n">
        <v>2004</v>
      </c>
      <c r="B1001" s="30" t="n">
        <v>43450</v>
      </c>
      <c r="C1001" s="29" t="s">
        <v>21</v>
      </c>
      <c r="D1001" s="62" t="n">
        <v>26</v>
      </c>
      <c r="E1001" s="62" t="n">
        <v>228.43</v>
      </c>
      <c r="F1001" s="62" t="s">
        <v>5</v>
      </c>
      <c r="G1001" s="29" t="s">
        <v>29</v>
      </c>
      <c r="H1001" s="29" t="s">
        <v>34</v>
      </c>
    </row>
    <row r="1002" customFormat="false" ht="14.25" hidden="false" customHeight="false" outlineLevel="0" collapsed="false">
      <c r="A1002" s="1" t="n">
        <v>2005</v>
      </c>
      <c r="B1002" s="30" t="n">
        <v>43317</v>
      </c>
      <c r="C1002" s="29" t="s">
        <v>39</v>
      </c>
      <c r="D1002" s="62" t="n">
        <v>25</v>
      </c>
      <c r="E1002" s="62" t="n">
        <v>5888.63</v>
      </c>
      <c r="F1002" s="62" t="s">
        <v>6</v>
      </c>
      <c r="G1002" s="29" t="s">
        <v>22</v>
      </c>
      <c r="H1002" s="29" t="s">
        <v>27</v>
      </c>
    </row>
    <row r="1003" customFormat="false" ht="14.25" hidden="false" customHeight="false" outlineLevel="0" collapsed="false">
      <c r="A1003" s="1" t="n">
        <v>2006</v>
      </c>
      <c r="B1003" s="30" t="n">
        <v>43128</v>
      </c>
      <c r="C1003" s="29" t="s">
        <v>28</v>
      </c>
      <c r="D1003" s="62" t="n">
        <v>31</v>
      </c>
      <c r="E1003" s="62" t="n">
        <v>848.25</v>
      </c>
      <c r="F1003" s="62" t="s">
        <v>5</v>
      </c>
      <c r="G1003" s="29" t="s">
        <v>29</v>
      </c>
      <c r="H1003" s="29" t="s">
        <v>34</v>
      </c>
    </row>
    <row r="1004" customFormat="false" ht="14.25" hidden="false" customHeight="false" outlineLevel="0" collapsed="false">
      <c r="A1004" s="1" t="n">
        <v>2007</v>
      </c>
      <c r="B1004" s="30" t="n">
        <v>43337</v>
      </c>
      <c r="C1004" s="29" t="s">
        <v>39</v>
      </c>
      <c r="D1004" s="62" t="n">
        <v>44</v>
      </c>
      <c r="E1004" s="62" t="n">
        <v>1555.46</v>
      </c>
      <c r="F1004" s="62" t="s">
        <v>4</v>
      </c>
      <c r="G1004" s="29" t="s">
        <v>24</v>
      </c>
      <c r="H1004" s="29" t="s">
        <v>25</v>
      </c>
    </row>
    <row r="1005" customFormat="false" ht="14.25" hidden="false" customHeight="false" outlineLevel="0" collapsed="false">
      <c r="A1005" s="1" t="n">
        <v>2008</v>
      </c>
      <c r="B1005" s="30" t="n">
        <v>43337</v>
      </c>
      <c r="C1005" s="29" t="s">
        <v>39</v>
      </c>
      <c r="D1005" s="62" t="n">
        <v>34</v>
      </c>
      <c r="E1005" s="62" t="n">
        <v>8192.25</v>
      </c>
      <c r="F1005" s="62" t="s">
        <v>4</v>
      </c>
      <c r="G1005" s="29" t="s">
        <v>22</v>
      </c>
      <c r="H1005" s="29" t="s">
        <v>27</v>
      </c>
    </row>
    <row r="1006" customFormat="false" ht="14.25" hidden="false" customHeight="false" outlineLevel="0" collapsed="false">
      <c r="A1006" s="1" t="n">
        <v>2009</v>
      </c>
      <c r="B1006" s="30" t="n">
        <v>43440</v>
      </c>
      <c r="C1006" s="29" t="s">
        <v>31</v>
      </c>
      <c r="D1006" s="62" t="n">
        <v>39</v>
      </c>
      <c r="E1006" s="62" t="n">
        <v>20907.74</v>
      </c>
      <c r="F1006" s="62" t="s">
        <v>4</v>
      </c>
      <c r="G1006" s="29" t="s">
        <v>24</v>
      </c>
      <c r="H1006" s="29" t="s">
        <v>42</v>
      </c>
    </row>
    <row r="1007" customFormat="false" ht="14.25" hidden="false" customHeight="false" outlineLevel="0" collapsed="false">
      <c r="A1007" s="1" t="n">
        <v>2010</v>
      </c>
      <c r="B1007" s="30" t="n">
        <v>43440</v>
      </c>
      <c r="C1007" s="29" t="s">
        <v>31</v>
      </c>
      <c r="D1007" s="62" t="n">
        <v>25</v>
      </c>
      <c r="E1007" s="62" t="n">
        <v>1511.89</v>
      </c>
      <c r="F1007" s="62" t="s">
        <v>4</v>
      </c>
      <c r="G1007" s="29" t="s">
        <v>29</v>
      </c>
      <c r="H1007" s="29" t="s">
        <v>41</v>
      </c>
    </row>
    <row r="1008" customFormat="false" ht="14.25" hidden="false" customHeight="false" outlineLevel="0" collapsed="false">
      <c r="A1008" s="1" t="n">
        <v>2011</v>
      </c>
      <c r="B1008" s="30" t="n">
        <v>43182</v>
      </c>
      <c r="C1008" s="29" t="s">
        <v>31</v>
      </c>
      <c r="D1008" s="62" t="n">
        <v>13</v>
      </c>
      <c r="E1008" s="62" t="n">
        <v>82.19</v>
      </c>
      <c r="F1008" s="62" t="s">
        <v>5</v>
      </c>
      <c r="G1008" s="29" t="s">
        <v>29</v>
      </c>
      <c r="H1008" s="29" t="s">
        <v>36</v>
      </c>
    </row>
    <row r="1009" customFormat="false" ht="14.25" hidden="false" customHeight="false" outlineLevel="0" collapsed="false">
      <c r="A1009" s="1" t="n">
        <v>2012</v>
      </c>
      <c r="B1009" s="30" t="n">
        <v>43182</v>
      </c>
      <c r="C1009" s="29" t="s">
        <v>31</v>
      </c>
      <c r="D1009" s="62" t="n">
        <v>21</v>
      </c>
      <c r="E1009" s="62" t="n">
        <v>186.42</v>
      </c>
      <c r="F1009" s="62" t="s">
        <v>5</v>
      </c>
      <c r="G1009" s="29" t="s">
        <v>29</v>
      </c>
      <c r="H1009" s="29" t="s">
        <v>32</v>
      </c>
    </row>
    <row r="1010" customFormat="false" ht="14.25" hidden="false" customHeight="false" outlineLevel="0" collapsed="false">
      <c r="A1010" s="1" t="n">
        <v>2013</v>
      </c>
      <c r="B1010" s="30" t="n">
        <v>43136</v>
      </c>
      <c r="C1010" s="29" t="s">
        <v>31</v>
      </c>
      <c r="D1010" s="62" t="n">
        <v>31</v>
      </c>
      <c r="E1010" s="62" t="n">
        <v>203.36</v>
      </c>
      <c r="F1010" s="62" t="s">
        <v>4</v>
      </c>
      <c r="G1010" s="29" t="s">
        <v>29</v>
      </c>
      <c r="H1010" s="29" t="s">
        <v>36</v>
      </c>
    </row>
    <row r="1011" customFormat="false" ht="14.25" hidden="false" customHeight="false" outlineLevel="0" collapsed="false">
      <c r="A1011" s="1" t="n">
        <v>2014</v>
      </c>
      <c r="B1011" s="30" t="n">
        <v>43136</v>
      </c>
      <c r="C1011" s="29" t="s">
        <v>31</v>
      </c>
      <c r="D1011" s="62" t="n">
        <v>34</v>
      </c>
      <c r="E1011" s="62" t="n">
        <v>756.39</v>
      </c>
      <c r="F1011" s="62" t="s">
        <v>4</v>
      </c>
      <c r="G1011" s="29" t="s">
        <v>29</v>
      </c>
      <c r="H1011" s="29" t="s">
        <v>34</v>
      </c>
    </row>
    <row r="1012" customFormat="false" ht="14.25" hidden="false" customHeight="false" outlineLevel="0" collapsed="false">
      <c r="A1012" s="1" t="n">
        <v>2015</v>
      </c>
      <c r="B1012" s="30" t="n">
        <v>43429</v>
      </c>
      <c r="C1012" s="29" t="s">
        <v>21</v>
      </c>
      <c r="D1012" s="62" t="n">
        <v>45</v>
      </c>
      <c r="E1012" s="62" t="n">
        <v>550.01</v>
      </c>
      <c r="F1012" s="62" t="s">
        <v>5</v>
      </c>
      <c r="G1012" s="29" t="s">
        <v>29</v>
      </c>
      <c r="H1012" s="29" t="s">
        <v>36</v>
      </c>
    </row>
    <row r="1013" customFormat="false" ht="14.25" hidden="false" customHeight="false" outlineLevel="0" collapsed="false">
      <c r="A1013" s="1" t="n">
        <v>2016</v>
      </c>
      <c r="B1013" s="30" t="n">
        <v>43429</v>
      </c>
      <c r="C1013" s="29" t="s">
        <v>21</v>
      </c>
      <c r="D1013" s="62" t="n">
        <v>23</v>
      </c>
      <c r="E1013" s="62" t="n">
        <v>280.67</v>
      </c>
      <c r="F1013" s="62" t="s">
        <v>5</v>
      </c>
      <c r="G1013" s="29" t="s">
        <v>29</v>
      </c>
      <c r="H1013" s="29" t="s">
        <v>45</v>
      </c>
    </row>
    <row r="1014" customFormat="false" ht="14.25" hidden="false" customHeight="false" outlineLevel="0" collapsed="false">
      <c r="A1014" s="1" t="n">
        <v>2017</v>
      </c>
      <c r="B1014" s="30" t="n">
        <v>43429</v>
      </c>
      <c r="C1014" s="29" t="s">
        <v>21</v>
      </c>
      <c r="D1014" s="62" t="n">
        <v>9</v>
      </c>
      <c r="E1014" s="62" t="n">
        <v>1815.47</v>
      </c>
      <c r="F1014" s="62" t="s">
        <v>5</v>
      </c>
      <c r="G1014" s="29" t="s">
        <v>22</v>
      </c>
      <c r="H1014" s="29" t="s">
        <v>44</v>
      </c>
    </row>
    <row r="1015" customFormat="false" ht="14.25" hidden="false" customHeight="false" outlineLevel="0" collapsed="false">
      <c r="A1015" s="1" t="n">
        <v>2018</v>
      </c>
      <c r="B1015" s="30" t="n">
        <v>43429</v>
      </c>
      <c r="C1015" s="29" t="s">
        <v>21</v>
      </c>
      <c r="D1015" s="62" t="n">
        <v>28</v>
      </c>
      <c r="E1015" s="62" t="n">
        <v>461.57</v>
      </c>
      <c r="F1015" s="62" t="s">
        <v>5</v>
      </c>
      <c r="G1015" s="29" t="s">
        <v>29</v>
      </c>
      <c r="H1015" s="29" t="s">
        <v>34</v>
      </c>
    </row>
    <row r="1016" customFormat="false" ht="14.25" hidden="false" customHeight="false" outlineLevel="0" collapsed="false">
      <c r="A1016" s="1" t="n">
        <v>2019</v>
      </c>
      <c r="B1016" s="30" t="n">
        <v>43306</v>
      </c>
      <c r="C1016" s="29" t="s">
        <v>37</v>
      </c>
      <c r="D1016" s="62" t="n">
        <v>32</v>
      </c>
      <c r="E1016" s="62" t="n">
        <v>1909.97</v>
      </c>
      <c r="F1016" s="62" t="s">
        <v>4</v>
      </c>
      <c r="G1016" s="29" t="s">
        <v>24</v>
      </c>
      <c r="H1016" s="29" t="s">
        <v>26</v>
      </c>
    </row>
    <row r="1017" customFormat="false" ht="14.25" hidden="false" customHeight="false" outlineLevel="0" collapsed="false">
      <c r="A1017" s="1" t="n">
        <v>2020</v>
      </c>
      <c r="B1017" s="30" t="n">
        <v>43281</v>
      </c>
      <c r="C1017" s="29" t="s">
        <v>39</v>
      </c>
      <c r="D1017" s="62" t="n">
        <v>34</v>
      </c>
      <c r="E1017" s="62" t="n">
        <v>241.23</v>
      </c>
      <c r="F1017" s="62" t="s">
        <v>6</v>
      </c>
      <c r="G1017" s="29" t="s">
        <v>29</v>
      </c>
      <c r="H1017" s="29" t="s">
        <v>36</v>
      </c>
    </row>
    <row r="1018" customFormat="false" ht="14.25" hidden="false" customHeight="false" outlineLevel="0" collapsed="false">
      <c r="A1018" s="1" t="n">
        <v>2021</v>
      </c>
      <c r="B1018" s="30" t="n">
        <v>43305</v>
      </c>
      <c r="C1018" s="29" t="s">
        <v>31</v>
      </c>
      <c r="D1018" s="62" t="n">
        <v>41</v>
      </c>
      <c r="E1018" s="62" t="n">
        <v>1506.92</v>
      </c>
      <c r="F1018" s="62" t="s">
        <v>6</v>
      </c>
      <c r="G1018" s="29" t="s">
        <v>29</v>
      </c>
      <c r="H1018" s="29" t="s">
        <v>30</v>
      </c>
    </row>
    <row r="1019" customFormat="false" ht="14.25" hidden="false" customHeight="false" outlineLevel="0" collapsed="false">
      <c r="A1019" s="1" t="n">
        <v>2022</v>
      </c>
      <c r="B1019" s="30" t="n">
        <v>43305</v>
      </c>
      <c r="C1019" s="29" t="s">
        <v>31</v>
      </c>
      <c r="D1019" s="62" t="n">
        <v>20</v>
      </c>
      <c r="E1019" s="62" t="n">
        <v>104.49</v>
      </c>
      <c r="F1019" s="62" t="s">
        <v>6</v>
      </c>
      <c r="G1019" s="29" t="s">
        <v>22</v>
      </c>
      <c r="H1019" s="29" t="s">
        <v>23</v>
      </c>
    </row>
    <row r="1020" customFormat="false" ht="14.25" hidden="false" customHeight="false" outlineLevel="0" collapsed="false">
      <c r="A1020" s="1" t="n">
        <v>2023</v>
      </c>
      <c r="B1020" s="30" t="n">
        <v>43214</v>
      </c>
      <c r="C1020" s="29" t="s">
        <v>31</v>
      </c>
      <c r="D1020" s="62" t="n">
        <v>23</v>
      </c>
      <c r="E1020" s="62" t="n">
        <v>236.28</v>
      </c>
      <c r="F1020" s="62" t="s">
        <v>4</v>
      </c>
      <c r="G1020" s="29" t="s">
        <v>29</v>
      </c>
      <c r="H1020" s="29" t="s">
        <v>30</v>
      </c>
    </row>
    <row r="1021" customFormat="false" ht="14.25" hidden="false" customHeight="false" outlineLevel="0" collapsed="false">
      <c r="A1021" s="1" t="n">
        <v>2024</v>
      </c>
      <c r="B1021" s="30" t="n">
        <v>43229</v>
      </c>
      <c r="C1021" s="29" t="s">
        <v>21</v>
      </c>
      <c r="D1021" s="62" t="n">
        <v>8</v>
      </c>
      <c r="E1021" s="62" t="n">
        <v>192.24</v>
      </c>
      <c r="F1021" s="62" t="s">
        <v>4</v>
      </c>
      <c r="G1021" s="29" t="s">
        <v>24</v>
      </c>
      <c r="H1021" s="29" t="s">
        <v>26</v>
      </c>
    </row>
    <row r="1022" customFormat="false" ht="14.25" hidden="false" customHeight="false" outlineLevel="0" collapsed="false">
      <c r="A1022" s="1" t="n">
        <v>2025</v>
      </c>
      <c r="B1022" s="30" t="n">
        <v>43229</v>
      </c>
      <c r="C1022" s="29" t="s">
        <v>21</v>
      </c>
      <c r="D1022" s="62" t="n">
        <v>6</v>
      </c>
      <c r="E1022" s="62" t="n">
        <v>292.52</v>
      </c>
      <c r="F1022" s="62" t="s">
        <v>4</v>
      </c>
      <c r="G1022" s="29" t="s">
        <v>24</v>
      </c>
      <c r="H1022" s="29" t="s">
        <v>26</v>
      </c>
    </row>
    <row r="1023" customFormat="false" ht="14.25" hidden="false" customHeight="false" outlineLevel="0" collapsed="false">
      <c r="A1023" s="1" t="n">
        <v>2026</v>
      </c>
      <c r="B1023" s="30" t="n">
        <v>43184</v>
      </c>
      <c r="C1023" s="29" t="s">
        <v>37</v>
      </c>
      <c r="D1023" s="62" t="n">
        <v>44</v>
      </c>
      <c r="E1023" s="62" t="n">
        <v>6463.04</v>
      </c>
      <c r="F1023" s="62" t="s">
        <v>4</v>
      </c>
      <c r="G1023" s="29" t="s">
        <v>29</v>
      </c>
      <c r="H1023" s="29" t="s">
        <v>38</v>
      </c>
    </row>
    <row r="1024" customFormat="false" ht="14.25" hidden="false" customHeight="false" outlineLevel="0" collapsed="false">
      <c r="A1024" s="1" t="n">
        <v>2027</v>
      </c>
      <c r="B1024" s="30" t="n">
        <v>43184</v>
      </c>
      <c r="C1024" s="29" t="s">
        <v>37</v>
      </c>
      <c r="D1024" s="62" t="n">
        <v>35</v>
      </c>
      <c r="E1024" s="62" t="n">
        <v>18604.79</v>
      </c>
      <c r="F1024" s="62" t="s">
        <v>4</v>
      </c>
      <c r="G1024" s="29" t="s">
        <v>24</v>
      </c>
      <c r="H1024" s="29" t="s">
        <v>43</v>
      </c>
    </row>
    <row r="1025" customFormat="false" ht="14.25" hidden="false" customHeight="false" outlineLevel="0" collapsed="false">
      <c r="A1025" s="1" t="n">
        <v>2028</v>
      </c>
      <c r="B1025" s="30" t="n">
        <v>43355</v>
      </c>
      <c r="C1025" s="29" t="s">
        <v>31</v>
      </c>
      <c r="D1025" s="62" t="n">
        <v>45</v>
      </c>
      <c r="E1025" s="62" t="n">
        <v>3334.95</v>
      </c>
      <c r="F1025" s="62" t="s">
        <v>4</v>
      </c>
      <c r="G1025" s="29" t="s">
        <v>24</v>
      </c>
      <c r="H1025" s="29" t="s">
        <v>25</v>
      </c>
    </row>
    <row r="1026" customFormat="false" ht="14.25" hidden="false" customHeight="false" outlineLevel="0" collapsed="false">
      <c r="A1026" s="1" t="n">
        <v>2029</v>
      </c>
      <c r="B1026" s="30" t="n">
        <v>43369</v>
      </c>
      <c r="C1026" s="29" t="s">
        <v>21</v>
      </c>
      <c r="D1026" s="62" t="n">
        <v>43</v>
      </c>
      <c r="E1026" s="62" t="n">
        <v>6930.88</v>
      </c>
      <c r="F1026" s="62" t="s">
        <v>5</v>
      </c>
      <c r="G1026" s="29" t="s">
        <v>24</v>
      </c>
      <c r="H1026" s="29" t="s">
        <v>25</v>
      </c>
    </row>
    <row r="1027" customFormat="false" ht="14.25" hidden="false" customHeight="false" outlineLevel="0" collapsed="false">
      <c r="A1027" s="1" t="n">
        <v>2030</v>
      </c>
      <c r="B1027" s="30" t="n">
        <v>43198</v>
      </c>
      <c r="C1027" s="29" t="s">
        <v>31</v>
      </c>
      <c r="D1027" s="62" t="n">
        <v>21</v>
      </c>
      <c r="E1027" s="62" t="n">
        <v>51.37</v>
      </c>
      <c r="F1027" s="62" t="s">
        <v>6</v>
      </c>
      <c r="G1027" s="29" t="s">
        <v>29</v>
      </c>
      <c r="H1027" s="29" t="s">
        <v>30</v>
      </c>
    </row>
    <row r="1028" customFormat="false" ht="14.25" hidden="false" customHeight="false" outlineLevel="0" collapsed="false">
      <c r="A1028" s="1" t="n">
        <v>2031</v>
      </c>
      <c r="B1028" s="30" t="n">
        <v>43220</v>
      </c>
      <c r="C1028" s="29" t="s">
        <v>37</v>
      </c>
      <c r="D1028" s="62" t="n">
        <v>13</v>
      </c>
      <c r="E1028" s="62" t="n">
        <v>4626.99</v>
      </c>
      <c r="F1028" s="62" t="s">
        <v>4</v>
      </c>
      <c r="G1028" s="29" t="s">
        <v>22</v>
      </c>
      <c r="H1028" s="29" t="s">
        <v>27</v>
      </c>
    </row>
    <row r="1029" customFormat="false" ht="14.25" hidden="false" customHeight="false" outlineLevel="0" collapsed="false">
      <c r="A1029" s="1" t="n">
        <v>2032</v>
      </c>
      <c r="B1029" s="30" t="n">
        <v>43307</v>
      </c>
      <c r="C1029" s="29" t="s">
        <v>37</v>
      </c>
      <c r="D1029" s="62" t="n">
        <v>40</v>
      </c>
      <c r="E1029" s="62" t="n">
        <v>271.8</v>
      </c>
      <c r="F1029" s="62" t="s">
        <v>6</v>
      </c>
      <c r="G1029" s="29" t="s">
        <v>29</v>
      </c>
      <c r="H1029" s="29" t="s">
        <v>35</v>
      </c>
    </row>
    <row r="1030" customFormat="false" ht="14.25" hidden="false" customHeight="false" outlineLevel="0" collapsed="false">
      <c r="A1030" s="1" t="n">
        <v>2033</v>
      </c>
      <c r="B1030" s="30" t="n">
        <v>43307</v>
      </c>
      <c r="C1030" s="29" t="s">
        <v>37</v>
      </c>
      <c r="D1030" s="62" t="n">
        <v>16</v>
      </c>
      <c r="E1030" s="62" t="n">
        <v>44.43</v>
      </c>
      <c r="F1030" s="62" t="s">
        <v>6</v>
      </c>
      <c r="G1030" s="29" t="s">
        <v>29</v>
      </c>
      <c r="H1030" s="29" t="s">
        <v>36</v>
      </c>
    </row>
    <row r="1031" customFormat="false" ht="14.25" hidden="false" customHeight="false" outlineLevel="0" collapsed="false">
      <c r="A1031" s="1" t="n">
        <v>2034</v>
      </c>
      <c r="B1031" s="30" t="n">
        <v>43272</v>
      </c>
      <c r="C1031" s="29" t="s">
        <v>31</v>
      </c>
      <c r="D1031" s="62" t="n">
        <v>32</v>
      </c>
      <c r="E1031" s="62" t="n">
        <v>584.23</v>
      </c>
      <c r="F1031" s="62" t="s">
        <v>3</v>
      </c>
      <c r="G1031" s="29" t="s">
        <v>29</v>
      </c>
      <c r="H1031" s="29" t="s">
        <v>34</v>
      </c>
    </row>
    <row r="1032" customFormat="false" ht="14.25" hidden="false" customHeight="false" outlineLevel="0" collapsed="false">
      <c r="A1032" s="1" t="n">
        <v>2035</v>
      </c>
      <c r="B1032" s="30" t="n">
        <v>43145</v>
      </c>
      <c r="C1032" s="29" t="s">
        <v>39</v>
      </c>
      <c r="D1032" s="62" t="n">
        <v>29</v>
      </c>
      <c r="E1032" s="62" t="n">
        <v>8386.06</v>
      </c>
      <c r="F1032" s="62" t="s">
        <v>5</v>
      </c>
      <c r="G1032" s="29" t="s">
        <v>29</v>
      </c>
      <c r="H1032" s="29" t="s">
        <v>41</v>
      </c>
    </row>
    <row r="1033" customFormat="false" ht="14.25" hidden="false" customHeight="false" outlineLevel="0" collapsed="false">
      <c r="A1033" s="1" t="n">
        <v>2036</v>
      </c>
      <c r="B1033" s="30" t="n">
        <v>43145</v>
      </c>
      <c r="C1033" s="29" t="s">
        <v>39</v>
      </c>
      <c r="D1033" s="62" t="n">
        <v>22</v>
      </c>
      <c r="E1033" s="62" t="n">
        <v>3908.95</v>
      </c>
      <c r="F1033" s="62" t="s">
        <v>5</v>
      </c>
      <c r="G1033" s="29" t="s">
        <v>22</v>
      </c>
      <c r="H1033" s="29" t="s">
        <v>40</v>
      </c>
    </row>
    <row r="1034" customFormat="false" ht="14.25" hidden="false" customHeight="false" outlineLevel="0" collapsed="false">
      <c r="A1034" s="1" t="n">
        <v>2037</v>
      </c>
      <c r="B1034" s="30" t="n">
        <v>43137</v>
      </c>
      <c r="C1034" s="29" t="s">
        <v>31</v>
      </c>
      <c r="D1034" s="62" t="n">
        <v>35</v>
      </c>
      <c r="E1034" s="62" t="n">
        <v>265.81</v>
      </c>
      <c r="F1034" s="62" t="s">
        <v>4</v>
      </c>
      <c r="G1034" s="29" t="s">
        <v>29</v>
      </c>
      <c r="H1034" s="29" t="s">
        <v>32</v>
      </c>
    </row>
    <row r="1035" customFormat="false" ht="14.25" hidden="false" customHeight="false" outlineLevel="0" collapsed="false">
      <c r="A1035" s="1" t="n">
        <v>2038</v>
      </c>
      <c r="B1035" s="30" t="n">
        <v>43137</v>
      </c>
      <c r="C1035" s="29" t="s">
        <v>31</v>
      </c>
      <c r="D1035" s="62" t="n">
        <v>42</v>
      </c>
      <c r="E1035" s="62" t="n">
        <v>4173.57</v>
      </c>
      <c r="F1035" s="62" t="s">
        <v>4</v>
      </c>
      <c r="G1035" s="29" t="s">
        <v>24</v>
      </c>
      <c r="H1035" s="29" t="s">
        <v>25</v>
      </c>
    </row>
    <row r="1036" customFormat="false" ht="14.25" hidden="false" customHeight="false" outlineLevel="0" collapsed="false">
      <c r="A1036" s="1" t="n">
        <v>2039</v>
      </c>
      <c r="B1036" s="30" t="n">
        <v>43400</v>
      </c>
      <c r="C1036" s="29" t="s">
        <v>39</v>
      </c>
      <c r="D1036" s="62" t="n">
        <v>49</v>
      </c>
      <c r="E1036" s="62" t="n">
        <v>1621.05</v>
      </c>
      <c r="F1036" s="62" t="s">
        <v>6</v>
      </c>
      <c r="G1036" s="29" t="s">
        <v>29</v>
      </c>
      <c r="H1036" s="29" t="s">
        <v>34</v>
      </c>
    </row>
    <row r="1037" customFormat="false" ht="14.25" hidden="false" customHeight="false" outlineLevel="0" collapsed="false">
      <c r="A1037" s="1" t="n">
        <v>2040</v>
      </c>
      <c r="B1037" s="30" t="n">
        <v>43131</v>
      </c>
      <c r="C1037" s="29" t="s">
        <v>31</v>
      </c>
      <c r="D1037" s="62" t="n">
        <v>4</v>
      </c>
      <c r="E1037" s="62" t="n">
        <v>14.36</v>
      </c>
      <c r="F1037" s="62" t="s">
        <v>5</v>
      </c>
      <c r="G1037" s="29" t="s">
        <v>29</v>
      </c>
      <c r="H1037" s="29" t="s">
        <v>35</v>
      </c>
    </row>
    <row r="1038" customFormat="false" ht="14.25" hidden="false" customHeight="false" outlineLevel="0" collapsed="false">
      <c r="A1038" s="1" t="n">
        <v>2041</v>
      </c>
      <c r="B1038" s="30" t="n">
        <v>43259</v>
      </c>
      <c r="C1038" s="29" t="s">
        <v>39</v>
      </c>
      <c r="D1038" s="62" t="n">
        <v>6</v>
      </c>
      <c r="E1038" s="62" t="n">
        <v>272.59</v>
      </c>
      <c r="F1038" s="62" t="s">
        <v>5</v>
      </c>
      <c r="G1038" s="29" t="s">
        <v>22</v>
      </c>
      <c r="H1038" s="29" t="s">
        <v>23</v>
      </c>
    </row>
    <row r="1039" customFormat="false" ht="14.25" hidden="false" customHeight="false" outlineLevel="0" collapsed="false">
      <c r="A1039" s="1" t="n">
        <v>2042</v>
      </c>
      <c r="B1039" s="30" t="n">
        <v>43366</v>
      </c>
      <c r="C1039" s="29" t="s">
        <v>39</v>
      </c>
      <c r="D1039" s="62" t="n">
        <v>41</v>
      </c>
      <c r="E1039" s="62" t="n">
        <v>1389.17</v>
      </c>
      <c r="F1039" s="62" t="s">
        <v>5</v>
      </c>
      <c r="G1039" s="29" t="s">
        <v>24</v>
      </c>
      <c r="H1039" s="29" t="s">
        <v>26</v>
      </c>
    </row>
    <row r="1040" customFormat="false" ht="14.25" hidden="false" customHeight="false" outlineLevel="0" collapsed="false">
      <c r="A1040" s="1" t="n">
        <v>2043</v>
      </c>
      <c r="B1040" s="30" t="n">
        <v>43366</v>
      </c>
      <c r="C1040" s="29" t="s">
        <v>39</v>
      </c>
      <c r="D1040" s="62" t="n">
        <v>3</v>
      </c>
      <c r="E1040" s="62" t="n">
        <v>20.69</v>
      </c>
      <c r="F1040" s="62" t="s">
        <v>5</v>
      </c>
      <c r="G1040" s="29" t="s">
        <v>29</v>
      </c>
      <c r="H1040" s="29" t="s">
        <v>36</v>
      </c>
    </row>
    <row r="1041" customFormat="false" ht="14.25" hidden="false" customHeight="false" outlineLevel="0" collapsed="false">
      <c r="A1041" s="1" t="n">
        <v>2044</v>
      </c>
      <c r="B1041" s="30" t="n">
        <v>43366</v>
      </c>
      <c r="C1041" s="29" t="s">
        <v>39</v>
      </c>
      <c r="D1041" s="62" t="n">
        <v>35</v>
      </c>
      <c r="E1041" s="62" t="n">
        <v>631.64</v>
      </c>
      <c r="F1041" s="62" t="s">
        <v>5</v>
      </c>
      <c r="G1041" s="29" t="s">
        <v>29</v>
      </c>
      <c r="H1041" s="29" t="s">
        <v>30</v>
      </c>
    </row>
    <row r="1042" customFormat="false" ht="14.25" hidden="false" customHeight="false" outlineLevel="0" collapsed="false">
      <c r="A1042" s="1" t="n">
        <v>2045</v>
      </c>
      <c r="B1042" s="30" t="n">
        <v>43366</v>
      </c>
      <c r="C1042" s="29" t="s">
        <v>39</v>
      </c>
      <c r="D1042" s="62" t="n">
        <v>19</v>
      </c>
      <c r="E1042" s="62" t="n">
        <v>4543.15</v>
      </c>
      <c r="F1042" s="62" t="s">
        <v>5</v>
      </c>
      <c r="G1042" s="29" t="s">
        <v>22</v>
      </c>
      <c r="H1042" s="29" t="s">
        <v>27</v>
      </c>
    </row>
    <row r="1043" customFormat="false" ht="14.25" hidden="false" customHeight="false" outlineLevel="0" collapsed="false">
      <c r="A1043" s="1" t="n">
        <v>2046</v>
      </c>
      <c r="B1043" s="30" t="n">
        <v>43309</v>
      </c>
      <c r="C1043" s="29" t="s">
        <v>28</v>
      </c>
      <c r="D1043" s="62" t="n">
        <v>13</v>
      </c>
      <c r="E1043" s="62" t="n">
        <v>631.06</v>
      </c>
      <c r="F1043" s="62" t="s">
        <v>6</v>
      </c>
      <c r="G1043" s="29" t="s">
        <v>29</v>
      </c>
      <c r="H1043" s="29" t="s">
        <v>34</v>
      </c>
    </row>
    <row r="1044" customFormat="false" ht="14.25" hidden="false" customHeight="false" outlineLevel="0" collapsed="false">
      <c r="A1044" s="1" t="n">
        <v>2047</v>
      </c>
      <c r="B1044" s="30" t="n">
        <v>43209</v>
      </c>
      <c r="C1044" s="29" t="s">
        <v>39</v>
      </c>
      <c r="D1044" s="62" t="n">
        <v>4</v>
      </c>
      <c r="E1044" s="62" t="n">
        <v>46.32</v>
      </c>
      <c r="F1044" s="62" t="s">
        <v>6</v>
      </c>
      <c r="G1044" s="29" t="s">
        <v>22</v>
      </c>
      <c r="H1044" s="29" t="s">
        <v>23</v>
      </c>
    </row>
    <row r="1045" customFormat="false" ht="14.25" hidden="false" customHeight="false" outlineLevel="0" collapsed="false">
      <c r="A1045" s="1" t="n">
        <v>2048</v>
      </c>
      <c r="B1045" s="30" t="n">
        <v>43178</v>
      </c>
      <c r="C1045" s="29" t="s">
        <v>39</v>
      </c>
      <c r="D1045" s="62" t="n">
        <v>50</v>
      </c>
      <c r="E1045" s="62" t="n">
        <v>327.56</v>
      </c>
      <c r="F1045" s="62" t="s">
        <v>5</v>
      </c>
      <c r="G1045" s="29" t="s">
        <v>29</v>
      </c>
      <c r="H1045" s="29" t="s">
        <v>34</v>
      </c>
    </row>
    <row r="1046" customFormat="false" ht="14.25" hidden="false" customHeight="false" outlineLevel="0" collapsed="false">
      <c r="A1046" s="1" t="n">
        <v>2049</v>
      </c>
      <c r="B1046" s="30" t="n">
        <v>43408</v>
      </c>
      <c r="C1046" s="29" t="s">
        <v>28</v>
      </c>
      <c r="D1046" s="62" t="n">
        <v>9</v>
      </c>
      <c r="E1046" s="62" t="n">
        <v>360.81</v>
      </c>
      <c r="F1046" s="62" t="s">
        <v>3</v>
      </c>
      <c r="G1046" s="29" t="s">
        <v>24</v>
      </c>
      <c r="H1046" s="29" t="s">
        <v>25</v>
      </c>
    </row>
    <row r="1047" customFormat="false" ht="14.25" hidden="false" customHeight="false" outlineLevel="0" collapsed="false">
      <c r="A1047" s="1" t="n">
        <v>2050</v>
      </c>
      <c r="B1047" s="30" t="n">
        <v>43277</v>
      </c>
      <c r="C1047" s="29" t="s">
        <v>37</v>
      </c>
      <c r="D1047" s="62" t="n">
        <v>26</v>
      </c>
      <c r="E1047" s="62" t="n">
        <v>1565.86</v>
      </c>
      <c r="F1047" s="62" t="s">
        <v>4</v>
      </c>
      <c r="G1047" s="29" t="s">
        <v>29</v>
      </c>
      <c r="H1047" s="29" t="s">
        <v>41</v>
      </c>
    </row>
    <row r="1048" customFormat="false" ht="14.25" hidden="false" customHeight="false" outlineLevel="0" collapsed="false">
      <c r="A1048" s="1" t="n">
        <v>2051</v>
      </c>
      <c r="B1048" s="30" t="n">
        <v>43431</v>
      </c>
      <c r="C1048" s="29" t="s">
        <v>21</v>
      </c>
      <c r="D1048" s="62" t="n">
        <v>23</v>
      </c>
      <c r="E1048" s="62" t="n">
        <v>148.42</v>
      </c>
      <c r="F1048" s="62" t="s">
        <v>3</v>
      </c>
      <c r="G1048" s="29" t="s">
        <v>22</v>
      </c>
      <c r="H1048" s="29" t="s">
        <v>23</v>
      </c>
    </row>
    <row r="1049" customFormat="false" ht="14.25" hidden="false" customHeight="false" outlineLevel="0" collapsed="false">
      <c r="A1049" s="1" t="n">
        <v>2052</v>
      </c>
      <c r="B1049" s="30" t="n">
        <v>43276</v>
      </c>
      <c r="C1049" s="29" t="s">
        <v>39</v>
      </c>
      <c r="D1049" s="62" t="n">
        <v>10</v>
      </c>
      <c r="E1049" s="62" t="n">
        <v>1097.69</v>
      </c>
      <c r="F1049" s="62" t="s">
        <v>6</v>
      </c>
      <c r="G1049" s="29" t="s">
        <v>22</v>
      </c>
      <c r="H1049" s="29" t="s">
        <v>40</v>
      </c>
    </row>
    <row r="1050" customFormat="false" ht="14.25" hidden="false" customHeight="false" outlineLevel="0" collapsed="false">
      <c r="A1050" s="1" t="n">
        <v>2053</v>
      </c>
      <c r="B1050" s="30" t="n">
        <v>43307</v>
      </c>
      <c r="C1050" s="29" t="s">
        <v>31</v>
      </c>
      <c r="D1050" s="62" t="n">
        <v>35</v>
      </c>
      <c r="E1050" s="62" t="n">
        <v>288.2</v>
      </c>
      <c r="F1050" s="62" t="s">
        <v>3</v>
      </c>
      <c r="G1050" s="29" t="s">
        <v>22</v>
      </c>
      <c r="H1050" s="29" t="s">
        <v>23</v>
      </c>
    </row>
    <row r="1051" customFormat="false" ht="14.25" hidden="false" customHeight="false" outlineLevel="0" collapsed="false">
      <c r="A1051" s="1" t="n">
        <v>2054</v>
      </c>
      <c r="B1051" s="30" t="n">
        <v>43303</v>
      </c>
      <c r="C1051" s="29" t="s">
        <v>39</v>
      </c>
      <c r="D1051" s="62" t="n">
        <v>12</v>
      </c>
      <c r="E1051" s="62" t="n">
        <v>3928.29</v>
      </c>
      <c r="F1051" s="62" t="s">
        <v>5</v>
      </c>
      <c r="G1051" s="29" t="s">
        <v>29</v>
      </c>
      <c r="H1051" s="29" t="s">
        <v>41</v>
      </c>
    </row>
    <row r="1052" customFormat="false" ht="14.25" hidden="false" customHeight="false" outlineLevel="0" collapsed="false">
      <c r="A1052" s="1" t="n">
        <v>2055</v>
      </c>
      <c r="B1052" s="30" t="n">
        <v>43303</v>
      </c>
      <c r="C1052" s="29" t="s">
        <v>39</v>
      </c>
      <c r="D1052" s="62" t="n">
        <v>42</v>
      </c>
      <c r="E1052" s="62" t="n">
        <v>1887.05</v>
      </c>
      <c r="F1052" s="62" t="s">
        <v>5</v>
      </c>
      <c r="G1052" s="29" t="s">
        <v>24</v>
      </c>
      <c r="H1052" s="29" t="s">
        <v>26</v>
      </c>
    </row>
    <row r="1053" customFormat="false" ht="14.25" hidden="false" customHeight="false" outlineLevel="0" collapsed="false">
      <c r="A1053" s="1" t="n">
        <v>2056</v>
      </c>
      <c r="B1053" s="30" t="n">
        <v>43291</v>
      </c>
      <c r="C1053" s="29" t="s">
        <v>31</v>
      </c>
      <c r="D1053" s="62" t="n">
        <v>14</v>
      </c>
      <c r="E1053" s="62" t="n">
        <v>431.39</v>
      </c>
      <c r="F1053" s="62" t="s">
        <v>4</v>
      </c>
      <c r="G1053" s="29" t="s">
        <v>29</v>
      </c>
      <c r="H1053" s="29" t="s">
        <v>34</v>
      </c>
    </row>
    <row r="1054" customFormat="false" ht="14.25" hidden="false" customHeight="false" outlineLevel="0" collapsed="false">
      <c r="A1054" s="1" t="n">
        <v>2057</v>
      </c>
      <c r="B1054" s="30" t="n">
        <v>43322</v>
      </c>
      <c r="C1054" s="29" t="s">
        <v>31</v>
      </c>
      <c r="D1054" s="62" t="n">
        <v>20</v>
      </c>
      <c r="E1054" s="62" t="n">
        <v>1185.95</v>
      </c>
      <c r="F1054" s="62" t="s">
        <v>5</v>
      </c>
      <c r="G1054" s="29" t="s">
        <v>24</v>
      </c>
      <c r="H1054" s="29" t="s">
        <v>25</v>
      </c>
    </row>
    <row r="1055" customFormat="false" ht="14.25" hidden="false" customHeight="false" outlineLevel="0" collapsed="false">
      <c r="A1055" s="1" t="n">
        <v>2058</v>
      </c>
      <c r="B1055" s="30" t="n">
        <v>43331</v>
      </c>
      <c r="C1055" s="29" t="s">
        <v>21</v>
      </c>
      <c r="D1055" s="62" t="n">
        <v>8</v>
      </c>
      <c r="E1055" s="62" t="n">
        <v>73.77</v>
      </c>
      <c r="F1055" s="62" t="s">
        <v>5</v>
      </c>
      <c r="G1055" s="29" t="s">
        <v>24</v>
      </c>
      <c r="H1055" s="29" t="s">
        <v>26</v>
      </c>
    </row>
    <row r="1056" customFormat="false" ht="14.25" hidden="false" customHeight="false" outlineLevel="0" collapsed="false">
      <c r="A1056" s="1" t="n">
        <v>2059</v>
      </c>
      <c r="B1056" s="30" t="n">
        <v>43331</v>
      </c>
      <c r="C1056" s="29" t="s">
        <v>21</v>
      </c>
      <c r="D1056" s="62" t="n">
        <v>10</v>
      </c>
      <c r="E1056" s="62" t="n">
        <v>79.22</v>
      </c>
      <c r="F1056" s="62" t="s">
        <v>5</v>
      </c>
      <c r="G1056" s="29" t="s">
        <v>29</v>
      </c>
      <c r="H1056" s="29" t="s">
        <v>36</v>
      </c>
    </row>
    <row r="1057" customFormat="false" ht="14.25" hidden="false" customHeight="false" outlineLevel="0" collapsed="false">
      <c r="A1057" s="1" t="n">
        <v>2060</v>
      </c>
      <c r="B1057" s="30" t="n">
        <v>43238</v>
      </c>
      <c r="C1057" s="29" t="s">
        <v>21</v>
      </c>
      <c r="D1057" s="62" t="n">
        <v>44</v>
      </c>
      <c r="E1057" s="62" t="n">
        <v>131.67</v>
      </c>
      <c r="F1057" s="62" t="s">
        <v>4</v>
      </c>
      <c r="G1057" s="29" t="s">
        <v>29</v>
      </c>
      <c r="H1057" s="29" t="s">
        <v>30</v>
      </c>
    </row>
    <row r="1058" customFormat="false" ht="14.25" hidden="false" customHeight="false" outlineLevel="0" collapsed="false">
      <c r="A1058" s="1" t="n">
        <v>2061</v>
      </c>
      <c r="B1058" s="30" t="n">
        <v>43245</v>
      </c>
      <c r="C1058" s="29" t="s">
        <v>21</v>
      </c>
      <c r="D1058" s="62" t="n">
        <v>31</v>
      </c>
      <c r="E1058" s="62" t="n">
        <v>442.04</v>
      </c>
      <c r="F1058" s="62" t="s">
        <v>6</v>
      </c>
      <c r="G1058" s="29" t="s">
        <v>29</v>
      </c>
      <c r="H1058" s="29" t="s">
        <v>34</v>
      </c>
    </row>
    <row r="1059" customFormat="false" ht="14.25" hidden="false" customHeight="false" outlineLevel="0" collapsed="false">
      <c r="A1059" s="1" t="n">
        <v>2062</v>
      </c>
      <c r="B1059" s="30" t="n">
        <v>43391</v>
      </c>
      <c r="C1059" s="29" t="s">
        <v>28</v>
      </c>
      <c r="D1059" s="62" t="n">
        <v>10</v>
      </c>
      <c r="E1059" s="62" t="n">
        <v>147.41</v>
      </c>
      <c r="F1059" s="62" t="s">
        <v>6</v>
      </c>
      <c r="G1059" s="29" t="s">
        <v>29</v>
      </c>
      <c r="H1059" s="29" t="s">
        <v>36</v>
      </c>
    </row>
    <row r="1060" customFormat="false" ht="14.25" hidden="false" customHeight="false" outlineLevel="0" collapsed="false">
      <c r="A1060" s="1" t="n">
        <v>2063</v>
      </c>
      <c r="B1060" s="30" t="n">
        <v>43391</v>
      </c>
      <c r="C1060" s="29" t="s">
        <v>28</v>
      </c>
      <c r="D1060" s="62" t="n">
        <v>32</v>
      </c>
      <c r="E1060" s="62" t="n">
        <v>6937.26</v>
      </c>
      <c r="F1060" s="62" t="s">
        <v>6</v>
      </c>
      <c r="G1060" s="29" t="s">
        <v>22</v>
      </c>
      <c r="H1060" s="29" t="s">
        <v>40</v>
      </c>
    </row>
    <row r="1061" customFormat="false" ht="14.25" hidden="false" customHeight="false" outlineLevel="0" collapsed="false">
      <c r="A1061" s="1" t="n">
        <v>2064</v>
      </c>
      <c r="B1061" s="30" t="n">
        <v>43311</v>
      </c>
      <c r="C1061" s="29" t="s">
        <v>21</v>
      </c>
      <c r="D1061" s="62" t="n">
        <v>14</v>
      </c>
      <c r="E1061" s="62" t="n">
        <v>635.17</v>
      </c>
      <c r="F1061" s="62" t="s">
        <v>6</v>
      </c>
      <c r="G1061" s="29" t="s">
        <v>29</v>
      </c>
      <c r="H1061" s="29" t="s">
        <v>36</v>
      </c>
    </row>
    <row r="1062" customFormat="false" ht="14.25" hidden="false" customHeight="false" outlineLevel="0" collapsed="false">
      <c r="A1062" s="1" t="n">
        <v>2065</v>
      </c>
      <c r="B1062" s="30" t="n">
        <v>43311</v>
      </c>
      <c r="C1062" s="29" t="s">
        <v>21</v>
      </c>
      <c r="D1062" s="62" t="n">
        <v>31</v>
      </c>
      <c r="E1062" s="62" t="n">
        <v>41.22</v>
      </c>
      <c r="F1062" s="62" t="s">
        <v>6</v>
      </c>
      <c r="G1062" s="29" t="s">
        <v>29</v>
      </c>
      <c r="H1062" s="29" t="s">
        <v>33</v>
      </c>
    </row>
    <row r="1063" customFormat="false" ht="14.25" hidden="false" customHeight="false" outlineLevel="0" collapsed="false">
      <c r="A1063" s="1" t="n">
        <v>2066</v>
      </c>
      <c r="B1063" s="30" t="n">
        <v>43282</v>
      </c>
      <c r="C1063" s="29" t="s">
        <v>28</v>
      </c>
      <c r="D1063" s="62" t="n">
        <v>14</v>
      </c>
      <c r="E1063" s="62" t="n">
        <v>2231.95</v>
      </c>
      <c r="F1063" s="62" t="s">
        <v>6</v>
      </c>
      <c r="G1063" s="29" t="s">
        <v>22</v>
      </c>
      <c r="H1063" s="29" t="s">
        <v>44</v>
      </c>
    </row>
    <row r="1064" customFormat="false" ht="14.25" hidden="false" customHeight="false" outlineLevel="0" collapsed="false">
      <c r="A1064" s="1" t="n">
        <v>2067</v>
      </c>
      <c r="B1064" s="30" t="n">
        <v>43324</v>
      </c>
      <c r="C1064" s="29" t="s">
        <v>31</v>
      </c>
      <c r="D1064" s="62" t="n">
        <v>7</v>
      </c>
      <c r="E1064" s="62" t="n">
        <v>279.45</v>
      </c>
      <c r="F1064" s="62" t="s">
        <v>5</v>
      </c>
      <c r="G1064" s="29" t="s">
        <v>22</v>
      </c>
      <c r="H1064" s="29" t="s">
        <v>40</v>
      </c>
    </row>
    <row r="1065" customFormat="false" ht="14.25" hidden="false" customHeight="false" outlineLevel="0" collapsed="false">
      <c r="A1065" s="1" t="n">
        <v>2068</v>
      </c>
      <c r="B1065" s="30" t="n">
        <v>43226</v>
      </c>
      <c r="C1065" s="29" t="s">
        <v>21</v>
      </c>
      <c r="D1065" s="62" t="n">
        <v>8</v>
      </c>
      <c r="E1065" s="62" t="n">
        <v>793.39</v>
      </c>
      <c r="F1065" s="62" t="s">
        <v>4</v>
      </c>
      <c r="G1065" s="29" t="s">
        <v>29</v>
      </c>
      <c r="H1065" s="29" t="s">
        <v>38</v>
      </c>
    </row>
    <row r="1066" customFormat="false" ht="14.25" hidden="false" customHeight="false" outlineLevel="0" collapsed="false">
      <c r="A1066" s="1" t="n">
        <v>2069</v>
      </c>
      <c r="B1066" s="30" t="n">
        <v>43451</v>
      </c>
      <c r="C1066" s="29" t="s">
        <v>37</v>
      </c>
      <c r="D1066" s="62" t="n">
        <v>14</v>
      </c>
      <c r="E1066" s="62" t="n">
        <v>148.68</v>
      </c>
      <c r="F1066" s="62" t="s">
        <v>5</v>
      </c>
      <c r="G1066" s="29" t="s">
        <v>29</v>
      </c>
      <c r="H1066" s="29" t="s">
        <v>36</v>
      </c>
    </row>
    <row r="1067" customFormat="false" ht="14.25" hidden="false" customHeight="false" outlineLevel="0" collapsed="false">
      <c r="A1067" s="1" t="n">
        <v>2070</v>
      </c>
      <c r="B1067" s="30" t="n">
        <v>43451</v>
      </c>
      <c r="C1067" s="29" t="s">
        <v>37</v>
      </c>
      <c r="D1067" s="62" t="n">
        <v>42</v>
      </c>
      <c r="E1067" s="62" t="n">
        <v>6076.05</v>
      </c>
      <c r="F1067" s="62" t="s">
        <v>5</v>
      </c>
      <c r="G1067" s="29" t="s">
        <v>24</v>
      </c>
      <c r="H1067" s="29" t="s">
        <v>25</v>
      </c>
    </row>
    <row r="1068" customFormat="false" ht="14.25" hidden="false" customHeight="false" outlineLevel="0" collapsed="false">
      <c r="A1068" s="1" t="n">
        <v>2071</v>
      </c>
      <c r="B1068" s="30" t="n">
        <v>43307</v>
      </c>
      <c r="C1068" s="29" t="s">
        <v>37</v>
      </c>
      <c r="D1068" s="62" t="n">
        <v>13</v>
      </c>
      <c r="E1068" s="62" t="n">
        <v>1277.17</v>
      </c>
      <c r="F1068" s="62" t="s">
        <v>3</v>
      </c>
      <c r="G1068" s="29" t="s">
        <v>22</v>
      </c>
      <c r="H1068" s="29" t="s">
        <v>40</v>
      </c>
    </row>
    <row r="1069" customFormat="false" ht="14.25" hidden="false" customHeight="false" outlineLevel="0" collapsed="false">
      <c r="A1069" s="1" t="n">
        <v>2072</v>
      </c>
      <c r="B1069" s="30" t="n">
        <v>43307</v>
      </c>
      <c r="C1069" s="29" t="s">
        <v>37</v>
      </c>
      <c r="D1069" s="62" t="n">
        <v>47</v>
      </c>
      <c r="E1069" s="62" t="n">
        <v>388.66</v>
      </c>
      <c r="F1069" s="62" t="s">
        <v>3</v>
      </c>
      <c r="G1069" s="29" t="s">
        <v>22</v>
      </c>
      <c r="H1069" s="29" t="s">
        <v>23</v>
      </c>
    </row>
    <row r="1070" customFormat="false" ht="14.25" hidden="false" customHeight="false" outlineLevel="0" collapsed="false">
      <c r="A1070" s="1" t="n">
        <v>2073</v>
      </c>
      <c r="B1070" s="30" t="n">
        <v>43275</v>
      </c>
      <c r="C1070" s="29" t="s">
        <v>21</v>
      </c>
      <c r="D1070" s="62" t="n">
        <v>13</v>
      </c>
      <c r="E1070" s="62" t="n">
        <v>1612.32</v>
      </c>
      <c r="F1070" s="62" t="s">
        <v>6</v>
      </c>
      <c r="G1070" s="29" t="s">
        <v>24</v>
      </c>
      <c r="H1070" s="29" t="s">
        <v>25</v>
      </c>
    </row>
    <row r="1071" customFormat="false" ht="14.25" hidden="false" customHeight="false" outlineLevel="0" collapsed="false">
      <c r="A1071" s="1" t="n">
        <v>2074</v>
      </c>
      <c r="B1071" s="30" t="n">
        <v>43231</v>
      </c>
      <c r="C1071" s="29" t="s">
        <v>28</v>
      </c>
      <c r="D1071" s="62" t="n">
        <v>16</v>
      </c>
      <c r="E1071" s="62" t="n">
        <v>133.63</v>
      </c>
      <c r="F1071" s="62" t="s">
        <v>6</v>
      </c>
      <c r="G1071" s="29" t="s">
        <v>29</v>
      </c>
      <c r="H1071" s="29" t="s">
        <v>36</v>
      </c>
    </row>
    <row r="1072" customFormat="false" ht="14.25" hidden="false" customHeight="false" outlineLevel="0" collapsed="false">
      <c r="A1072" s="1" t="n">
        <v>2075</v>
      </c>
      <c r="B1072" s="30" t="n">
        <v>43231</v>
      </c>
      <c r="C1072" s="29" t="s">
        <v>28</v>
      </c>
      <c r="D1072" s="62" t="n">
        <v>15</v>
      </c>
      <c r="E1072" s="62" t="n">
        <v>432.86</v>
      </c>
      <c r="F1072" s="62" t="s">
        <v>6</v>
      </c>
      <c r="G1072" s="29" t="s">
        <v>22</v>
      </c>
      <c r="H1072" s="29" t="s">
        <v>40</v>
      </c>
    </row>
    <row r="1073" customFormat="false" ht="14.25" hidden="false" customHeight="false" outlineLevel="0" collapsed="false">
      <c r="A1073" s="1" t="n">
        <v>2076</v>
      </c>
      <c r="B1073" s="30" t="n">
        <v>43400</v>
      </c>
      <c r="C1073" s="29" t="s">
        <v>39</v>
      </c>
      <c r="D1073" s="62" t="n">
        <v>11</v>
      </c>
      <c r="E1073" s="62" t="n">
        <v>3684.23</v>
      </c>
      <c r="F1073" s="62" t="s">
        <v>6</v>
      </c>
      <c r="G1073" s="29" t="s">
        <v>24</v>
      </c>
      <c r="H1073" s="29" t="s">
        <v>42</v>
      </c>
    </row>
    <row r="1074" customFormat="false" ht="14.25" hidden="false" customHeight="false" outlineLevel="0" collapsed="false">
      <c r="A1074" s="1" t="n">
        <v>2077</v>
      </c>
      <c r="B1074" s="30" t="n">
        <v>43400</v>
      </c>
      <c r="C1074" s="29" t="s">
        <v>39</v>
      </c>
      <c r="D1074" s="62" t="n">
        <v>22</v>
      </c>
      <c r="E1074" s="62" t="n">
        <v>529.48</v>
      </c>
      <c r="F1074" s="62" t="s">
        <v>6</v>
      </c>
      <c r="G1074" s="29" t="s">
        <v>22</v>
      </c>
      <c r="H1074" s="29" t="s">
        <v>23</v>
      </c>
    </row>
    <row r="1075" customFormat="false" ht="14.25" hidden="false" customHeight="false" outlineLevel="0" collapsed="false">
      <c r="A1075" s="1" t="n">
        <v>2078</v>
      </c>
      <c r="B1075" s="30" t="n">
        <v>43135</v>
      </c>
      <c r="C1075" s="29" t="s">
        <v>39</v>
      </c>
      <c r="D1075" s="62" t="n">
        <v>41</v>
      </c>
      <c r="E1075" s="62" t="n">
        <v>18670.16</v>
      </c>
      <c r="F1075" s="62" t="s">
        <v>3</v>
      </c>
      <c r="G1075" s="29" t="s">
        <v>22</v>
      </c>
      <c r="H1075" s="29" t="s">
        <v>27</v>
      </c>
    </row>
    <row r="1076" customFormat="false" ht="14.25" hidden="false" customHeight="false" outlineLevel="0" collapsed="false">
      <c r="A1076" s="1" t="n">
        <v>2079</v>
      </c>
      <c r="B1076" s="30" t="n">
        <v>43377</v>
      </c>
      <c r="C1076" s="29" t="s">
        <v>37</v>
      </c>
      <c r="D1076" s="62" t="n">
        <v>25</v>
      </c>
      <c r="E1076" s="62" t="n">
        <v>387.9</v>
      </c>
      <c r="F1076" s="62" t="s">
        <v>4</v>
      </c>
      <c r="G1076" s="29" t="s">
        <v>29</v>
      </c>
      <c r="H1076" s="29" t="s">
        <v>38</v>
      </c>
    </row>
    <row r="1077" customFormat="false" ht="14.25" hidden="false" customHeight="false" outlineLevel="0" collapsed="false">
      <c r="A1077" s="1" t="n">
        <v>2080</v>
      </c>
      <c r="B1077" s="30" t="n">
        <v>43377</v>
      </c>
      <c r="C1077" s="29" t="s">
        <v>37</v>
      </c>
      <c r="D1077" s="62" t="n">
        <v>6</v>
      </c>
      <c r="E1077" s="62" t="n">
        <v>362.61</v>
      </c>
      <c r="F1077" s="62" t="s">
        <v>4</v>
      </c>
      <c r="G1077" s="29" t="s">
        <v>29</v>
      </c>
      <c r="H1077" s="29" t="s">
        <v>36</v>
      </c>
    </row>
    <row r="1078" customFormat="false" ht="14.25" hidden="false" customHeight="false" outlineLevel="0" collapsed="false">
      <c r="A1078" s="1" t="n">
        <v>2081</v>
      </c>
      <c r="B1078" s="30" t="n">
        <v>43435</v>
      </c>
      <c r="C1078" s="29" t="s">
        <v>37</v>
      </c>
      <c r="D1078" s="62" t="n">
        <v>25</v>
      </c>
      <c r="E1078" s="62" t="n">
        <v>481.8</v>
      </c>
      <c r="F1078" s="62" t="s">
        <v>4</v>
      </c>
      <c r="G1078" s="29" t="s">
        <v>24</v>
      </c>
      <c r="H1078" s="29" t="s">
        <v>42</v>
      </c>
    </row>
    <row r="1079" customFormat="false" ht="14.25" hidden="false" customHeight="false" outlineLevel="0" collapsed="false">
      <c r="A1079" s="1" t="n">
        <v>2082</v>
      </c>
      <c r="B1079" s="30" t="n">
        <v>43422</v>
      </c>
      <c r="C1079" s="29" t="s">
        <v>28</v>
      </c>
      <c r="D1079" s="62" t="n">
        <v>8</v>
      </c>
      <c r="E1079" s="62" t="n">
        <v>1177</v>
      </c>
      <c r="F1079" s="62" t="s">
        <v>3</v>
      </c>
      <c r="G1079" s="29" t="s">
        <v>24</v>
      </c>
      <c r="H1079" s="29" t="s">
        <v>42</v>
      </c>
    </row>
    <row r="1080" customFormat="false" ht="14.25" hidden="false" customHeight="false" outlineLevel="0" collapsed="false">
      <c r="A1080" s="1" t="n">
        <v>2083</v>
      </c>
      <c r="B1080" s="30" t="n">
        <v>43422</v>
      </c>
      <c r="C1080" s="29" t="s">
        <v>28</v>
      </c>
      <c r="D1080" s="62" t="n">
        <v>17</v>
      </c>
      <c r="E1080" s="62" t="n">
        <v>122.99</v>
      </c>
      <c r="F1080" s="62" t="s">
        <v>3</v>
      </c>
      <c r="G1080" s="29" t="s">
        <v>29</v>
      </c>
      <c r="H1080" s="29" t="s">
        <v>36</v>
      </c>
    </row>
    <row r="1081" customFormat="false" ht="14.25" hidden="false" customHeight="false" outlineLevel="0" collapsed="false">
      <c r="A1081" s="1" t="n">
        <v>2084</v>
      </c>
      <c r="B1081" s="30" t="n">
        <v>43282</v>
      </c>
      <c r="C1081" s="29" t="s">
        <v>31</v>
      </c>
      <c r="D1081" s="62" t="n">
        <v>4</v>
      </c>
      <c r="E1081" s="62" t="n">
        <v>9060.42</v>
      </c>
      <c r="F1081" s="62" t="s">
        <v>3</v>
      </c>
      <c r="G1081" s="29" t="s">
        <v>24</v>
      </c>
      <c r="H1081" s="29" t="s">
        <v>42</v>
      </c>
    </row>
    <row r="1082" customFormat="false" ht="14.25" hidden="false" customHeight="false" outlineLevel="0" collapsed="false">
      <c r="A1082" s="1" t="n">
        <v>2085</v>
      </c>
      <c r="B1082" s="30" t="n">
        <v>43282</v>
      </c>
      <c r="C1082" s="29" t="s">
        <v>31</v>
      </c>
      <c r="D1082" s="62" t="n">
        <v>20</v>
      </c>
      <c r="E1082" s="62" t="n">
        <v>138.32</v>
      </c>
      <c r="F1082" s="62" t="s">
        <v>3</v>
      </c>
      <c r="G1082" s="29" t="s">
        <v>29</v>
      </c>
      <c r="H1082" s="29" t="s">
        <v>36</v>
      </c>
    </row>
    <row r="1083" customFormat="false" ht="14.25" hidden="false" customHeight="false" outlineLevel="0" collapsed="false">
      <c r="A1083" s="1" t="n">
        <v>2086</v>
      </c>
      <c r="B1083" s="30" t="n">
        <v>43412</v>
      </c>
      <c r="C1083" s="29" t="s">
        <v>37</v>
      </c>
      <c r="D1083" s="62" t="n">
        <v>31</v>
      </c>
      <c r="E1083" s="62" t="n">
        <v>257.47</v>
      </c>
      <c r="F1083" s="62" t="s">
        <v>3</v>
      </c>
      <c r="G1083" s="29" t="s">
        <v>24</v>
      </c>
      <c r="H1083" s="29" t="s">
        <v>26</v>
      </c>
    </row>
    <row r="1084" customFormat="false" ht="14.25" hidden="false" customHeight="false" outlineLevel="0" collapsed="false">
      <c r="A1084" s="1" t="n">
        <v>2087</v>
      </c>
      <c r="B1084" s="30" t="n">
        <v>43452</v>
      </c>
      <c r="C1084" s="29" t="s">
        <v>37</v>
      </c>
      <c r="D1084" s="62" t="n">
        <v>37</v>
      </c>
      <c r="E1084" s="62" t="n">
        <v>2823.51</v>
      </c>
      <c r="F1084" s="62" t="s">
        <v>6</v>
      </c>
      <c r="G1084" s="29" t="s">
        <v>22</v>
      </c>
      <c r="H1084" s="29" t="s">
        <v>27</v>
      </c>
    </row>
    <row r="1085" customFormat="false" ht="14.25" hidden="false" customHeight="false" outlineLevel="0" collapsed="false">
      <c r="A1085" s="1" t="n">
        <v>2088</v>
      </c>
      <c r="B1085" s="30" t="n">
        <v>43298</v>
      </c>
      <c r="C1085" s="29" t="s">
        <v>37</v>
      </c>
      <c r="D1085" s="62" t="n">
        <v>3</v>
      </c>
      <c r="E1085" s="62" t="n">
        <v>9.2</v>
      </c>
      <c r="F1085" s="62" t="s">
        <v>3</v>
      </c>
      <c r="G1085" s="29" t="s">
        <v>29</v>
      </c>
      <c r="H1085" s="29" t="s">
        <v>35</v>
      </c>
    </row>
    <row r="1086" customFormat="false" ht="14.25" hidden="false" customHeight="false" outlineLevel="0" collapsed="false">
      <c r="A1086" s="1" t="n">
        <v>2089</v>
      </c>
      <c r="B1086" s="30" t="n">
        <v>43189</v>
      </c>
      <c r="C1086" s="29" t="s">
        <v>31</v>
      </c>
      <c r="D1086" s="62" t="n">
        <v>12</v>
      </c>
      <c r="E1086" s="62" t="n">
        <v>89.76</v>
      </c>
      <c r="F1086" s="62" t="s">
        <v>3</v>
      </c>
      <c r="G1086" s="29" t="s">
        <v>29</v>
      </c>
      <c r="H1086" s="29" t="s">
        <v>34</v>
      </c>
    </row>
    <row r="1087" customFormat="false" ht="14.25" hidden="false" customHeight="false" outlineLevel="0" collapsed="false">
      <c r="A1087" s="1" t="n">
        <v>2090</v>
      </c>
      <c r="B1087" s="30" t="n">
        <v>43134</v>
      </c>
      <c r="C1087" s="29" t="s">
        <v>28</v>
      </c>
      <c r="D1087" s="62" t="n">
        <v>9</v>
      </c>
      <c r="E1087" s="62" t="n">
        <v>2677.86</v>
      </c>
      <c r="F1087" s="62" t="s">
        <v>4</v>
      </c>
      <c r="G1087" s="29" t="s">
        <v>22</v>
      </c>
      <c r="H1087" s="29" t="s">
        <v>40</v>
      </c>
    </row>
    <row r="1088" customFormat="false" ht="14.25" hidden="false" customHeight="false" outlineLevel="0" collapsed="false">
      <c r="A1088" s="1" t="n">
        <v>2091</v>
      </c>
      <c r="B1088" s="30" t="n">
        <v>43176</v>
      </c>
      <c r="C1088" s="29" t="s">
        <v>31</v>
      </c>
      <c r="D1088" s="62" t="n">
        <v>6</v>
      </c>
      <c r="E1088" s="62" t="n">
        <v>167.02</v>
      </c>
      <c r="F1088" s="62" t="s">
        <v>5</v>
      </c>
      <c r="G1088" s="29" t="s">
        <v>29</v>
      </c>
      <c r="H1088" s="29" t="s">
        <v>34</v>
      </c>
    </row>
    <row r="1089" customFormat="false" ht="14.25" hidden="false" customHeight="false" outlineLevel="0" collapsed="false">
      <c r="A1089" s="1" t="n">
        <v>2092</v>
      </c>
      <c r="B1089" s="30" t="n">
        <v>43176</v>
      </c>
      <c r="C1089" s="29" t="s">
        <v>31</v>
      </c>
      <c r="D1089" s="62" t="n">
        <v>47</v>
      </c>
      <c r="E1089" s="62" t="n">
        <v>1384.6</v>
      </c>
      <c r="F1089" s="62" t="s">
        <v>5</v>
      </c>
      <c r="G1089" s="29" t="s">
        <v>24</v>
      </c>
      <c r="H1089" s="29" t="s">
        <v>25</v>
      </c>
    </row>
    <row r="1090" customFormat="false" ht="14.25" hidden="false" customHeight="false" outlineLevel="0" collapsed="false">
      <c r="A1090" s="1" t="n">
        <v>2093</v>
      </c>
      <c r="B1090" s="30" t="n">
        <v>43357</v>
      </c>
      <c r="C1090" s="29" t="s">
        <v>21</v>
      </c>
      <c r="D1090" s="62" t="n">
        <v>38</v>
      </c>
      <c r="E1090" s="62" t="n">
        <v>279.68</v>
      </c>
      <c r="F1090" s="62" t="s">
        <v>4</v>
      </c>
      <c r="G1090" s="29" t="s">
        <v>29</v>
      </c>
      <c r="H1090" s="29" t="s">
        <v>36</v>
      </c>
    </row>
    <row r="1091" customFormat="false" ht="14.25" hidden="false" customHeight="false" outlineLevel="0" collapsed="false">
      <c r="A1091" s="1" t="n">
        <v>2094</v>
      </c>
      <c r="B1091" s="30" t="n">
        <v>43357</v>
      </c>
      <c r="C1091" s="29" t="s">
        <v>21</v>
      </c>
      <c r="D1091" s="62" t="n">
        <v>23</v>
      </c>
      <c r="E1091" s="62" t="n">
        <v>178.48</v>
      </c>
      <c r="F1091" s="62" t="s">
        <v>4</v>
      </c>
      <c r="G1091" s="29" t="s">
        <v>29</v>
      </c>
      <c r="H1091" s="29" t="s">
        <v>36</v>
      </c>
    </row>
    <row r="1092" customFormat="false" ht="14.25" hidden="false" customHeight="false" outlineLevel="0" collapsed="false">
      <c r="A1092" s="1" t="n">
        <v>2095</v>
      </c>
      <c r="B1092" s="30" t="n">
        <v>43449</v>
      </c>
      <c r="C1092" s="29" t="s">
        <v>39</v>
      </c>
      <c r="D1092" s="62" t="n">
        <v>41</v>
      </c>
      <c r="E1092" s="62" t="n">
        <v>7677.19</v>
      </c>
      <c r="F1092" s="62" t="s">
        <v>3</v>
      </c>
      <c r="G1092" s="29" t="s">
        <v>24</v>
      </c>
      <c r="H1092" s="29" t="s">
        <v>25</v>
      </c>
    </row>
    <row r="1093" customFormat="false" ht="14.25" hidden="false" customHeight="false" outlineLevel="0" collapsed="false">
      <c r="A1093" s="1" t="n">
        <v>2096</v>
      </c>
      <c r="B1093" s="30" t="n">
        <v>43449</v>
      </c>
      <c r="C1093" s="29" t="s">
        <v>39</v>
      </c>
      <c r="D1093" s="62" t="n">
        <v>31</v>
      </c>
      <c r="E1093" s="62" t="n">
        <v>1454.92</v>
      </c>
      <c r="F1093" s="62" t="s">
        <v>3</v>
      </c>
      <c r="G1093" s="29" t="s">
        <v>29</v>
      </c>
      <c r="H1093" s="29" t="s">
        <v>30</v>
      </c>
    </row>
    <row r="1094" customFormat="false" ht="14.25" hidden="false" customHeight="false" outlineLevel="0" collapsed="false">
      <c r="A1094" s="1" t="n">
        <v>2097</v>
      </c>
      <c r="B1094" s="30" t="n">
        <v>43449</v>
      </c>
      <c r="C1094" s="29" t="s">
        <v>39</v>
      </c>
      <c r="D1094" s="62" t="n">
        <v>38</v>
      </c>
      <c r="E1094" s="62" t="n">
        <v>5594.17</v>
      </c>
      <c r="F1094" s="62" t="s">
        <v>3</v>
      </c>
      <c r="G1094" s="29" t="s">
        <v>29</v>
      </c>
      <c r="H1094" s="29" t="s">
        <v>38</v>
      </c>
    </row>
    <row r="1095" customFormat="false" ht="14.25" hidden="false" customHeight="false" outlineLevel="0" collapsed="false">
      <c r="A1095" s="1" t="n">
        <v>2098</v>
      </c>
      <c r="B1095" s="30" t="n">
        <v>43421</v>
      </c>
      <c r="C1095" s="29" t="s">
        <v>21</v>
      </c>
      <c r="D1095" s="62" t="n">
        <v>32</v>
      </c>
      <c r="E1095" s="62" t="n">
        <v>718.77</v>
      </c>
      <c r="F1095" s="62" t="s">
        <v>3</v>
      </c>
      <c r="G1095" s="29" t="s">
        <v>24</v>
      </c>
      <c r="H1095" s="29" t="s">
        <v>26</v>
      </c>
    </row>
    <row r="1096" customFormat="false" ht="14.25" hidden="false" customHeight="false" outlineLevel="0" collapsed="false">
      <c r="A1096" s="1" t="n">
        <v>2099</v>
      </c>
      <c r="B1096" s="30" t="n">
        <v>43421</v>
      </c>
      <c r="C1096" s="29" t="s">
        <v>21</v>
      </c>
      <c r="D1096" s="62" t="n">
        <v>27</v>
      </c>
      <c r="E1096" s="62" t="n">
        <v>10208.91</v>
      </c>
      <c r="F1096" s="62" t="s">
        <v>3</v>
      </c>
      <c r="G1096" s="29" t="s">
        <v>22</v>
      </c>
      <c r="H1096" s="29" t="s">
        <v>27</v>
      </c>
    </row>
    <row r="1097" customFormat="false" ht="14.25" hidden="false" customHeight="false" outlineLevel="0" collapsed="false">
      <c r="A1097" s="1" t="n">
        <v>2100</v>
      </c>
      <c r="B1097" s="30" t="n">
        <v>43449</v>
      </c>
      <c r="C1097" s="29" t="s">
        <v>37</v>
      </c>
      <c r="D1097" s="62" t="n">
        <v>22</v>
      </c>
      <c r="E1097" s="62" t="n">
        <v>102.79</v>
      </c>
      <c r="F1097" s="62" t="s">
        <v>4</v>
      </c>
      <c r="G1097" s="29" t="s">
        <v>29</v>
      </c>
      <c r="H1097" s="29" t="s">
        <v>45</v>
      </c>
    </row>
    <row r="1098" customFormat="false" ht="14.25" hidden="false" customHeight="false" outlineLevel="0" collapsed="false">
      <c r="A1098" s="1" t="n">
        <v>2101</v>
      </c>
      <c r="B1098" s="30" t="n">
        <v>43449</v>
      </c>
      <c r="C1098" s="29" t="s">
        <v>37</v>
      </c>
      <c r="D1098" s="62" t="n">
        <v>49</v>
      </c>
      <c r="E1098" s="62" t="n">
        <v>397.99</v>
      </c>
      <c r="F1098" s="62" t="s">
        <v>4</v>
      </c>
      <c r="G1098" s="29" t="s">
        <v>29</v>
      </c>
      <c r="H1098" s="29" t="s">
        <v>34</v>
      </c>
    </row>
    <row r="1099" customFormat="false" ht="14.25" hidden="false" customHeight="false" outlineLevel="0" collapsed="false">
      <c r="A1099" s="1" t="n">
        <v>2102</v>
      </c>
      <c r="B1099" s="30" t="n">
        <v>43271</v>
      </c>
      <c r="C1099" s="29" t="s">
        <v>21</v>
      </c>
      <c r="D1099" s="62" t="n">
        <v>48</v>
      </c>
      <c r="E1099" s="62" t="n">
        <v>188.31</v>
      </c>
      <c r="F1099" s="62" t="s">
        <v>5</v>
      </c>
      <c r="G1099" s="29" t="s">
        <v>29</v>
      </c>
      <c r="H1099" s="29" t="s">
        <v>35</v>
      </c>
    </row>
    <row r="1100" customFormat="false" ht="14.25" hidden="false" customHeight="false" outlineLevel="0" collapsed="false">
      <c r="A1100" s="1" t="n">
        <v>2103</v>
      </c>
      <c r="B1100" s="30" t="n">
        <v>43271</v>
      </c>
      <c r="C1100" s="29" t="s">
        <v>21</v>
      </c>
      <c r="D1100" s="62" t="n">
        <v>33</v>
      </c>
      <c r="E1100" s="62" t="n">
        <v>236.72</v>
      </c>
      <c r="F1100" s="62" t="s">
        <v>5</v>
      </c>
      <c r="G1100" s="29" t="s">
        <v>29</v>
      </c>
      <c r="H1100" s="29" t="s">
        <v>36</v>
      </c>
    </row>
    <row r="1101" customFormat="false" ht="14.25" hidden="false" customHeight="false" outlineLevel="0" collapsed="false">
      <c r="A1101" s="1" t="n">
        <v>2104</v>
      </c>
      <c r="B1101" s="30" t="n">
        <v>43271</v>
      </c>
      <c r="C1101" s="29" t="s">
        <v>31</v>
      </c>
      <c r="D1101" s="62" t="n">
        <v>8</v>
      </c>
      <c r="E1101" s="62" t="n">
        <v>191.29</v>
      </c>
      <c r="F1101" s="62" t="s">
        <v>5</v>
      </c>
      <c r="G1101" s="29" t="s">
        <v>22</v>
      </c>
      <c r="H1101" s="29" t="s">
        <v>23</v>
      </c>
    </row>
    <row r="1102" customFormat="false" ht="14.25" hidden="false" customHeight="false" outlineLevel="0" collapsed="false">
      <c r="A1102" s="1" t="n">
        <v>2105</v>
      </c>
      <c r="B1102" s="30" t="n">
        <v>43109</v>
      </c>
      <c r="C1102" s="29" t="s">
        <v>31</v>
      </c>
      <c r="D1102" s="62" t="n">
        <v>13</v>
      </c>
      <c r="E1102" s="62" t="n">
        <v>53.22</v>
      </c>
      <c r="F1102" s="62" t="s">
        <v>4</v>
      </c>
      <c r="G1102" s="29" t="s">
        <v>29</v>
      </c>
      <c r="H1102" s="29" t="s">
        <v>35</v>
      </c>
    </row>
    <row r="1103" customFormat="false" ht="14.25" hidden="false" customHeight="false" outlineLevel="0" collapsed="false">
      <c r="A1103" s="1" t="n">
        <v>2106</v>
      </c>
      <c r="B1103" s="30" t="n">
        <v>43221</v>
      </c>
      <c r="C1103" s="29" t="s">
        <v>39</v>
      </c>
      <c r="D1103" s="62" t="n">
        <v>13</v>
      </c>
      <c r="E1103" s="62" t="n">
        <v>162.79</v>
      </c>
      <c r="F1103" s="62" t="s">
        <v>4</v>
      </c>
      <c r="G1103" s="29" t="s">
        <v>29</v>
      </c>
      <c r="H1103" s="29" t="s">
        <v>38</v>
      </c>
    </row>
    <row r="1104" customFormat="false" ht="14.25" hidden="false" customHeight="false" outlineLevel="0" collapsed="false">
      <c r="A1104" s="1" t="n">
        <v>2107</v>
      </c>
      <c r="B1104" s="30" t="n">
        <v>43221</v>
      </c>
      <c r="C1104" s="29" t="s">
        <v>39</v>
      </c>
      <c r="D1104" s="62" t="n">
        <v>8</v>
      </c>
      <c r="E1104" s="62" t="n">
        <v>47.68</v>
      </c>
      <c r="F1104" s="62" t="s">
        <v>4</v>
      </c>
      <c r="G1104" s="29" t="s">
        <v>29</v>
      </c>
      <c r="H1104" s="29" t="s">
        <v>45</v>
      </c>
    </row>
    <row r="1105" customFormat="false" ht="14.25" hidden="false" customHeight="false" outlineLevel="0" collapsed="false">
      <c r="A1105" s="1" t="n">
        <v>2108</v>
      </c>
      <c r="B1105" s="30" t="n">
        <v>43154</v>
      </c>
      <c r="C1105" s="29" t="s">
        <v>21</v>
      </c>
      <c r="D1105" s="62" t="n">
        <v>2</v>
      </c>
      <c r="E1105" s="62" t="n">
        <v>11.93</v>
      </c>
      <c r="F1105" s="62" t="s">
        <v>6</v>
      </c>
      <c r="G1105" s="29" t="s">
        <v>29</v>
      </c>
      <c r="H1105" s="29" t="s">
        <v>36</v>
      </c>
    </row>
    <row r="1106" customFormat="false" ht="14.25" hidden="false" customHeight="false" outlineLevel="0" collapsed="false">
      <c r="A1106" s="1" t="n">
        <v>2109</v>
      </c>
      <c r="B1106" s="30" t="n">
        <v>43154</v>
      </c>
      <c r="C1106" s="29" t="s">
        <v>21</v>
      </c>
      <c r="D1106" s="62" t="n">
        <v>25</v>
      </c>
      <c r="E1106" s="62" t="n">
        <v>2597.16</v>
      </c>
      <c r="F1106" s="62" t="s">
        <v>6</v>
      </c>
      <c r="G1106" s="29" t="s">
        <v>24</v>
      </c>
      <c r="H1106" s="29" t="s">
        <v>26</v>
      </c>
    </row>
    <row r="1107" customFormat="false" ht="14.25" hidden="false" customHeight="false" outlineLevel="0" collapsed="false">
      <c r="A1107" s="1" t="n">
        <v>2110</v>
      </c>
      <c r="B1107" s="30" t="n">
        <v>43295</v>
      </c>
      <c r="C1107" s="29" t="s">
        <v>21</v>
      </c>
      <c r="D1107" s="62" t="n">
        <v>48</v>
      </c>
      <c r="E1107" s="62" t="n">
        <v>5691.21</v>
      </c>
      <c r="F1107" s="62" t="s">
        <v>5</v>
      </c>
      <c r="G1107" s="29" t="s">
        <v>29</v>
      </c>
      <c r="H1107" s="29" t="s">
        <v>38</v>
      </c>
    </row>
    <row r="1108" customFormat="false" ht="14.25" hidden="false" customHeight="false" outlineLevel="0" collapsed="false">
      <c r="A1108" s="1" t="n">
        <v>2111</v>
      </c>
      <c r="B1108" s="30" t="n">
        <v>43124</v>
      </c>
      <c r="C1108" s="29" t="s">
        <v>21</v>
      </c>
      <c r="D1108" s="62" t="n">
        <v>24</v>
      </c>
      <c r="E1108" s="62" t="n">
        <v>283.92</v>
      </c>
      <c r="F1108" s="62" t="s">
        <v>5</v>
      </c>
      <c r="G1108" s="29" t="s">
        <v>29</v>
      </c>
      <c r="H1108" s="29" t="s">
        <v>36</v>
      </c>
    </row>
    <row r="1109" customFormat="false" ht="14.25" hidden="false" customHeight="false" outlineLevel="0" collapsed="false">
      <c r="A1109" s="1" t="n">
        <v>2112</v>
      </c>
      <c r="B1109" s="30" t="n">
        <v>43415</v>
      </c>
      <c r="C1109" s="29" t="s">
        <v>31</v>
      </c>
      <c r="D1109" s="62" t="n">
        <v>28</v>
      </c>
      <c r="E1109" s="62" t="n">
        <v>188.06</v>
      </c>
      <c r="F1109" s="62" t="s">
        <v>6</v>
      </c>
      <c r="G1109" s="29" t="s">
        <v>29</v>
      </c>
      <c r="H1109" s="29" t="s">
        <v>35</v>
      </c>
    </row>
    <row r="1110" customFormat="false" ht="14.25" hidden="false" customHeight="false" outlineLevel="0" collapsed="false">
      <c r="A1110" s="1" t="n">
        <v>2113</v>
      </c>
      <c r="B1110" s="30" t="n">
        <v>43415</v>
      </c>
      <c r="C1110" s="29" t="s">
        <v>31</v>
      </c>
      <c r="D1110" s="62" t="n">
        <v>46</v>
      </c>
      <c r="E1110" s="62" t="n">
        <v>6398.43</v>
      </c>
      <c r="F1110" s="62" t="s">
        <v>6</v>
      </c>
      <c r="G1110" s="29" t="s">
        <v>22</v>
      </c>
      <c r="H1110" s="29" t="s">
        <v>40</v>
      </c>
    </row>
    <row r="1111" customFormat="false" ht="14.25" hidden="false" customHeight="false" outlineLevel="0" collapsed="false">
      <c r="A1111" s="1" t="n">
        <v>2114</v>
      </c>
      <c r="B1111" s="30" t="n">
        <v>43443</v>
      </c>
      <c r="C1111" s="29" t="s">
        <v>21</v>
      </c>
      <c r="D1111" s="62" t="n">
        <v>32</v>
      </c>
      <c r="E1111" s="62" t="n">
        <v>7855.9</v>
      </c>
      <c r="F1111" s="62" t="s">
        <v>3</v>
      </c>
      <c r="G1111" s="29" t="s">
        <v>22</v>
      </c>
      <c r="H1111" s="29" t="s">
        <v>40</v>
      </c>
    </row>
    <row r="1112" customFormat="false" ht="14.25" hidden="false" customHeight="false" outlineLevel="0" collapsed="false">
      <c r="A1112" s="1" t="n">
        <v>2115</v>
      </c>
      <c r="B1112" s="30" t="n">
        <v>43433</v>
      </c>
      <c r="C1112" s="29" t="s">
        <v>28</v>
      </c>
      <c r="D1112" s="62" t="n">
        <v>17</v>
      </c>
      <c r="E1112" s="62" t="n">
        <v>560.91</v>
      </c>
      <c r="F1112" s="62" t="s">
        <v>5</v>
      </c>
      <c r="G1112" s="29" t="s">
        <v>24</v>
      </c>
      <c r="H1112" s="29" t="s">
        <v>25</v>
      </c>
    </row>
    <row r="1113" customFormat="false" ht="14.25" hidden="false" customHeight="false" outlineLevel="0" collapsed="false">
      <c r="A1113" s="1" t="n">
        <v>2116</v>
      </c>
      <c r="B1113" s="30" t="n">
        <v>43433</v>
      </c>
      <c r="C1113" s="29" t="s">
        <v>28</v>
      </c>
      <c r="D1113" s="62" t="n">
        <v>6</v>
      </c>
      <c r="E1113" s="62" t="n">
        <v>25.89</v>
      </c>
      <c r="F1113" s="62" t="s">
        <v>5</v>
      </c>
      <c r="G1113" s="29" t="s">
        <v>29</v>
      </c>
      <c r="H1113" s="29" t="s">
        <v>30</v>
      </c>
    </row>
    <row r="1114" customFormat="false" ht="14.25" hidden="false" customHeight="false" outlineLevel="0" collapsed="false">
      <c r="A1114" s="1" t="n">
        <v>2117</v>
      </c>
      <c r="B1114" s="30" t="n">
        <v>43406</v>
      </c>
      <c r="C1114" s="29" t="s">
        <v>28</v>
      </c>
      <c r="D1114" s="62" t="n">
        <v>11</v>
      </c>
      <c r="E1114" s="62" t="n">
        <v>498.99</v>
      </c>
      <c r="F1114" s="62" t="s">
        <v>5</v>
      </c>
      <c r="G1114" s="29" t="s">
        <v>22</v>
      </c>
      <c r="H1114" s="29" t="s">
        <v>23</v>
      </c>
    </row>
    <row r="1115" customFormat="false" ht="14.25" hidden="false" customHeight="false" outlineLevel="0" collapsed="false">
      <c r="A1115" s="1" t="n">
        <v>2118</v>
      </c>
      <c r="B1115" s="30" t="n">
        <v>43211</v>
      </c>
      <c r="C1115" s="29" t="s">
        <v>31</v>
      </c>
      <c r="D1115" s="62" t="n">
        <v>44</v>
      </c>
      <c r="E1115" s="62" t="n">
        <v>12737.87</v>
      </c>
      <c r="F1115" s="62" t="s">
        <v>6</v>
      </c>
      <c r="G1115" s="29" t="s">
        <v>24</v>
      </c>
      <c r="H1115" s="29" t="s">
        <v>42</v>
      </c>
    </row>
    <row r="1116" customFormat="false" ht="14.25" hidden="false" customHeight="false" outlineLevel="0" collapsed="false">
      <c r="A1116" s="1" t="n">
        <v>2119</v>
      </c>
      <c r="B1116" s="30" t="n">
        <v>43311</v>
      </c>
      <c r="C1116" s="29" t="s">
        <v>21</v>
      </c>
      <c r="D1116" s="62" t="n">
        <v>19</v>
      </c>
      <c r="E1116" s="62" t="n">
        <v>350.05</v>
      </c>
      <c r="F1116" s="62" t="s">
        <v>4</v>
      </c>
      <c r="G1116" s="29" t="s">
        <v>29</v>
      </c>
      <c r="H1116" s="29" t="s">
        <v>32</v>
      </c>
    </row>
    <row r="1117" customFormat="false" ht="14.25" hidden="false" customHeight="false" outlineLevel="0" collapsed="false">
      <c r="A1117" s="1" t="n">
        <v>2120</v>
      </c>
      <c r="B1117" s="30" t="n">
        <v>43311</v>
      </c>
      <c r="C1117" s="29" t="s">
        <v>21</v>
      </c>
      <c r="D1117" s="62" t="n">
        <v>20</v>
      </c>
      <c r="E1117" s="62" t="n">
        <v>107.43</v>
      </c>
      <c r="F1117" s="62" t="s">
        <v>4</v>
      </c>
      <c r="G1117" s="29" t="s">
        <v>29</v>
      </c>
      <c r="H1117" s="29" t="s">
        <v>36</v>
      </c>
    </row>
    <row r="1118" customFormat="false" ht="14.25" hidden="false" customHeight="false" outlineLevel="0" collapsed="false">
      <c r="A1118" s="1" t="n">
        <v>2121</v>
      </c>
      <c r="B1118" s="30" t="n">
        <v>43103</v>
      </c>
      <c r="C1118" s="29" t="s">
        <v>39</v>
      </c>
      <c r="D1118" s="62" t="n">
        <v>50</v>
      </c>
      <c r="E1118" s="62" t="n">
        <v>642.24</v>
      </c>
      <c r="F1118" s="62" t="s">
        <v>4</v>
      </c>
      <c r="G1118" s="29" t="s">
        <v>29</v>
      </c>
      <c r="H1118" s="29" t="s">
        <v>32</v>
      </c>
    </row>
    <row r="1119" customFormat="false" ht="14.25" hidden="false" customHeight="false" outlineLevel="0" collapsed="false">
      <c r="A1119" s="1" t="n">
        <v>2122</v>
      </c>
      <c r="B1119" s="30" t="n">
        <v>43435</v>
      </c>
      <c r="C1119" s="29" t="s">
        <v>21</v>
      </c>
      <c r="D1119" s="62" t="n">
        <v>11</v>
      </c>
      <c r="E1119" s="62" t="n">
        <v>481.28</v>
      </c>
      <c r="F1119" s="62" t="s">
        <v>4</v>
      </c>
      <c r="G1119" s="29" t="s">
        <v>29</v>
      </c>
      <c r="H1119" s="29" t="s">
        <v>36</v>
      </c>
    </row>
    <row r="1120" customFormat="false" ht="14.25" hidden="false" customHeight="false" outlineLevel="0" collapsed="false">
      <c r="A1120" s="1" t="n">
        <v>2123</v>
      </c>
      <c r="B1120" s="30" t="n">
        <v>43435</v>
      </c>
      <c r="C1120" s="29" t="s">
        <v>21</v>
      </c>
      <c r="D1120" s="62" t="n">
        <v>42</v>
      </c>
      <c r="E1120" s="62" t="n">
        <v>285.75</v>
      </c>
      <c r="F1120" s="62" t="s">
        <v>4</v>
      </c>
      <c r="G1120" s="29" t="s">
        <v>22</v>
      </c>
      <c r="H1120" s="29" t="s">
        <v>23</v>
      </c>
    </row>
    <row r="1121" customFormat="false" ht="14.25" hidden="false" customHeight="false" outlineLevel="0" collapsed="false">
      <c r="A1121" s="1" t="n">
        <v>2124</v>
      </c>
      <c r="B1121" s="30" t="n">
        <v>43256</v>
      </c>
      <c r="C1121" s="29" t="s">
        <v>39</v>
      </c>
      <c r="D1121" s="62" t="n">
        <v>21</v>
      </c>
      <c r="E1121" s="62" t="n">
        <v>204.36</v>
      </c>
      <c r="F1121" s="62" t="s">
        <v>3</v>
      </c>
      <c r="G1121" s="29" t="s">
        <v>29</v>
      </c>
      <c r="H1121" s="29" t="s">
        <v>30</v>
      </c>
    </row>
    <row r="1122" customFormat="false" ht="14.25" hidden="false" customHeight="false" outlineLevel="0" collapsed="false">
      <c r="A1122" s="1" t="n">
        <v>2125</v>
      </c>
      <c r="B1122" s="30" t="n">
        <v>43383</v>
      </c>
      <c r="C1122" s="29" t="s">
        <v>37</v>
      </c>
      <c r="D1122" s="62" t="n">
        <v>1</v>
      </c>
      <c r="E1122" s="62" t="n">
        <v>7.65</v>
      </c>
      <c r="F1122" s="62" t="s">
        <v>3</v>
      </c>
      <c r="G1122" s="29" t="s">
        <v>22</v>
      </c>
      <c r="H1122" s="29" t="s">
        <v>23</v>
      </c>
    </row>
    <row r="1123" customFormat="false" ht="14.25" hidden="false" customHeight="false" outlineLevel="0" collapsed="false">
      <c r="A1123" s="1" t="n">
        <v>2126</v>
      </c>
      <c r="B1123" s="30" t="n">
        <v>43329</v>
      </c>
      <c r="C1123" s="29" t="s">
        <v>21</v>
      </c>
      <c r="D1123" s="62" t="n">
        <v>10</v>
      </c>
      <c r="E1123" s="62" t="n">
        <v>63.79</v>
      </c>
      <c r="F1123" s="62" t="s">
        <v>4</v>
      </c>
      <c r="G1123" s="29" t="s">
        <v>29</v>
      </c>
      <c r="H1123" s="29" t="s">
        <v>34</v>
      </c>
    </row>
    <row r="1124" customFormat="false" ht="14.25" hidden="false" customHeight="false" outlineLevel="0" collapsed="false">
      <c r="A1124" s="1" t="n">
        <v>2127</v>
      </c>
      <c r="B1124" s="30" t="n">
        <v>43244</v>
      </c>
      <c r="C1124" s="29" t="s">
        <v>39</v>
      </c>
      <c r="D1124" s="62" t="n">
        <v>45</v>
      </c>
      <c r="E1124" s="62" t="n">
        <v>13329.66</v>
      </c>
      <c r="F1124" s="62" t="s">
        <v>4</v>
      </c>
      <c r="G1124" s="29" t="s">
        <v>22</v>
      </c>
      <c r="H1124" s="29" t="s">
        <v>40</v>
      </c>
    </row>
    <row r="1125" customFormat="false" ht="14.25" hidden="false" customHeight="false" outlineLevel="0" collapsed="false">
      <c r="A1125" s="1" t="n">
        <v>2128</v>
      </c>
      <c r="B1125" s="30" t="n">
        <v>43196</v>
      </c>
      <c r="C1125" s="29" t="s">
        <v>39</v>
      </c>
      <c r="D1125" s="62" t="n">
        <v>36</v>
      </c>
      <c r="E1125" s="62" t="n">
        <v>278.34</v>
      </c>
      <c r="F1125" s="62" t="s">
        <v>4</v>
      </c>
      <c r="G1125" s="29" t="s">
        <v>29</v>
      </c>
      <c r="H1125" s="29" t="s">
        <v>36</v>
      </c>
    </row>
    <row r="1126" customFormat="false" ht="14.25" hidden="false" customHeight="false" outlineLevel="0" collapsed="false">
      <c r="A1126" s="1" t="n">
        <v>2129</v>
      </c>
      <c r="B1126" s="30" t="n">
        <v>43389</v>
      </c>
      <c r="C1126" s="29" t="s">
        <v>28</v>
      </c>
      <c r="D1126" s="62" t="n">
        <v>13</v>
      </c>
      <c r="E1126" s="62" t="n">
        <v>397.98</v>
      </c>
      <c r="F1126" s="62" t="s">
        <v>4</v>
      </c>
      <c r="G1126" s="29" t="s">
        <v>29</v>
      </c>
      <c r="H1126" s="29" t="s">
        <v>36</v>
      </c>
    </row>
    <row r="1127" customFormat="false" ht="14.25" hidden="false" customHeight="false" outlineLevel="0" collapsed="false">
      <c r="A1127" s="1" t="n">
        <v>2130</v>
      </c>
      <c r="B1127" s="30" t="n">
        <v>43140</v>
      </c>
      <c r="C1127" s="29" t="s">
        <v>31</v>
      </c>
      <c r="D1127" s="62" t="n">
        <v>4</v>
      </c>
      <c r="E1127" s="62" t="n">
        <v>577.61</v>
      </c>
      <c r="F1127" s="62" t="s">
        <v>6</v>
      </c>
      <c r="G1127" s="29" t="s">
        <v>29</v>
      </c>
      <c r="H1127" s="29" t="s">
        <v>38</v>
      </c>
    </row>
    <row r="1128" customFormat="false" ht="14.25" hidden="false" customHeight="false" outlineLevel="0" collapsed="false">
      <c r="A1128" s="1" t="n">
        <v>2131</v>
      </c>
      <c r="B1128" s="30" t="n">
        <v>43140</v>
      </c>
      <c r="C1128" s="29" t="s">
        <v>31</v>
      </c>
      <c r="D1128" s="62" t="n">
        <v>31</v>
      </c>
      <c r="E1128" s="62" t="n">
        <v>241.98</v>
      </c>
      <c r="F1128" s="62" t="s">
        <v>6</v>
      </c>
      <c r="G1128" s="29" t="s">
        <v>29</v>
      </c>
      <c r="H1128" s="29" t="s">
        <v>30</v>
      </c>
    </row>
    <row r="1129" customFormat="false" ht="14.25" hidden="false" customHeight="false" outlineLevel="0" collapsed="false">
      <c r="A1129" s="1" t="n">
        <v>2132</v>
      </c>
      <c r="B1129" s="30" t="n">
        <v>43140</v>
      </c>
      <c r="C1129" s="29" t="s">
        <v>31</v>
      </c>
      <c r="D1129" s="62" t="n">
        <v>6</v>
      </c>
      <c r="E1129" s="62" t="n">
        <v>1101.98</v>
      </c>
      <c r="F1129" s="62" t="s">
        <v>6</v>
      </c>
      <c r="G1129" s="29" t="s">
        <v>24</v>
      </c>
      <c r="H1129" s="29" t="s">
        <v>25</v>
      </c>
    </row>
    <row r="1130" customFormat="false" ht="14.25" hidden="false" customHeight="false" outlineLevel="0" collapsed="false">
      <c r="A1130" s="1" t="n">
        <v>2133</v>
      </c>
      <c r="B1130" s="30" t="n">
        <v>43152</v>
      </c>
      <c r="C1130" s="29" t="s">
        <v>31</v>
      </c>
      <c r="D1130" s="62" t="n">
        <v>18</v>
      </c>
      <c r="E1130" s="62" t="n">
        <v>99.26</v>
      </c>
      <c r="F1130" s="62" t="s">
        <v>6</v>
      </c>
      <c r="G1130" s="29" t="s">
        <v>22</v>
      </c>
      <c r="H1130" s="29" t="s">
        <v>23</v>
      </c>
    </row>
    <row r="1131" customFormat="false" ht="14.25" hidden="false" customHeight="false" outlineLevel="0" collapsed="false">
      <c r="A1131" s="1" t="n">
        <v>2134</v>
      </c>
      <c r="B1131" s="30" t="n">
        <v>43160</v>
      </c>
      <c r="C1131" s="29" t="s">
        <v>31</v>
      </c>
      <c r="D1131" s="62" t="n">
        <v>19</v>
      </c>
      <c r="E1131" s="62" t="n">
        <v>54.56</v>
      </c>
      <c r="F1131" s="62" t="s">
        <v>4</v>
      </c>
      <c r="G1131" s="29" t="s">
        <v>29</v>
      </c>
      <c r="H1131" s="29" t="s">
        <v>30</v>
      </c>
    </row>
    <row r="1132" customFormat="false" ht="14.25" hidden="false" customHeight="false" outlineLevel="0" collapsed="false">
      <c r="A1132" s="1" t="n">
        <v>2135</v>
      </c>
      <c r="B1132" s="30" t="n">
        <v>43222</v>
      </c>
      <c r="C1132" s="29" t="s">
        <v>39</v>
      </c>
      <c r="D1132" s="62" t="n">
        <v>47</v>
      </c>
      <c r="E1132" s="62" t="n">
        <v>1593.08</v>
      </c>
      <c r="F1132" s="62" t="s">
        <v>5</v>
      </c>
      <c r="G1132" s="29" t="s">
        <v>29</v>
      </c>
      <c r="H1132" s="29" t="s">
        <v>36</v>
      </c>
    </row>
    <row r="1133" customFormat="false" ht="14.25" hidden="false" customHeight="false" outlineLevel="0" collapsed="false">
      <c r="A1133" s="1" t="n">
        <v>2136</v>
      </c>
      <c r="B1133" s="30" t="n">
        <v>43132</v>
      </c>
      <c r="C1133" s="29" t="s">
        <v>31</v>
      </c>
      <c r="D1133" s="62" t="n">
        <v>27</v>
      </c>
      <c r="E1133" s="62" t="n">
        <v>494.73</v>
      </c>
      <c r="F1133" s="62" t="s">
        <v>6</v>
      </c>
      <c r="G1133" s="29" t="s">
        <v>24</v>
      </c>
      <c r="H1133" s="29" t="s">
        <v>25</v>
      </c>
    </row>
    <row r="1134" customFormat="false" ht="14.25" hidden="false" customHeight="false" outlineLevel="0" collapsed="false">
      <c r="A1134" s="1" t="n">
        <v>2137</v>
      </c>
      <c r="B1134" s="30" t="n">
        <v>43132</v>
      </c>
      <c r="C1134" s="29" t="s">
        <v>31</v>
      </c>
      <c r="D1134" s="62" t="n">
        <v>14</v>
      </c>
      <c r="E1134" s="62" t="n">
        <v>360.03</v>
      </c>
      <c r="F1134" s="62" t="s">
        <v>6</v>
      </c>
      <c r="G1134" s="29" t="s">
        <v>29</v>
      </c>
      <c r="H1134" s="29" t="s">
        <v>30</v>
      </c>
    </row>
    <row r="1135" customFormat="false" ht="14.25" hidden="false" customHeight="false" outlineLevel="0" collapsed="false">
      <c r="A1135" s="1" t="n">
        <v>2138</v>
      </c>
      <c r="B1135" s="30" t="n">
        <v>43397</v>
      </c>
      <c r="C1135" s="29" t="s">
        <v>21</v>
      </c>
      <c r="D1135" s="62" t="n">
        <v>19</v>
      </c>
      <c r="E1135" s="62" t="n">
        <v>1730.05</v>
      </c>
      <c r="F1135" s="62" t="s">
        <v>6</v>
      </c>
      <c r="G1135" s="29" t="s">
        <v>22</v>
      </c>
      <c r="H1135" s="29" t="s">
        <v>40</v>
      </c>
    </row>
    <row r="1136" customFormat="false" ht="14.25" hidden="false" customHeight="false" outlineLevel="0" collapsed="false">
      <c r="A1136" s="1" t="n">
        <v>2139</v>
      </c>
      <c r="B1136" s="30" t="n">
        <v>43397</v>
      </c>
      <c r="C1136" s="29" t="s">
        <v>21</v>
      </c>
      <c r="D1136" s="62" t="n">
        <v>27</v>
      </c>
      <c r="E1136" s="62" t="n">
        <v>1627.61</v>
      </c>
      <c r="F1136" s="62" t="s">
        <v>6</v>
      </c>
      <c r="G1136" s="29" t="s">
        <v>24</v>
      </c>
      <c r="H1136" s="29" t="s">
        <v>25</v>
      </c>
    </row>
    <row r="1137" customFormat="false" ht="14.25" hidden="false" customHeight="false" outlineLevel="0" collapsed="false">
      <c r="A1137" s="1" t="n">
        <v>2140</v>
      </c>
      <c r="B1137" s="30" t="n">
        <v>43186</v>
      </c>
      <c r="C1137" s="29" t="s">
        <v>39</v>
      </c>
      <c r="D1137" s="62" t="n">
        <v>1</v>
      </c>
      <c r="E1137" s="62" t="n">
        <v>28.55</v>
      </c>
      <c r="F1137" s="62" t="s">
        <v>4</v>
      </c>
      <c r="G1137" s="29" t="s">
        <v>22</v>
      </c>
      <c r="H1137" s="29" t="s">
        <v>23</v>
      </c>
    </row>
    <row r="1138" customFormat="false" ht="14.25" hidden="false" customHeight="false" outlineLevel="0" collapsed="false">
      <c r="A1138" s="1" t="n">
        <v>2141</v>
      </c>
      <c r="B1138" s="30" t="n">
        <v>43400</v>
      </c>
      <c r="C1138" s="29" t="s">
        <v>28</v>
      </c>
      <c r="D1138" s="62" t="n">
        <v>20</v>
      </c>
      <c r="E1138" s="62" t="n">
        <v>41.26</v>
      </c>
      <c r="F1138" s="62" t="s">
        <v>4</v>
      </c>
      <c r="G1138" s="29" t="s">
        <v>29</v>
      </c>
      <c r="H1138" s="29" t="s">
        <v>34</v>
      </c>
    </row>
    <row r="1139" customFormat="false" ht="14.25" hidden="false" customHeight="false" outlineLevel="0" collapsed="false">
      <c r="A1139" s="1" t="n">
        <v>2142</v>
      </c>
      <c r="B1139" s="30" t="n">
        <v>43400</v>
      </c>
      <c r="C1139" s="29" t="s">
        <v>28</v>
      </c>
      <c r="D1139" s="62" t="n">
        <v>19</v>
      </c>
      <c r="E1139" s="62" t="n">
        <v>2713.71</v>
      </c>
      <c r="F1139" s="62" t="s">
        <v>4</v>
      </c>
      <c r="G1139" s="29" t="s">
        <v>29</v>
      </c>
      <c r="H1139" s="29" t="s">
        <v>38</v>
      </c>
    </row>
    <row r="1140" customFormat="false" ht="14.25" hidden="false" customHeight="false" outlineLevel="0" collapsed="false">
      <c r="A1140" s="1" t="n">
        <v>2143</v>
      </c>
      <c r="B1140" s="30" t="n">
        <v>43400</v>
      </c>
      <c r="C1140" s="29" t="s">
        <v>28</v>
      </c>
      <c r="D1140" s="62" t="n">
        <v>35</v>
      </c>
      <c r="E1140" s="62" t="n">
        <v>817.82</v>
      </c>
      <c r="F1140" s="62" t="s">
        <v>4</v>
      </c>
      <c r="G1140" s="29" t="s">
        <v>29</v>
      </c>
      <c r="H1140" s="29" t="s">
        <v>30</v>
      </c>
    </row>
    <row r="1141" customFormat="false" ht="14.25" hidden="false" customHeight="false" outlineLevel="0" collapsed="false">
      <c r="A1141" s="1" t="n">
        <v>2144</v>
      </c>
      <c r="B1141" s="30" t="n">
        <v>43343</v>
      </c>
      <c r="C1141" s="29" t="s">
        <v>31</v>
      </c>
      <c r="D1141" s="62" t="n">
        <v>13</v>
      </c>
      <c r="E1141" s="62" t="n">
        <v>337.9</v>
      </c>
      <c r="F1141" s="62" t="s">
        <v>6</v>
      </c>
      <c r="G1141" s="29" t="s">
        <v>24</v>
      </c>
      <c r="H1141" s="29" t="s">
        <v>25</v>
      </c>
    </row>
    <row r="1142" customFormat="false" ht="14.25" hidden="false" customHeight="false" outlineLevel="0" collapsed="false">
      <c r="A1142" s="1" t="n">
        <v>2145</v>
      </c>
      <c r="B1142" s="30" t="n">
        <v>43351</v>
      </c>
      <c r="C1142" s="29" t="s">
        <v>28</v>
      </c>
      <c r="D1142" s="62" t="n">
        <v>26</v>
      </c>
      <c r="E1142" s="62" t="n">
        <v>4383.94</v>
      </c>
      <c r="F1142" s="62" t="s">
        <v>4</v>
      </c>
      <c r="G1142" s="29" t="s">
        <v>24</v>
      </c>
      <c r="H1142" s="29" t="s">
        <v>25</v>
      </c>
    </row>
    <row r="1143" customFormat="false" ht="14.25" hidden="false" customHeight="false" outlineLevel="0" collapsed="false">
      <c r="A1143" s="1" t="n">
        <v>2146</v>
      </c>
      <c r="B1143" s="30" t="n">
        <v>43405</v>
      </c>
      <c r="C1143" s="29" t="s">
        <v>28</v>
      </c>
      <c r="D1143" s="62" t="n">
        <v>21</v>
      </c>
      <c r="E1143" s="62" t="n">
        <v>313.8</v>
      </c>
      <c r="F1143" s="62" t="s">
        <v>4</v>
      </c>
      <c r="G1143" s="29" t="s">
        <v>24</v>
      </c>
      <c r="H1143" s="29" t="s">
        <v>26</v>
      </c>
    </row>
    <row r="1144" customFormat="false" ht="14.25" hidden="false" customHeight="false" outlineLevel="0" collapsed="false">
      <c r="A1144" s="1" t="n">
        <v>2147</v>
      </c>
      <c r="B1144" s="30" t="n">
        <v>43345</v>
      </c>
      <c r="C1144" s="29" t="s">
        <v>21</v>
      </c>
      <c r="D1144" s="62" t="n">
        <v>2</v>
      </c>
      <c r="E1144" s="62" t="n">
        <v>28.89</v>
      </c>
      <c r="F1144" s="62" t="s">
        <v>4</v>
      </c>
      <c r="G1144" s="29" t="s">
        <v>29</v>
      </c>
      <c r="H1144" s="29" t="s">
        <v>36</v>
      </c>
    </row>
    <row r="1145" customFormat="false" ht="14.25" hidden="false" customHeight="false" outlineLevel="0" collapsed="false">
      <c r="A1145" s="1" t="n">
        <v>2148</v>
      </c>
      <c r="B1145" s="30" t="n">
        <v>43233</v>
      </c>
      <c r="C1145" s="29" t="s">
        <v>21</v>
      </c>
      <c r="D1145" s="62" t="n">
        <v>6</v>
      </c>
      <c r="E1145" s="62" t="n">
        <v>38.15</v>
      </c>
      <c r="F1145" s="62" t="s">
        <v>5</v>
      </c>
      <c r="G1145" s="29" t="s">
        <v>29</v>
      </c>
      <c r="H1145" s="29" t="s">
        <v>34</v>
      </c>
    </row>
    <row r="1146" customFormat="false" ht="14.25" hidden="false" customHeight="false" outlineLevel="0" collapsed="false">
      <c r="A1146" s="1" t="n">
        <v>2149</v>
      </c>
      <c r="B1146" s="30" t="n">
        <v>43141</v>
      </c>
      <c r="C1146" s="29" t="s">
        <v>21</v>
      </c>
      <c r="D1146" s="62" t="n">
        <v>10</v>
      </c>
      <c r="E1146" s="62" t="n">
        <v>95.27</v>
      </c>
      <c r="F1146" s="62" t="s">
        <v>5</v>
      </c>
      <c r="G1146" s="29" t="s">
        <v>22</v>
      </c>
      <c r="H1146" s="29" t="s">
        <v>23</v>
      </c>
    </row>
    <row r="1147" customFormat="false" ht="14.25" hidden="false" customHeight="false" outlineLevel="0" collapsed="false">
      <c r="A1147" s="1" t="n">
        <v>2150</v>
      </c>
      <c r="B1147" s="30" t="n">
        <v>43141</v>
      </c>
      <c r="C1147" s="29" t="s">
        <v>21</v>
      </c>
      <c r="D1147" s="62" t="n">
        <v>40</v>
      </c>
      <c r="E1147" s="62" t="n">
        <v>318.15</v>
      </c>
      <c r="F1147" s="62" t="s">
        <v>5</v>
      </c>
      <c r="G1147" s="29" t="s">
        <v>29</v>
      </c>
      <c r="H1147" s="29" t="s">
        <v>36</v>
      </c>
    </row>
    <row r="1148" customFormat="false" ht="14.25" hidden="false" customHeight="false" outlineLevel="0" collapsed="false">
      <c r="A1148" s="1" t="n">
        <v>2151</v>
      </c>
      <c r="B1148" s="30" t="n">
        <v>43141</v>
      </c>
      <c r="C1148" s="29" t="s">
        <v>21</v>
      </c>
      <c r="D1148" s="62" t="n">
        <v>35</v>
      </c>
      <c r="E1148" s="62" t="n">
        <v>1352.62</v>
      </c>
      <c r="F1148" s="62" t="s">
        <v>5</v>
      </c>
      <c r="G1148" s="29" t="s">
        <v>29</v>
      </c>
      <c r="H1148" s="29" t="s">
        <v>38</v>
      </c>
    </row>
    <row r="1149" customFormat="false" ht="14.25" hidden="false" customHeight="false" outlineLevel="0" collapsed="false">
      <c r="A1149" s="1" t="n">
        <v>2152</v>
      </c>
      <c r="B1149" s="30" t="n">
        <v>43228</v>
      </c>
      <c r="C1149" s="29" t="s">
        <v>28</v>
      </c>
      <c r="D1149" s="62" t="n">
        <v>23</v>
      </c>
      <c r="E1149" s="62" t="n">
        <v>124.72</v>
      </c>
      <c r="F1149" s="62" t="s">
        <v>6</v>
      </c>
      <c r="G1149" s="29" t="s">
        <v>29</v>
      </c>
      <c r="H1149" s="29" t="s">
        <v>35</v>
      </c>
    </row>
    <row r="1150" customFormat="false" ht="14.25" hidden="false" customHeight="false" outlineLevel="0" collapsed="false">
      <c r="A1150" s="1" t="n">
        <v>2153</v>
      </c>
      <c r="B1150" s="30" t="n">
        <v>43228</v>
      </c>
      <c r="C1150" s="29" t="s">
        <v>28</v>
      </c>
      <c r="D1150" s="62" t="n">
        <v>16</v>
      </c>
      <c r="E1150" s="62" t="n">
        <v>34.61</v>
      </c>
      <c r="F1150" s="62" t="s">
        <v>6</v>
      </c>
      <c r="G1150" s="29" t="s">
        <v>29</v>
      </c>
      <c r="H1150" s="29" t="s">
        <v>34</v>
      </c>
    </row>
    <row r="1151" customFormat="false" ht="14.25" hidden="false" customHeight="false" outlineLevel="0" collapsed="false">
      <c r="A1151" s="1" t="n">
        <v>2154</v>
      </c>
      <c r="B1151" s="30" t="n">
        <v>43342</v>
      </c>
      <c r="C1151" s="29" t="s">
        <v>31</v>
      </c>
      <c r="D1151" s="62" t="n">
        <v>39</v>
      </c>
      <c r="E1151" s="62" t="n">
        <v>323.24</v>
      </c>
      <c r="F1151" s="62" t="s">
        <v>3</v>
      </c>
      <c r="G1151" s="29" t="s">
        <v>29</v>
      </c>
      <c r="H1151" s="29" t="s">
        <v>34</v>
      </c>
    </row>
    <row r="1152" customFormat="false" ht="14.25" hidden="false" customHeight="false" outlineLevel="0" collapsed="false">
      <c r="A1152" s="1" t="n">
        <v>2155</v>
      </c>
      <c r="B1152" s="30" t="n">
        <v>43345</v>
      </c>
      <c r="C1152" s="29" t="s">
        <v>28</v>
      </c>
      <c r="D1152" s="62" t="n">
        <v>36</v>
      </c>
      <c r="E1152" s="62" t="n">
        <v>4100.64</v>
      </c>
      <c r="F1152" s="62" t="s">
        <v>5</v>
      </c>
      <c r="G1152" s="29" t="s">
        <v>22</v>
      </c>
      <c r="H1152" s="29" t="s">
        <v>23</v>
      </c>
    </row>
    <row r="1153" customFormat="false" ht="14.25" hidden="false" customHeight="false" outlineLevel="0" collapsed="false">
      <c r="A1153" s="1" t="n">
        <v>2156</v>
      </c>
      <c r="B1153" s="30" t="n">
        <v>43345</v>
      </c>
      <c r="C1153" s="29" t="s">
        <v>28</v>
      </c>
      <c r="D1153" s="62" t="n">
        <v>4</v>
      </c>
      <c r="E1153" s="62" t="n">
        <v>26.5</v>
      </c>
      <c r="F1153" s="62" t="s">
        <v>5</v>
      </c>
      <c r="G1153" s="29" t="s">
        <v>29</v>
      </c>
      <c r="H1153" s="29" t="s">
        <v>34</v>
      </c>
    </row>
    <row r="1154" customFormat="false" ht="14.25" hidden="false" customHeight="false" outlineLevel="0" collapsed="false">
      <c r="A1154" s="1" t="n">
        <v>2157</v>
      </c>
      <c r="B1154" s="30" t="n">
        <v>43286</v>
      </c>
      <c r="C1154" s="29" t="s">
        <v>28</v>
      </c>
      <c r="D1154" s="62" t="n">
        <v>38</v>
      </c>
      <c r="E1154" s="62" t="n">
        <v>31229.54</v>
      </c>
      <c r="F1154" s="62" t="s">
        <v>4</v>
      </c>
      <c r="G1154" s="29" t="s">
        <v>24</v>
      </c>
      <c r="H1154" s="29" t="s">
        <v>42</v>
      </c>
    </row>
    <row r="1155" customFormat="false" ht="14.25" hidden="false" customHeight="false" outlineLevel="0" collapsed="false">
      <c r="A1155" s="1" t="n">
        <v>2158</v>
      </c>
      <c r="B1155" s="30" t="n">
        <v>43217</v>
      </c>
      <c r="C1155" s="29" t="s">
        <v>39</v>
      </c>
      <c r="D1155" s="62" t="n">
        <v>11</v>
      </c>
      <c r="E1155" s="62" t="n">
        <v>59.37</v>
      </c>
      <c r="F1155" s="62" t="s">
        <v>3</v>
      </c>
      <c r="G1155" s="29" t="s">
        <v>22</v>
      </c>
      <c r="H1155" s="29" t="s">
        <v>23</v>
      </c>
    </row>
    <row r="1156" customFormat="false" ht="14.25" hidden="false" customHeight="false" outlineLevel="0" collapsed="false">
      <c r="A1156" s="1" t="n">
        <v>2159</v>
      </c>
      <c r="B1156" s="30" t="n">
        <v>43307</v>
      </c>
      <c r="C1156" s="29" t="s">
        <v>39</v>
      </c>
      <c r="D1156" s="62" t="n">
        <v>14</v>
      </c>
      <c r="E1156" s="62" t="n">
        <v>2017.39</v>
      </c>
      <c r="F1156" s="62" t="s">
        <v>6</v>
      </c>
      <c r="G1156" s="29" t="s">
        <v>29</v>
      </c>
      <c r="H1156" s="29" t="s">
        <v>38</v>
      </c>
    </row>
    <row r="1157" customFormat="false" ht="14.25" hidden="false" customHeight="false" outlineLevel="0" collapsed="false">
      <c r="A1157" s="1" t="n">
        <v>2160</v>
      </c>
      <c r="B1157" s="30" t="n">
        <v>43171</v>
      </c>
      <c r="C1157" s="29" t="s">
        <v>39</v>
      </c>
      <c r="D1157" s="62" t="n">
        <v>20</v>
      </c>
      <c r="E1157" s="62" t="n">
        <v>170.89</v>
      </c>
      <c r="F1157" s="62" t="s">
        <v>4</v>
      </c>
      <c r="G1157" s="29" t="s">
        <v>29</v>
      </c>
      <c r="H1157" s="29" t="s">
        <v>34</v>
      </c>
    </row>
    <row r="1158" customFormat="false" ht="14.25" hidden="false" customHeight="false" outlineLevel="0" collapsed="false">
      <c r="A1158" s="1" t="n">
        <v>2161</v>
      </c>
      <c r="B1158" s="30" t="n">
        <v>43226</v>
      </c>
      <c r="C1158" s="29" t="s">
        <v>37</v>
      </c>
      <c r="D1158" s="62" t="n">
        <v>37</v>
      </c>
      <c r="E1158" s="62" t="n">
        <v>304.5</v>
      </c>
      <c r="F1158" s="62" t="s">
        <v>5</v>
      </c>
      <c r="G1158" s="29" t="s">
        <v>22</v>
      </c>
      <c r="H1158" s="29" t="s">
        <v>23</v>
      </c>
    </row>
    <row r="1159" customFormat="false" ht="14.25" hidden="false" customHeight="false" outlineLevel="0" collapsed="false">
      <c r="A1159" s="1" t="n">
        <v>2162</v>
      </c>
      <c r="B1159" s="30" t="n">
        <v>43226</v>
      </c>
      <c r="C1159" s="29" t="s">
        <v>37</v>
      </c>
      <c r="D1159" s="62" t="n">
        <v>9</v>
      </c>
      <c r="E1159" s="62" t="n">
        <v>1080.98</v>
      </c>
      <c r="F1159" s="62" t="s">
        <v>5</v>
      </c>
      <c r="G1159" s="29" t="s">
        <v>29</v>
      </c>
      <c r="H1159" s="29" t="s">
        <v>36</v>
      </c>
    </row>
    <row r="1160" customFormat="false" ht="14.25" hidden="false" customHeight="false" outlineLevel="0" collapsed="false">
      <c r="A1160" s="1" t="n">
        <v>2163</v>
      </c>
      <c r="B1160" s="30" t="n">
        <v>43371</v>
      </c>
      <c r="C1160" s="29" t="s">
        <v>31</v>
      </c>
      <c r="D1160" s="62" t="n">
        <v>49</v>
      </c>
      <c r="E1160" s="62" t="n">
        <v>697.53</v>
      </c>
      <c r="F1160" s="62" t="s">
        <v>6</v>
      </c>
      <c r="G1160" s="29" t="s">
        <v>22</v>
      </c>
      <c r="H1160" s="29" t="s">
        <v>23</v>
      </c>
    </row>
    <row r="1161" customFormat="false" ht="14.25" hidden="false" customHeight="false" outlineLevel="0" collapsed="false">
      <c r="A1161" s="1" t="n">
        <v>2164</v>
      </c>
      <c r="B1161" s="30" t="n">
        <v>43137</v>
      </c>
      <c r="C1161" s="29" t="s">
        <v>37</v>
      </c>
      <c r="D1161" s="62" t="n">
        <v>37</v>
      </c>
      <c r="E1161" s="62" t="n">
        <v>200.49</v>
      </c>
      <c r="F1161" s="62" t="s">
        <v>4</v>
      </c>
      <c r="G1161" s="29" t="s">
        <v>29</v>
      </c>
      <c r="H1161" s="29" t="s">
        <v>34</v>
      </c>
    </row>
    <row r="1162" customFormat="false" ht="14.25" hidden="false" customHeight="false" outlineLevel="0" collapsed="false">
      <c r="A1162" s="1" t="n">
        <v>2165</v>
      </c>
      <c r="B1162" s="30" t="n">
        <v>43425</v>
      </c>
      <c r="C1162" s="29" t="s">
        <v>37</v>
      </c>
      <c r="D1162" s="62" t="n">
        <v>15</v>
      </c>
      <c r="E1162" s="62" t="n">
        <v>115.16</v>
      </c>
      <c r="F1162" s="62" t="s">
        <v>5</v>
      </c>
      <c r="G1162" s="29" t="s">
        <v>29</v>
      </c>
      <c r="H1162" s="29" t="s">
        <v>34</v>
      </c>
    </row>
    <row r="1163" customFormat="false" ht="14.25" hidden="false" customHeight="false" outlineLevel="0" collapsed="false">
      <c r="A1163" s="1" t="n">
        <v>2166</v>
      </c>
      <c r="B1163" s="30" t="n">
        <v>43134</v>
      </c>
      <c r="C1163" s="29" t="s">
        <v>21</v>
      </c>
      <c r="D1163" s="62" t="n">
        <v>49</v>
      </c>
      <c r="E1163" s="62" t="n">
        <v>177.1</v>
      </c>
      <c r="F1163" s="62" t="s">
        <v>3</v>
      </c>
      <c r="G1163" s="29" t="s">
        <v>29</v>
      </c>
      <c r="H1163" s="29" t="s">
        <v>34</v>
      </c>
    </row>
    <row r="1164" customFormat="false" ht="14.25" hidden="false" customHeight="false" outlineLevel="0" collapsed="false">
      <c r="A1164" s="1" t="n">
        <v>2167</v>
      </c>
      <c r="B1164" s="30" t="n">
        <v>43379</v>
      </c>
      <c r="C1164" s="29" t="s">
        <v>21</v>
      </c>
      <c r="D1164" s="62" t="n">
        <v>29</v>
      </c>
      <c r="E1164" s="62" t="n">
        <v>86.78</v>
      </c>
      <c r="F1164" s="62" t="s">
        <v>5</v>
      </c>
      <c r="G1164" s="29" t="s">
        <v>29</v>
      </c>
      <c r="H1164" s="29" t="s">
        <v>30</v>
      </c>
    </row>
    <row r="1165" customFormat="false" ht="14.25" hidden="false" customHeight="false" outlineLevel="0" collapsed="false">
      <c r="A1165" s="1" t="n">
        <v>2168</v>
      </c>
      <c r="B1165" s="30" t="n">
        <v>43390</v>
      </c>
      <c r="C1165" s="29" t="s">
        <v>21</v>
      </c>
      <c r="D1165" s="62" t="n">
        <v>49</v>
      </c>
      <c r="E1165" s="62" t="n">
        <v>1535.79</v>
      </c>
      <c r="F1165" s="62" t="s">
        <v>4</v>
      </c>
      <c r="G1165" s="29" t="s">
        <v>24</v>
      </c>
      <c r="H1165" s="29" t="s">
        <v>26</v>
      </c>
    </row>
    <row r="1166" customFormat="false" ht="14.25" hidden="false" customHeight="false" outlineLevel="0" collapsed="false">
      <c r="A1166" s="1" t="n">
        <v>2169</v>
      </c>
      <c r="B1166" s="30" t="n">
        <v>43390</v>
      </c>
      <c r="C1166" s="29" t="s">
        <v>21</v>
      </c>
      <c r="D1166" s="62" t="n">
        <v>14</v>
      </c>
      <c r="E1166" s="62" t="n">
        <v>13701.62</v>
      </c>
      <c r="F1166" s="62" t="s">
        <v>4</v>
      </c>
      <c r="G1166" s="29" t="s">
        <v>29</v>
      </c>
      <c r="H1166" s="29" t="s">
        <v>34</v>
      </c>
    </row>
    <row r="1167" customFormat="false" ht="14.25" hidden="false" customHeight="false" outlineLevel="0" collapsed="false">
      <c r="A1167" s="1" t="n">
        <v>2170</v>
      </c>
      <c r="B1167" s="30" t="n">
        <v>43217</v>
      </c>
      <c r="C1167" s="29" t="s">
        <v>39</v>
      </c>
      <c r="D1167" s="62" t="n">
        <v>27</v>
      </c>
      <c r="E1167" s="62" t="n">
        <v>1501.24</v>
      </c>
      <c r="F1167" s="62" t="s">
        <v>6</v>
      </c>
      <c r="G1167" s="29" t="s">
        <v>24</v>
      </c>
      <c r="H1167" s="29" t="s">
        <v>25</v>
      </c>
    </row>
    <row r="1168" customFormat="false" ht="14.25" hidden="false" customHeight="false" outlineLevel="0" collapsed="false">
      <c r="A1168" s="1" t="n">
        <v>2171</v>
      </c>
      <c r="B1168" s="30" t="n">
        <v>43415</v>
      </c>
      <c r="C1168" s="29" t="s">
        <v>31</v>
      </c>
      <c r="D1168" s="62" t="n">
        <v>38</v>
      </c>
      <c r="E1168" s="62" t="n">
        <v>2415.93</v>
      </c>
      <c r="F1168" s="62" t="s">
        <v>6</v>
      </c>
      <c r="G1168" s="29" t="s">
        <v>29</v>
      </c>
      <c r="H1168" s="29" t="s">
        <v>38</v>
      </c>
    </row>
    <row r="1169" customFormat="false" ht="14.25" hidden="false" customHeight="false" outlineLevel="0" collapsed="false">
      <c r="A1169" s="1" t="n">
        <v>2172</v>
      </c>
      <c r="B1169" s="30" t="n">
        <v>43415</v>
      </c>
      <c r="C1169" s="29" t="s">
        <v>31</v>
      </c>
      <c r="D1169" s="62" t="n">
        <v>21</v>
      </c>
      <c r="E1169" s="62" t="n">
        <v>116.94</v>
      </c>
      <c r="F1169" s="62" t="s">
        <v>6</v>
      </c>
      <c r="G1169" s="29" t="s">
        <v>29</v>
      </c>
      <c r="H1169" s="29" t="s">
        <v>36</v>
      </c>
    </row>
    <row r="1170" customFormat="false" ht="14.25" hidden="false" customHeight="false" outlineLevel="0" collapsed="false">
      <c r="A1170" s="1" t="n">
        <v>2173</v>
      </c>
      <c r="B1170" s="30" t="n">
        <v>43109</v>
      </c>
      <c r="C1170" s="29" t="s">
        <v>28</v>
      </c>
      <c r="D1170" s="62" t="n">
        <v>28</v>
      </c>
      <c r="E1170" s="62" t="n">
        <v>6413.3</v>
      </c>
      <c r="F1170" s="62" t="s">
        <v>4</v>
      </c>
      <c r="G1170" s="29" t="s">
        <v>22</v>
      </c>
      <c r="H1170" s="29" t="s">
        <v>27</v>
      </c>
    </row>
    <row r="1171" customFormat="false" ht="14.25" hidden="false" customHeight="false" outlineLevel="0" collapsed="false">
      <c r="A1171" s="1" t="n">
        <v>2174</v>
      </c>
      <c r="B1171" s="30" t="n">
        <v>43109</v>
      </c>
      <c r="C1171" s="29" t="s">
        <v>28</v>
      </c>
      <c r="D1171" s="62" t="n">
        <v>39</v>
      </c>
      <c r="E1171" s="62" t="n">
        <v>232.46</v>
      </c>
      <c r="F1171" s="62" t="s">
        <v>4</v>
      </c>
      <c r="G1171" s="29" t="s">
        <v>29</v>
      </c>
      <c r="H1171" s="29" t="s">
        <v>30</v>
      </c>
    </row>
    <row r="1172" customFormat="false" ht="14.25" hidden="false" customHeight="false" outlineLevel="0" collapsed="false">
      <c r="A1172" s="1" t="n">
        <v>2175</v>
      </c>
      <c r="B1172" s="30" t="n">
        <v>43179</v>
      </c>
      <c r="C1172" s="29" t="s">
        <v>39</v>
      </c>
      <c r="D1172" s="62" t="n">
        <v>7</v>
      </c>
      <c r="E1172" s="62" t="n">
        <v>436.42</v>
      </c>
      <c r="F1172" s="62" t="s">
        <v>4</v>
      </c>
      <c r="G1172" s="29" t="s">
        <v>24</v>
      </c>
      <c r="H1172" s="29" t="s">
        <v>25</v>
      </c>
    </row>
    <row r="1173" customFormat="false" ht="14.25" hidden="false" customHeight="false" outlineLevel="0" collapsed="false">
      <c r="A1173" s="1" t="n">
        <v>2176</v>
      </c>
      <c r="B1173" s="30" t="n">
        <v>43207</v>
      </c>
      <c r="C1173" s="29" t="s">
        <v>31</v>
      </c>
      <c r="D1173" s="62" t="n">
        <v>4</v>
      </c>
      <c r="E1173" s="62" t="n">
        <v>43.93</v>
      </c>
      <c r="F1173" s="62" t="s">
        <v>4</v>
      </c>
      <c r="G1173" s="29" t="s">
        <v>29</v>
      </c>
      <c r="H1173" s="29" t="s">
        <v>34</v>
      </c>
    </row>
    <row r="1174" customFormat="false" ht="14.25" hidden="false" customHeight="false" outlineLevel="0" collapsed="false">
      <c r="A1174" s="1" t="n">
        <v>2177</v>
      </c>
      <c r="B1174" s="30" t="n">
        <v>43292</v>
      </c>
      <c r="C1174" s="29" t="s">
        <v>39</v>
      </c>
      <c r="D1174" s="62" t="n">
        <v>23</v>
      </c>
      <c r="E1174" s="62" t="n">
        <v>159.76</v>
      </c>
      <c r="F1174" s="62" t="s">
        <v>3</v>
      </c>
      <c r="G1174" s="29" t="s">
        <v>29</v>
      </c>
      <c r="H1174" s="29" t="s">
        <v>36</v>
      </c>
    </row>
    <row r="1175" customFormat="false" ht="14.25" hidden="false" customHeight="false" outlineLevel="0" collapsed="false">
      <c r="A1175" s="1" t="n">
        <v>2178</v>
      </c>
      <c r="B1175" s="30" t="n">
        <v>43120</v>
      </c>
      <c r="C1175" s="29" t="s">
        <v>39</v>
      </c>
      <c r="D1175" s="62" t="n">
        <v>38</v>
      </c>
      <c r="E1175" s="62" t="n">
        <v>201.57</v>
      </c>
      <c r="F1175" s="62" t="s">
        <v>4</v>
      </c>
      <c r="G1175" s="29" t="s">
        <v>29</v>
      </c>
      <c r="H1175" s="29" t="s">
        <v>34</v>
      </c>
    </row>
    <row r="1176" customFormat="false" ht="14.25" hidden="false" customHeight="false" outlineLevel="0" collapsed="false">
      <c r="A1176" s="1" t="n">
        <v>2179</v>
      </c>
      <c r="B1176" s="30" t="n">
        <v>43144</v>
      </c>
      <c r="C1176" s="29" t="s">
        <v>37</v>
      </c>
      <c r="D1176" s="62" t="n">
        <v>18</v>
      </c>
      <c r="E1176" s="62" t="n">
        <v>1852.28</v>
      </c>
      <c r="F1176" s="62" t="s">
        <v>3</v>
      </c>
      <c r="G1176" s="29" t="s">
        <v>22</v>
      </c>
      <c r="H1176" s="29" t="s">
        <v>27</v>
      </c>
    </row>
    <row r="1177" customFormat="false" ht="14.25" hidden="false" customHeight="false" outlineLevel="0" collapsed="false">
      <c r="A1177" s="1" t="n">
        <v>2180</v>
      </c>
      <c r="B1177" s="30" t="n">
        <v>43162</v>
      </c>
      <c r="C1177" s="29" t="s">
        <v>37</v>
      </c>
      <c r="D1177" s="62" t="n">
        <v>50</v>
      </c>
      <c r="E1177" s="62" t="n">
        <v>12055.05</v>
      </c>
      <c r="F1177" s="62" t="s">
        <v>4</v>
      </c>
      <c r="G1177" s="29" t="s">
        <v>22</v>
      </c>
      <c r="H1177" s="29" t="s">
        <v>40</v>
      </c>
    </row>
    <row r="1178" customFormat="false" ht="14.25" hidden="false" customHeight="false" outlineLevel="0" collapsed="false">
      <c r="A1178" s="1" t="n">
        <v>2181</v>
      </c>
      <c r="B1178" s="30" t="n">
        <v>43162</v>
      </c>
      <c r="C1178" s="29" t="s">
        <v>37</v>
      </c>
      <c r="D1178" s="62" t="n">
        <v>2</v>
      </c>
      <c r="E1178" s="62" t="n">
        <v>11.16</v>
      </c>
      <c r="F1178" s="62" t="s">
        <v>4</v>
      </c>
      <c r="G1178" s="29" t="s">
        <v>29</v>
      </c>
      <c r="H1178" s="29" t="s">
        <v>36</v>
      </c>
    </row>
    <row r="1179" customFormat="false" ht="14.25" hidden="false" customHeight="false" outlineLevel="0" collapsed="false">
      <c r="A1179" s="1" t="n">
        <v>2182</v>
      </c>
      <c r="B1179" s="30" t="n">
        <v>43162</v>
      </c>
      <c r="C1179" s="29" t="s">
        <v>37</v>
      </c>
      <c r="D1179" s="62" t="n">
        <v>15</v>
      </c>
      <c r="E1179" s="62" t="n">
        <v>76.62</v>
      </c>
      <c r="F1179" s="62" t="s">
        <v>4</v>
      </c>
      <c r="G1179" s="29" t="s">
        <v>24</v>
      </c>
      <c r="H1179" s="29" t="s">
        <v>26</v>
      </c>
    </row>
    <row r="1180" customFormat="false" ht="14.25" hidden="false" customHeight="false" outlineLevel="0" collapsed="false">
      <c r="A1180" s="1" t="n">
        <v>2183</v>
      </c>
      <c r="B1180" s="30" t="n">
        <v>43222</v>
      </c>
      <c r="C1180" s="29" t="s">
        <v>37</v>
      </c>
      <c r="D1180" s="62" t="n">
        <v>15</v>
      </c>
      <c r="E1180" s="62" t="n">
        <v>160.85</v>
      </c>
      <c r="F1180" s="62" t="s">
        <v>4</v>
      </c>
      <c r="G1180" s="29" t="s">
        <v>29</v>
      </c>
      <c r="H1180" s="29" t="s">
        <v>38</v>
      </c>
    </row>
    <row r="1181" customFormat="false" ht="14.25" hidden="false" customHeight="false" outlineLevel="0" collapsed="false">
      <c r="A1181" s="1" t="n">
        <v>2184</v>
      </c>
      <c r="B1181" s="30" t="n">
        <v>43413</v>
      </c>
      <c r="C1181" s="29" t="s">
        <v>31</v>
      </c>
      <c r="D1181" s="62" t="n">
        <v>43</v>
      </c>
      <c r="E1181" s="62" t="n">
        <v>223.38</v>
      </c>
      <c r="F1181" s="62" t="s">
        <v>3</v>
      </c>
      <c r="G1181" s="29" t="s">
        <v>22</v>
      </c>
      <c r="H1181" s="29" t="s">
        <v>23</v>
      </c>
    </row>
    <row r="1182" customFormat="false" ht="14.25" hidden="false" customHeight="false" outlineLevel="0" collapsed="false">
      <c r="A1182" s="1" t="n">
        <v>2185</v>
      </c>
      <c r="B1182" s="30" t="n">
        <v>43381</v>
      </c>
      <c r="C1182" s="29" t="s">
        <v>37</v>
      </c>
      <c r="D1182" s="62" t="n">
        <v>9</v>
      </c>
      <c r="E1182" s="62" t="n">
        <v>46.29</v>
      </c>
      <c r="F1182" s="62" t="s">
        <v>3</v>
      </c>
      <c r="G1182" s="29" t="s">
        <v>29</v>
      </c>
      <c r="H1182" s="29" t="s">
        <v>34</v>
      </c>
    </row>
    <row r="1183" customFormat="false" ht="14.25" hidden="false" customHeight="false" outlineLevel="0" collapsed="false">
      <c r="A1183" s="1" t="n">
        <v>2186</v>
      </c>
      <c r="B1183" s="30" t="n">
        <v>43381</v>
      </c>
      <c r="C1183" s="29" t="s">
        <v>37</v>
      </c>
      <c r="D1183" s="62" t="n">
        <v>25</v>
      </c>
      <c r="E1183" s="62" t="n">
        <v>186.21</v>
      </c>
      <c r="F1183" s="62" t="s">
        <v>3</v>
      </c>
      <c r="G1183" s="29" t="s">
        <v>29</v>
      </c>
      <c r="H1183" s="29" t="s">
        <v>36</v>
      </c>
    </row>
    <row r="1184" customFormat="false" ht="14.25" hidden="false" customHeight="false" outlineLevel="0" collapsed="false">
      <c r="A1184" s="1" t="n">
        <v>2187</v>
      </c>
      <c r="B1184" s="30" t="n">
        <v>43314</v>
      </c>
      <c r="C1184" s="29" t="s">
        <v>39</v>
      </c>
      <c r="D1184" s="62" t="n">
        <v>10</v>
      </c>
      <c r="E1184" s="62" t="n">
        <v>974.75</v>
      </c>
      <c r="F1184" s="62" t="s">
        <v>4</v>
      </c>
      <c r="G1184" s="29" t="s">
        <v>24</v>
      </c>
      <c r="H1184" s="29" t="s">
        <v>42</v>
      </c>
    </row>
    <row r="1185" customFormat="false" ht="14.25" hidden="false" customHeight="false" outlineLevel="0" collapsed="false">
      <c r="A1185" s="1" t="n">
        <v>2188</v>
      </c>
      <c r="B1185" s="30" t="n">
        <v>43421</v>
      </c>
      <c r="C1185" s="29" t="s">
        <v>28</v>
      </c>
      <c r="D1185" s="62" t="n">
        <v>48</v>
      </c>
      <c r="E1185" s="62" t="n">
        <v>663.65</v>
      </c>
      <c r="F1185" s="62" t="s">
        <v>5</v>
      </c>
      <c r="G1185" s="29" t="s">
        <v>22</v>
      </c>
      <c r="H1185" s="29" t="s">
        <v>23</v>
      </c>
    </row>
    <row r="1186" customFormat="false" ht="14.25" hidden="false" customHeight="false" outlineLevel="0" collapsed="false">
      <c r="A1186" s="1" t="n">
        <v>2189</v>
      </c>
      <c r="B1186" s="30" t="n">
        <v>43116</v>
      </c>
      <c r="C1186" s="29" t="s">
        <v>37</v>
      </c>
      <c r="D1186" s="62" t="n">
        <v>6</v>
      </c>
      <c r="E1186" s="62" t="n">
        <v>30.55</v>
      </c>
      <c r="F1186" s="62" t="s">
        <v>3</v>
      </c>
      <c r="G1186" s="29" t="s">
        <v>29</v>
      </c>
      <c r="H1186" s="29" t="s">
        <v>30</v>
      </c>
    </row>
    <row r="1187" customFormat="false" ht="14.25" hidden="false" customHeight="false" outlineLevel="0" collapsed="false">
      <c r="A1187" s="1" t="n">
        <v>2190</v>
      </c>
      <c r="B1187" s="30" t="n">
        <v>43316</v>
      </c>
      <c r="C1187" s="29" t="s">
        <v>39</v>
      </c>
      <c r="D1187" s="62" t="n">
        <v>42</v>
      </c>
      <c r="E1187" s="62" t="n">
        <v>6877.08</v>
      </c>
      <c r="F1187" s="62" t="s">
        <v>4</v>
      </c>
      <c r="G1187" s="29" t="s">
        <v>29</v>
      </c>
      <c r="H1187" s="29" t="s">
        <v>34</v>
      </c>
    </row>
    <row r="1188" customFormat="false" ht="14.25" hidden="false" customHeight="false" outlineLevel="0" collapsed="false">
      <c r="A1188" s="1" t="n">
        <v>2191</v>
      </c>
      <c r="B1188" s="30" t="n">
        <v>43316</v>
      </c>
      <c r="C1188" s="29" t="s">
        <v>39</v>
      </c>
      <c r="D1188" s="62" t="n">
        <v>13</v>
      </c>
      <c r="E1188" s="62" t="n">
        <v>1423.88</v>
      </c>
      <c r="F1188" s="62" t="s">
        <v>4</v>
      </c>
      <c r="G1188" s="29" t="s">
        <v>22</v>
      </c>
      <c r="H1188" s="29" t="s">
        <v>27</v>
      </c>
    </row>
    <row r="1189" customFormat="false" ht="14.25" hidden="false" customHeight="false" outlineLevel="0" collapsed="false">
      <c r="A1189" s="1" t="n">
        <v>2192</v>
      </c>
      <c r="B1189" s="30" t="n">
        <v>43227</v>
      </c>
      <c r="C1189" s="29" t="s">
        <v>37</v>
      </c>
      <c r="D1189" s="62" t="n">
        <v>23</v>
      </c>
      <c r="E1189" s="62" t="n">
        <v>246.54</v>
      </c>
      <c r="F1189" s="62" t="s">
        <v>6</v>
      </c>
      <c r="G1189" s="29" t="s">
        <v>29</v>
      </c>
      <c r="H1189" s="29" t="s">
        <v>45</v>
      </c>
    </row>
    <row r="1190" customFormat="false" ht="14.25" hidden="false" customHeight="false" outlineLevel="0" collapsed="false">
      <c r="A1190" s="1" t="n">
        <v>2193</v>
      </c>
      <c r="B1190" s="30" t="n">
        <v>43227</v>
      </c>
      <c r="C1190" s="29" t="s">
        <v>37</v>
      </c>
      <c r="D1190" s="62" t="n">
        <v>48</v>
      </c>
      <c r="E1190" s="62" t="n">
        <v>5524.42</v>
      </c>
      <c r="F1190" s="62" t="s">
        <v>6</v>
      </c>
      <c r="G1190" s="29" t="s">
        <v>24</v>
      </c>
      <c r="H1190" s="29" t="s">
        <v>25</v>
      </c>
    </row>
    <row r="1191" customFormat="false" ht="14.25" hidden="false" customHeight="false" outlineLevel="0" collapsed="false">
      <c r="A1191" s="1" t="n">
        <v>2194</v>
      </c>
      <c r="B1191" s="30" t="n">
        <v>43105</v>
      </c>
      <c r="C1191" s="29" t="s">
        <v>21</v>
      </c>
      <c r="D1191" s="62" t="n">
        <v>15</v>
      </c>
      <c r="E1191" s="62" t="n">
        <v>6113.42</v>
      </c>
      <c r="F1191" s="62" t="s">
        <v>4</v>
      </c>
      <c r="G1191" s="29" t="s">
        <v>22</v>
      </c>
      <c r="H1191" s="29" t="s">
        <v>27</v>
      </c>
    </row>
    <row r="1192" customFormat="false" ht="14.25" hidden="false" customHeight="false" outlineLevel="0" collapsed="false">
      <c r="A1192" s="1" t="n">
        <v>2195</v>
      </c>
      <c r="B1192" s="30" t="n">
        <v>43264</v>
      </c>
      <c r="C1192" s="29" t="s">
        <v>21</v>
      </c>
      <c r="D1192" s="62" t="n">
        <v>31</v>
      </c>
      <c r="E1192" s="62" t="n">
        <v>373.34</v>
      </c>
      <c r="F1192" s="62" t="s">
        <v>4</v>
      </c>
      <c r="G1192" s="29" t="s">
        <v>29</v>
      </c>
      <c r="H1192" s="29" t="s">
        <v>32</v>
      </c>
    </row>
    <row r="1193" customFormat="false" ht="14.25" hidden="false" customHeight="false" outlineLevel="0" collapsed="false">
      <c r="A1193" s="1" t="n">
        <v>2196</v>
      </c>
      <c r="B1193" s="30" t="n">
        <v>43186</v>
      </c>
      <c r="C1193" s="29" t="s">
        <v>39</v>
      </c>
      <c r="D1193" s="62" t="n">
        <v>47</v>
      </c>
      <c r="E1193" s="62" t="n">
        <v>603.9</v>
      </c>
      <c r="F1193" s="62" t="s">
        <v>5</v>
      </c>
      <c r="G1193" s="29" t="s">
        <v>29</v>
      </c>
      <c r="H1193" s="29" t="s">
        <v>34</v>
      </c>
    </row>
    <row r="1194" customFormat="false" ht="14.25" hidden="false" customHeight="false" outlineLevel="0" collapsed="false">
      <c r="A1194" s="1" t="n">
        <v>2197</v>
      </c>
      <c r="B1194" s="30" t="n">
        <v>43186</v>
      </c>
      <c r="C1194" s="29" t="s">
        <v>39</v>
      </c>
      <c r="D1194" s="62" t="n">
        <v>45</v>
      </c>
      <c r="E1194" s="62" t="n">
        <v>1111.54</v>
      </c>
      <c r="F1194" s="62" t="s">
        <v>5</v>
      </c>
      <c r="G1194" s="29" t="s">
        <v>29</v>
      </c>
      <c r="H1194" s="29" t="s">
        <v>34</v>
      </c>
    </row>
    <row r="1195" customFormat="false" ht="14.25" hidden="false" customHeight="false" outlineLevel="0" collapsed="false">
      <c r="A1195" s="1" t="n">
        <v>2198</v>
      </c>
      <c r="B1195" s="30" t="n">
        <v>43331</v>
      </c>
      <c r="C1195" s="29" t="s">
        <v>37</v>
      </c>
      <c r="D1195" s="62" t="n">
        <v>6</v>
      </c>
      <c r="E1195" s="62" t="n">
        <v>137.56</v>
      </c>
      <c r="F1195" s="62" t="s">
        <v>3</v>
      </c>
      <c r="G1195" s="29" t="s">
        <v>29</v>
      </c>
      <c r="H1195" s="29" t="s">
        <v>36</v>
      </c>
    </row>
    <row r="1196" customFormat="false" ht="14.25" hidden="false" customHeight="false" outlineLevel="0" collapsed="false">
      <c r="A1196" s="1" t="n">
        <v>2199</v>
      </c>
      <c r="B1196" s="30" t="n">
        <v>43249</v>
      </c>
      <c r="C1196" s="29" t="s">
        <v>28</v>
      </c>
      <c r="D1196" s="62" t="n">
        <v>33</v>
      </c>
      <c r="E1196" s="62" t="n">
        <v>1069.17</v>
      </c>
      <c r="F1196" s="62" t="s">
        <v>3</v>
      </c>
      <c r="G1196" s="29" t="s">
        <v>24</v>
      </c>
      <c r="H1196" s="29" t="s">
        <v>25</v>
      </c>
    </row>
    <row r="1197" customFormat="false" ht="14.25" hidden="false" customHeight="false" outlineLevel="0" collapsed="false">
      <c r="A1197" s="1" t="n">
        <v>2200</v>
      </c>
      <c r="B1197" s="30" t="n">
        <v>43317</v>
      </c>
      <c r="C1197" s="29" t="s">
        <v>28</v>
      </c>
      <c r="D1197" s="62" t="n">
        <v>7</v>
      </c>
      <c r="E1197" s="62" t="n">
        <v>41.74</v>
      </c>
      <c r="F1197" s="62" t="s">
        <v>3</v>
      </c>
      <c r="G1197" s="29" t="s">
        <v>24</v>
      </c>
      <c r="H1197" s="29" t="s">
        <v>26</v>
      </c>
    </row>
    <row r="1198" customFormat="false" ht="14.25" hidden="false" customHeight="false" outlineLevel="0" collapsed="false">
      <c r="A1198" s="1" t="n">
        <v>2201</v>
      </c>
      <c r="B1198" s="30" t="n">
        <v>43317</v>
      </c>
      <c r="C1198" s="29" t="s">
        <v>28</v>
      </c>
      <c r="D1198" s="62" t="n">
        <v>6</v>
      </c>
      <c r="E1198" s="62" t="n">
        <v>66.37</v>
      </c>
      <c r="F1198" s="62" t="s">
        <v>3</v>
      </c>
      <c r="G1198" s="29" t="s">
        <v>22</v>
      </c>
      <c r="H1198" s="29" t="s">
        <v>23</v>
      </c>
    </row>
    <row r="1199" customFormat="false" ht="14.25" hidden="false" customHeight="false" outlineLevel="0" collapsed="false">
      <c r="A1199" s="1" t="n">
        <v>2202</v>
      </c>
      <c r="B1199" s="30" t="n">
        <v>43458</v>
      </c>
      <c r="C1199" s="29" t="s">
        <v>37</v>
      </c>
      <c r="D1199" s="62" t="n">
        <v>33</v>
      </c>
      <c r="E1199" s="62" t="n">
        <v>126.01</v>
      </c>
      <c r="F1199" s="62" t="s">
        <v>3</v>
      </c>
      <c r="G1199" s="29" t="s">
        <v>29</v>
      </c>
      <c r="H1199" s="29" t="s">
        <v>35</v>
      </c>
    </row>
    <row r="1200" customFormat="false" ht="14.25" hidden="false" customHeight="false" outlineLevel="0" collapsed="false">
      <c r="A1200" s="1" t="n">
        <v>2203</v>
      </c>
      <c r="B1200" s="30" t="n">
        <v>43458</v>
      </c>
      <c r="C1200" s="29" t="s">
        <v>37</v>
      </c>
      <c r="D1200" s="62" t="n">
        <v>45</v>
      </c>
      <c r="E1200" s="62" t="n">
        <v>5102.39</v>
      </c>
      <c r="F1200" s="62" t="s">
        <v>3</v>
      </c>
      <c r="G1200" s="29" t="s">
        <v>22</v>
      </c>
      <c r="H1200" s="29" t="s">
        <v>40</v>
      </c>
    </row>
    <row r="1201" customFormat="false" ht="14.25" hidden="false" customHeight="false" outlineLevel="0" collapsed="false">
      <c r="A1201" s="1" t="n">
        <v>2204</v>
      </c>
      <c r="B1201" s="30" t="n">
        <v>43426</v>
      </c>
      <c r="C1201" s="29" t="s">
        <v>21</v>
      </c>
      <c r="D1201" s="62" t="n">
        <v>2</v>
      </c>
      <c r="E1201" s="62" t="n">
        <v>73.47</v>
      </c>
      <c r="F1201" s="62" t="s">
        <v>4</v>
      </c>
      <c r="G1201" s="29" t="s">
        <v>29</v>
      </c>
      <c r="H1201" s="29" t="s">
        <v>36</v>
      </c>
    </row>
    <row r="1202" customFormat="false" ht="14.25" hidden="false" customHeight="false" outlineLevel="0" collapsed="false">
      <c r="A1202" s="1" t="n">
        <v>2205</v>
      </c>
      <c r="B1202" s="30" t="n">
        <v>43410</v>
      </c>
      <c r="C1202" s="29" t="s">
        <v>21</v>
      </c>
      <c r="D1202" s="62" t="n">
        <v>32</v>
      </c>
      <c r="E1202" s="62" t="n">
        <v>659.54</v>
      </c>
      <c r="F1202" s="62" t="s">
        <v>4</v>
      </c>
      <c r="G1202" s="29" t="s">
        <v>24</v>
      </c>
      <c r="H1202" s="29" t="s">
        <v>26</v>
      </c>
    </row>
    <row r="1203" customFormat="false" ht="14.25" hidden="false" customHeight="false" outlineLevel="0" collapsed="false">
      <c r="A1203" s="1" t="n">
        <v>2206</v>
      </c>
      <c r="B1203" s="30" t="n">
        <v>43148</v>
      </c>
      <c r="C1203" s="29" t="s">
        <v>31</v>
      </c>
      <c r="D1203" s="62" t="n">
        <v>8</v>
      </c>
      <c r="E1203" s="62" t="n">
        <v>74.44</v>
      </c>
      <c r="F1203" s="62" t="s">
        <v>6</v>
      </c>
      <c r="G1203" s="29" t="s">
        <v>29</v>
      </c>
      <c r="H1203" s="29" t="s">
        <v>38</v>
      </c>
    </row>
    <row r="1204" customFormat="false" ht="14.25" hidden="false" customHeight="false" outlineLevel="0" collapsed="false">
      <c r="A1204" s="1" t="n">
        <v>2207</v>
      </c>
      <c r="B1204" s="30" t="n">
        <v>43285</v>
      </c>
      <c r="C1204" s="29" t="s">
        <v>37</v>
      </c>
      <c r="D1204" s="62" t="n">
        <v>27</v>
      </c>
      <c r="E1204" s="62" t="n">
        <v>2862.34</v>
      </c>
      <c r="F1204" s="62" t="s">
        <v>6</v>
      </c>
      <c r="G1204" s="29" t="s">
        <v>22</v>
      </c>
      <c r="H1204" s="29" t="s">
        <v>23</v>
      </c>
    </row>
    <row r="1205" customFormat="false" ht="14.25" hidden="false" customHeight="false" outlineLevel="0" collapsed="false">
      <c r="A1205" s="1" t="n">
        <v>2208</v>
      </c>
      <c r="B1205" s="30" t="n">
        <v>43285</v>
      </c>
      <c r="C1205" s="29" t="s">
        <v>37</v>
      </c>
      <c r="D1205" s="62" t="n">
        <v>47</v>
      </c>
      <c r="E1205" s="62" t="n">
        <v>15609.46</v>
      </c>
      <c r="F1205" s="62" t="s">
        <v>6</v>
      </c>
      <c r="G1205" s="29" t="s">
        <v>29</v>
      </c>
      <c r="H1205" s="29" t="s">
        <v>41</v>
      </c>
    </row>
    <row r="1206" customFormat="false" ht="14.25" hidden="false" customHeight="false" outlineLevel="0" collapsed="false">
      <c r="A1206" s="1" t="n">
        <v>2209</v>
      </c>
      <c r="B1206" s="30" t="n">
        <v>43285</v>
      </c>
      <c r="C1206" s="29" t="s">
        <v>37</v>
      </c>
      <c r="D1206" s="62" t="n">
        <v>7</v>
      </c>
      <c r="E1206" s="62" t="n">
        <v>59.58</v>
      </c>
      <c r="F1206" s="62" t="s">
        <v>6</v>
      </c>
      <c r="G1206" s="29" t="s">
        <v>29</v>
      </c>
      <c r="H1206" s="29" t="s">
        <v>36</v>
      </c>
    </row>
    <row r="1207" customFormat="false" ht="14.25" hidden="false" customHeight="false" outlineLevel="0" collapsed="false">
      <c r="A1207" s="1" t="n">
        <v>2210</v>
      </c>
      <c r="B1207" s="30" t="n">
        <v>43305</v>
      </c>
      <c r="C1207" s="29" t="s">
        <v>37</v>
      </c>
      <c r="D1207" s="62" t="n">
        <v>9</v>
      </c>
      <c r="E1207" s="62" t="n">
        <v>945.21</v>
      </c>
      <c r="F1207" s="62" t="s">
        <v>5</v>
      </c>
      <c r="G1207" s="29" t="s">
        <v>24</v>
      </c>
      <c r="H1207" s="29" t="s">
        <v>26</v>
      </c>
    </row>
    <row r="1208" customFormat="false" ht="14.25" hidden="false" customHeight="false" outlineLevel="0" collapsed="false">
      <c r="A1208" s="1" t="n">
        <v>2211</v>
      </c>
      <c r="B1208" s="30" t="n">
        <v>43370</v>
      </c>
      <c r="C1208" s="29" t="s">
        <v>39</v>
      </c>
      <c r="D1208" s="62" t="n">
        <v>49</v>
      </c>
      <c r="E1208" s="62" t="n">
        <v>4573.13</v>
      </c>
      <c r="F1208" s="62" t="s">
        <v>6</v>
      </c>
      <c r="G1208" s="29" t="s">
        <v>29</v>
      </c>
      <c r="H1208" s="29" t="s">
        <v>45</v>
      </c>
    </row>
    <row r="1209" customFormat="false" ht="14.25" hidden="false" customHeight="false" outlineLevel="0" collapsed="false">
      <c r="A1209" s="1" t="n">
        <v>2212</v>
      </c>
      <c r="B1209" s="30" t="n">
        <v>43370</v>
      </c>
      <c r="C1209" s="29" t="s">
        <v>39</v>
      </c>
      <c r="D1209" s="62" t="n">
        <v>40</v>
      </c>
      <c r="E1209" s="62" t="n">
        <v>883.61</v>
      </c>
      <c r="F1209" s="62" t="s">
        <v>6</v>
      </c>
      <c r="G1209" s="29" t="s">
        <v>29</v>
      </c>
      <c r="H1209" s="29" t="s">
        <v>30</v>
      </c>
    </row>
    <row r="1210" customFormat="false" ht="14.25" hidden="false" customHeight="false" outlineLevel="0" collapsed="false">
      <c r="A1210" s="1" t="n">
        <v>2213</v>
      </c>
      <c r="B1210" s="30" t="n">
        <v>43421</v>
      </c>
      <c r="C1210" s="29" t="s">
        <v>28</v>
      </c>
      <c r="D1210" s="62" t="n">
        <v>18</v>
      </c>
      <c r="E1210" s="62" t="n">
        <v>445.54</v>
      </c>
      <c r="F1210" s="62" t="s">
        <v>4</v>
      </c>
      <c r="G1210" s="29" t="s">
        <v>24</v>
      </c>
      <c r="H1210" s="29" t="s">
        <v>26</v>
      </c>
    </row>
    <row r="1211" customFormat="false" ht="14.25" hidden="false" customHeight="false" outlineLevel="0" collapsed="false">
      <c r="A1211" s="1" t="n">
        <v>2214</v>
      </c>
      <c r="B1211" s="30" t="n">
        <v>43283</v>
      </c>
      <c r="C1211" s="29" t="s">
        <v>21</v>
      </c>
      <c r="D1211" s="62" t="n">
        <v>39</v>
      </c>
      <c r="E1211" s="62" t="n">
        <v>121.01</v>
      </c>
      <c r="F1211" s="62" t="s">
        <v>6</v>
      </c>
      <c r="G1211" s="29" t="s">
        <v>29</v>
      </c>
      <c r="H1211" s="29" t="s">
        <v>30</v>
      </c>
    </row>
    <row r="1212" customFormat="false" ht="14.25" hidden="false" customHeight="false" outlineLevel="0" collapsed="false">
      <c r="A1212" s="1" t="n">
        <v>2215</v>
      </c>
      <c r="B1212" s="30" t="n">
        <v>43336</v>
      </c>
      <c r="C1212" s="29" t="s">
        <v>28</v>
      </c>
      <c r="D1212" s="62" t="n">
        <v>15</v>
      </c>
      <c r="E1212" s="62" t="n">
        <v>378.27</v>
      </c>
      <c r="F1212" s="62" t="s">
        <v>4</v>
      </c>
      <c r="G1212" s="29" t="s">
        <v>29</v>
      </c>
      <c r="H1212" s="29" t="s">
        <v>36</v>
      </c>
    </row>
    <row r="1213" customFormat="false" ht="14.25" hidden="false" customHeight="false" outlineLevel="0" collapsed="false">
      <c r="A1213" s="1" t="n">
        <v>2216</v>
      </c>
      <c r="B1213" s="30" t="n">
        <v>43336</v>
      </c>
      <c r="C1213" s="29" t="s">
        <v>28</v>
      </c>
      <c r="D1213" s="62" t="n">
        <v>32</v>
      </c>
      <c r="E1213" s="62" t="n">
        <v>3259.23</v>
      </c>
      <c r="F1213" s="62" t="s">
        <v>4</v>
      </c>
      <c r="G1213" s="29" t="s">
        <v>24</v>
      </c>
      <c r="H1213" s="29" t="s">
        <v>42</v>
      </c>
    </row>
    <row r="1214" customFormat="false" ht="14.25" hidden="false" customHeight="false" outlineLevel="0" collapsed="false">
      <c r="A1214" s="1" t="n">
        <v>2217</v>
      </c>
      <c r="B1214" s="30" t="n">
        <v>43341</v>
      </c>
      <c r="C1214" s="29" t="s">
        <v>31</v>
      </c>
      <c r="D1214" s="62" t="n">
        <v>28</v>
      </c>
      <c r="E1214" s="62" t="n">
        <v>1596.25</v>
      </c>
      <c r="F1214" s="62" t="s">
        <v>4</v>
      </c>
      <c r="G1214" s="29" t="s">
        <v>24</v>
      </c>
      <c r="H1214" s="29" t="s">
        <v>25</v>
      </c>
    </row>
    <row r="1215" customFormat="false" ht="14.25" hidden="false" customHeight="false" outlineLevel="0" collapsed="false">
      <c r="A1215" s="1" t="n">
        <v>2218</v>
      </c>
      <c r="B1215" s="30" t="n">
        <v>43266</v>
      </c>
      <c r="C1215" s="29" t="s">
        <v>21</v>
      </c>
      <c r="D1215" s="62" t="n">
        <v>43</v>
      </c>
      <c r="E1215" s="62" t="n">
        <v>143.73</v>
      </c>
      <c r="F1215" s="62" t="s">
        <v>5</v>
      </c>
      <c r="G1215" s="29" t="s">
        <v>29</v>
      </c>
      <c r="H1215" s="29" t="s">
        <v>36</v>
      </c>
    </row>
    <row r="1216" customFormat="false" ht="14.25" hidden="false" customHeight="false" outlineLevel="0" collapsed="false">
      <c r="A1216" s="1" t="n">
        <v>2219</v>
      </c>
      <c r="B1216" s="30" t="n">
        <v>43266</v>
      </c>
      <c r="C1216" s="29" t="s">
        <v>21</v>
      </c>
      <c r="D1216" s="62" t="n">
        <v>19</v>
      </c>
      <c r="E1216" s="62" t="n">
        <v>75.24</v>
      </c>
      <c r="F1216" s="62" t="s">
        <v>5</v>
      </c>
      <c r="G1216" s="29" t="s">
        <v>29</v>
      </c>
      <c r="H1216" s="29" t="s">
        <v>30</v>
      </c>
    </row>
    <row r="1217" customFormat="false" ht="14.25" hidden="false" customHeight="false" outlineLevel="0" collapsed="false">
      <c r="A1217" s="1" t="n">
        <v>2220</v>
      </c>
      <c r="B1217" s="30" t="n">
        <v>43361</v>
      </c>
      <c r="C1217" s="29" t="s">
        <v>28</v>
      </c>
      <c r="D1217" s="62" t="n">
        <v>25</v>
      </c>
      <c r="E1217" s="62" t="n">
        <v>2797.38</v>
      </c>
      <c r="F1217" s="62" t="s">
        <v>4</v>
      </c>
      <c r="G1217" s="29" t="s">
        <v>24</v>
      </c>
      <c r="H1217" s="29" t="s">
        <v>25</v>
      </c>
    </row>
    <row r="1218" customFormat="false" ht="14.25" hidden="false" customHeight="false" outlineLevel="0" collapsed="false">
      <c r="A1218" s="1" t="n">
        <v>2221</v>
      </c>
      <c r="B1218" s="30" t="n">
        <v>43361</v>
      </c>
      <c r="C1218" s="29" t="s">
        <v>28</v>
      </c>
      <c r="D1218" s="62" t="n">
        <v>46</v>
      </c>
      <c r="E1218" s="62" t="n">
        <v>681.06</v>
      </c>
      <c r="F1218" s="62" t="s">
        <v>4</v>
      </c>
      <c r="G1218" s="29" t="s">
        <v>24</v>
      </c>
      <c r="H1218" s="29" t="s">
        <v>42</v>
      </c>
    </row>
    <row r="1219" customFormat="false" ht="14.25" hidden="false" customHeight="false" outlineLevel="0" collapsed="false">
      <c r="A1219" s="1" t="n">
        <v>2222</v>
      </c>
      <c r="B1219" s="30" t="n">
        <v>43370</v>
      </c>
      <c r="C1219" s="29" t="s">
        <v>37</v>
      </c>
      <c r="D1219" s="62" t="n">
        <v>34</v>
      </c>
      <c r="E1219" s="62" t="n">
        <v>2816.75</v>
      </c>
      <c r="F1219" s="62" t="s">
        <v>5</v>
      </c>
      <c r="G1219" s="29" t="s">
        <v>24</v>
      </c>
      <c r="H1219" s="29" t="s">
        <v>25</v>
      </c>
    </row>
    <row r="1220" customFormat="false" ht="14.25" hidden="false" customHeight="false" outlineLevel="0" collapsed="false">
      <c r="A1220" s="1" t="n">
        <v>2223</v>
      </c>
      <c r="B1220" s="30" t="n">
        <v>43118</v>
      </c>
      <c r="C1220" s="29" t="s">
        <v>28</v>
      </c>
      <c r="D1220" s="62" t="n">
        <v>46</v>
      </c>
      <c r="E1220" s="62" t="n">
        <v>193.2</v>
      </c>
      <c r="F1220" s="62" t="s">
        <v>5</v>
      </c>
      <c r="G1220" s="29" t="s">
        <v>29</v>
      </c>
      <c r="H1220" s="29" t="s">
        <v>30</v>
      </c>
    </row>
    <row r="1221" customFormat="false" ht="14.25" hidden="false" customHeight="false" outlineLevel="0" collapsed="false">
      <c r="A1221" s="1" t="n">
        <v>2224</v>
      </c>
      <c r="B1221" s="30" t="n">
        <v>43292</v>
      </c>
      <c r="C1221" s="29" t="s">
        <v>21</v>
      </c>
      <c r="D1221" s="62" t="n">
        <v>32</v>
      </c>
      <c r="E1221" s="62" t="n">
        <v>123.92</v>
      </c>
      <c r="F1221" s="62" t="s">
        <v>6</v>
      </c>
      <c r="G1221" s="29" t="s">
        <v>29</v>
      </c>
      <c r="H1221" s="29" t="s">
        <v>35</v>
      </c>
    </row>
    <row r="1222" customFormat="false" ht="14.25" hidden="false" customHeight="false" outlineLevel="0" collapsed="false">
      <c r="A1222" s="1" t="n">
        <v>2225</v>
      </c>
      <c r="B1222" s="30" t="n">
        <v>43267</v>
      </c>
      <c r="C1222" s="29" t="s">
        <v>31</v>
      </c>
      <c r="D1222" s="62" t="n">
        <v>40</v>
      </c>
      <c r="E1222" s="62" t="n">
        <v>5632.99</v>
      </c>
      <c r="F1222" s="62" t="s">
        <v>4</v>
      </c>
      <c r="G1222" s="29" t="s">
        <v>22</v>
      </c>
      <c r="H1222" s="29" t="s">
        <v>40</v>
      </c>
    </row>
    <row r="1223" customFormat="false" ht="14.25" hidden="false" customHeight="false" outlineLevel="0" collapsed="false">
      <c r="A1223" s="1" t="n">
        <v>2226</v>
      </c>
      <c r="B1223" s="30" t="n">
        <v>43173</v>
      </c>
      <c r="C1223" s="29" t="s">
        <v>28</v>
      </c>
      <c r="D1223" s="62" t="n">
        <v>44</v>
      </c>
      <c r="E1223" s="62" t="n">
        <v>10164.25</v>
      </c>
      <c r="F1223" s="62" t="s">
        <v>4</v>
      </c>
      <c r="G1223" s="29" t="s">
        <v>22</v>
      </c>
      <c r="H1223" s="29" t="s">
        <v>40</v>
      </c>
    </row>
    <row r="1224" customFormat="false" ht="14.25" hidden="false" customHeight="false" outlineLevel="0" collapsed="false">
      <c r="A1224" s="1" t="n">
        <v>2227</v>
      </c>
      <c r="B1224" s="30" t="n">
        <v>43241</v>
      </c>
      <c r="C1224" s="29" t="s">
        <v>37</v>
      </c>
      <c r="D1224" s="62" t="n">
        <v>45</v>
      </c>
      <c r="E1224" s="62" t="n">
        <v>2678.56</v>
      </c>
      <c r="F1224" s="62" t="s">
        <v>4</v>
      </c>
      <c r="G1224" s="29" t="s">
        <v>24</v>
      </c>
      <c r="H1224" s="29" t="s">
        <v>25</v>
      </c>
    </row>
    <row r="1225" customFormat="false" ht="14.25" hidden="false" customHeight="false" outlineLevel="0" collapsed="false">
      <c r="A1225" s="1" t="n">
        <v>2228</v>
      </c>
      <c r="B1225" s="30" t="n">
        <v>43241</v>
      </c>
      <c r="C1225" s="29" t="s">
        <v>37</v>
      </c>
      <c r="D1225" s="62" t="n">
        <v>39</v>
      </c>
      <c r="E1225" s="62" t="n">
        <v>4973.03</v>
      </c>
      <c r="F1225" s="62" t="s">
        <v>4</v>
      </c>
      <c r="G1225" s="29" t="s">
        <v>22</v>
      </c>
      <c r="H1225" s="29" t="s">
        <v>40</v>
      </c>
    </row>
    <row r="1226" customFormat="false" ht="14.25" hidden="false" customHeight="false" outlineLevel="0" collapsed="false">
      <c r="A1226" s="1" t="n">
        <v>2229</v>
      </c>
      <c r="B1226" s="30" t="n">
        <v>43413</v>
      </c>
      <c r="C1226" s="29" t="s">
        <v>39</v>
      </c>
      <c r="D1226" s="62" t="n">
        <v>40</v>
      </c>
      <c r="E1226" s="62" t="n">
        <v>727.09</v>
      </c>
      <c r="F1226" s="62" t="s">
        <v>5</v>
      </c>
      <c r="G1226" s="29" t="s">
        <v>29</v>
      </c>
      <c r="H1226" s="29" t="s">
        <v>38</v>
      </c>
    </row>
    <row r="1227" customFormat="false" ht="14.25" hidden="false" customHeight="false" outlineLevel="0" collapsed="false">
      <c r="A1227" s="1" t="n">
        <v>2230</v>
      </c>
      <c r="B1227" s="30" t="n">
        <v>43413</v>
      </c>
      <c r="C1227" s="29" t="s">
        <v>39</v>
      </c>
      <c r="D1227" s="62" t="n">
        <v>38</v>
      </c>
      <c r="E1227" s="62" t="n">
        <v>5538.61</v>
      </c>
      <c r="F1227" s="62" t="s">
        <v>5</v>
      </c>
      <c r="G1227" s="29" t="s">
        <v>29</v>
      </c>
      <c r="H1227" s="29" t="s">
        <v>38</v>
      </c>
    </row>
    <row r="1228" customFormat="false" ht="14.25" hidden="false" customHeight="false" outlineLevel="0" collapsed="false">
      <c r="A1228" s="1" t="n">
        <v>2231</v>
      </c>
      <c r="B1228" s="30" t="n">
        <v>43413</v>
      </c>
      <c r="C1228" s="29" t="s">
        <v>39</v>
      </c>
      <c r="D1228" s="62" t="n">
        <v>21</v>
      </c>
      <c r="E1228" s="62" t="n">
        <v>2922.95</v>
      </c>
      <c r="F1228" s="62" t="s">
        <v>5</v>
      </c>
      <c r="G1228" s="29" t="s">
        <v>24</v>
      </c>
      <c r="H1228" s="29" t="s">
        <v>25</v>
      </c>
    </row>
    <row r="1229" customFormat="false" ht="14.25" hidden="false" customHeight="false" outlineLevel="0" collapsed="false">
      <c r="A1229" s="1" t="n">
        <v>2232</v>
      </c>
      <c r="B1229" s="30" t="n">
        <v>43422</v>
      </c>
      <c r="C1229" s="29" t="s">
        <v>39</v>
      </c>
      <c r="D1229" s="62" t="n">
        <v>34</v>
      </c>
      <c r="E1229" s="62" t="n">
        <v>31399.44</v>
      </c>
      <c r="F1229" s="62" t="s">
        <v>4</v>
      </c>
      <c r="G1229" s="29" t="s">
        <v>22</v>
      </c>
      <c r="H1229" s="29" t="s">
        <v>44</v>
      </c>
    </row>
    <row r="1230" customFormat="false" ht="14.25" hidden="false" customHeight="false" outlineLevel="0" collapsed="false">
      <c r="A1230" s="1" t="n">
        <v>2233</v>
      </c>
      <c r="B1230" s="30" t="n">
        <v>43422</v>
      </c>
      <c r="C1230" s="29" t="s">
        <v>39</v>
      </c>
      <c r="D1230" s="62" t="n">
        <v>21</v>
      </c>
      <c r="E1230" s="62" t="n">
        <v>1608.73</v>
      </c>
      <c r="F1230" s="62" t="s">
        <v>4</v>
      </c>
      <c r="G1230" s="29" t="s">
        <v>29</v>
      </c>
      <c r="H1230" s="29" t="s">
        <v>41</v>
      </c>
    </row>
    <row r="1231" customFormat="false" ht="14.25" hidden="false" customHeight="false" outlineLevel="0" collapsed="false">
      <c r="A1231" s="1" t="n">
        <v>2234</v>
      </c>
      <c r="B1231" s="30" t="n">
        <v>43422</v>
      </c>
      <c r="C1231" s="29" t="s">
        <v>39</v>
      </c>
      <c r="D1231" s="62" t="n">
        <v>1</v>
      </c>
      <c r="E1231" s="62" t="n">
        <v>11.36</v>
      </c>
      <c r="F1231" s="62" t="s">
        <v>4</v>
      </c>
      <c r="G1231" s="29" t="s">
        <v>24</v>
      </c>
      <c r="H1231" s="29" t="s">
        <v>26</v>
      </c>
    </row>
    <row r="1232" customFormat="false" ht="14.25" hidden="false" customHeight="false" outlineLevel="0" collapsed="false">
      <c r="A1232" s="1" t="n">
        <v>2235</v>
      </c>
      <c r="B1232" s="30" t="n">
        <v>43422</v>
      </c>
      <c r="C1232" s="29" t="s">
        <v>39</v>
      </c>
      <c r="D1232" s="62" t="n">
        <v>50</v>
      </c>
      <c r="E1232" s="62" t="n">
        <v>2500.62</v>
      </c>
      <c r="F1232" s="62" t="s">
        <v>4</v>
      </c>
      <c r="G1232" s="29" t="s">
        <v>24</v>
      </c>
      <c r="H1232" s="29" t="s">
        <v>26</v>
      </c>
    </row>
    <row r="1233" customFormat="false" ht="14.25" hidden="false" customHeight="false" outlineLevel="0" collapsed="false">
      <c r="A1233" s="1" t="n">
        <v>2236</v>
      </c>
      <c r="B1233" s="30" t="n">
        <v>43223</v>
      </c>
      <c r="C1233" s="29" t="s">
        <v>37</v>
      </c>
      <c r="D1233" s="62" t="n">
        <v>21</v>
      </c>
      <c r="E1233" s="62" t="n">
        <v>225.62</v>
      </c>
      <c r="F1233" s="62" t="s">
        <v>5</v>
      </c>
      <c r="G1233" s="29" t="s">
        <v>22</v>
      </c>
      <c r="H1233" s="29" t="s">
        <v>23</v>
      </c>
    </row>
    <row r="1234" customFormat="false" ht="14.25" hidden="false" customHeight="false" outlineLevel="0" collapsed="false">
      <c r="A1234" s="1" t="n">
        <v>2237</v>
      </c>
      <c r="B1234" s="30" t="n">
        <v>43190</v>
      </c>
      <c r="C1234" s="29" t="s">
        <v>31</v>
      </c>
      <c r="D1234" s="62" t="n">
        <v>47</v>
      </c>
      <c r="E1234" s="62" t="n">
        <v>542.68</v>
      </c>
      <c r="F1234" s="62" t="s">
        <v>5</v>
      </c>
      <c r="G1234" s="29" t="s">
        <v>29</v>
      </c>
      <c r="H1234" s="29" t="s">
        <v>36</v>
      </c>
    </row>
    <row r="1235" customFormat="false" ht="14.25" hidden="false" customHeight="false" outlineLevel="0" collapsed="false">
      <c r="A1235" s="1" t="n">
        <v>2238</v>
      </c>
      <c r="B1235" s="30" t="n">
        <v>43190</v>
      </c>
      <c r="C1235" s="29" t="s">
        <v>31</v>
      </c>
      <c r="D1235" s="62" t="n">
        <v>29</v>
      </c>
      <c r="E1235" s="62" t="n">
        <v>789</v>
      </c>
      <c r="F1235" s="62" t="s">
        <v>5</v>
      </c>
      <c r="G1235" s="29" t="s">
        <v>22</v>
      </c>
      <c r="H1235" s="29" t="s">
        <v>40</v>
      </c>
    </row>
    <row r="1236" customFormat="false" ht="14.25" hidden="false" customHeight="false" outlineLevel="0" collapsed="false">
      <c r="A1236" s="1" t="n">
        <v>2239</v>
      </c>
      <c r="B1236" s="30" t="n">
        <v>43190</v>
      </c>
      <c r="C1236" s="29" t="s">
        <v>31</v>
      </c>
      <c r="D1236" s="62" t="n">
        <v>42</v>
      </c>
      <c r="E1236" s="62" t="n">
        <v>161.77</v>
      </c>
      <c r="F1236" s="62" t="s">
        <v>5</v>
      </c>
      <c r="G1236" s="29" t="s">
        <v>29</v>
      </c>
      <c r="H1236" s="29" t="s">
        <v>33</v>
      </c>
    </row>
    <row r="1237" customFormat="false" ht="14.25" hidden="false" customHeight="false" outlineLevel="0" collapsed="false">
      <c r="A1237" s="1" t="n">
        <v>2240</v>
      </c>
      <c r="B1237" s="30" t="n">
        <v>43351</v>
      </c>
      <c r="C1237" s="29" t="s">
        <v>39</v>
      </c>
      <c r="D1237" s="62" t="n">
        <v>39</v>
      </c>
      <c r="E1237" s="62" t="n">
        <v>22038.34</v>
      </c>
      <c r="F1237" s="62" t="s">
        <v>5</v>
      </c>
      <c r="G1237" s="29" t="s">
        <v>22</v>
      </c>
      <c r="H1237" s="29" t="s">
        <v>27</v>
      </c>
    </row>
    <row r="1238" customFormat="false" ht="14.25" hidden="false" customHeight="false" outlineLevel="0" collapsed="false">
      <c r="A1238" s="1" t="n">
        <v>2241</v>
      </c>
      <c r="B1238" s="30" t="n">
        <v>43253</v>
      </c>
      <c r="C1238" s="29" t="s">
        <v>39</v>
      </c>
      <c r="D1238" s="62" t="n">
        <v>9</v>
      </c>
      <c r="E1238" s="62" t="n">
        <v>2147.75</v>
      </c>
      <c r="F1238" s="62" t="s">
        <v>5</v>
      </c>
      <c r="G1238" s="29" t="s">
        <v>29</v>
      </c>
      <c r="H1238" s="29" t="s">
        <v>41</v>
      </c>
    </row>
    <row r="1239" customFormat="false" ht="14.25" hidden="false" customHeight="false" outlineLevel="0" collapsed="false">
      <c r="A1239" s="1" t="n">
        <v>2242</v>
      </c>
      <c r="B1239" s="30" t="n">
        <v>43253</v>
      </c>
      <c r="C1239" s="29" t="s">
        <v>39</v>
      </c>
      <c r="D1239" s="62" t="n">
        <v>1</v>
      </c>
      <c r="E1239" s="62" t="n">
        <v>31.23</v>
      </c>
      <c r="F1239" s="62" t="s">
        <v>5</v>
      </c>
      <c r="G1239" s="29" t="s">
        <v>29</v>
      </c>
      <c r="H1239" s="29" t="s">
        <v>45</v>
      </c>
    </row>
    <row r="1240" customFormat="false" ht="14.25" hidden="false" customHeight="false" outlineLevel="0" collapsed="false">
      <c r="A1240" s="1" t="n">
        <v>2243</v>
      </c>
      <c r="B1240" s="30" t="n">
        <v>43253</v>
      </c>
      <c r="C1240" s="29" t="s">
        <v>39</v>
      </c>
      <c r="D1240" s="62" t="n">
        <v>42</v>
      </c>
      <c r="E1240" s="62" t="n">
        <v>411.32</v>
      </c>
      <c r="F1240" s="62" t="s">
        <v>5</v>
      </c>
      <c r="G1240" s="29" t="s">
        <v>24</v>
      </c>
      <c r="H1240" s="29" t="s">
        <v>42</v>
      </c>
    </row>
    <row r="1241" customFormat="false" ht="14.25" hidden="false" customHeight="false" outlineLevel="0" collapsed="false">
      <c r="A1241" s="1" t="n">
        <v>2244</v>
      </c>
      <c r="B1241" s="30" t="n">
        <v>43464</v>
      </c>
      <c r="C1241" s="29" t="s">
        <v>37</v>
      </c>
      <c r="D1241" s="62" t="n">
        <v>6</v>
      </c>
      <c r="E1241" s="62" t="n">
        <v>258.78</v>
      </c>
      <c r="F1241" s="62" t="s">
        <v>5</v>
      </c>
      <c r="G1241" s="29" t="s">
        <v>29</v>
      </c>
      <c r="H1241" s="29" t="s">
        <v>30</v>
      </c>
    </row>
    <row r="1242" customFormat="false" ht="14.25" hidden="false" customHeight="false" outlineLevel="0" collapsed="false">
      <c r="A1242" s="1" t="n">
        <v>2245</v>
      </c>
      <c r="B1242" s="30" t="n">
        <v>43435</v>
      </c>
      <c r="C1242" s="29" t="s">
        <v>21</v>
      </c>
      <c r="D1242" s="62" t="n">
        <v>31</v>
      </c>
      <c r="E1242" s="62" t="n">
        <v>505.41</v>
      </c>
      <c r="F1242" s="62" t="s">
        <v>3</v>
      </c>
      <c r="G1242" s="29" t="s">
        <v>29</v>
      </c>
      <c r="H1242" s="29" t="s">
        <v>34</v>
      </c>
    </row>
    <row r="1243" customFormat="false" ht="14.25" hidden="false" customHeight="false" outlineLevel="0" collapsed="false">
      <c r="A1243" s="1" t="n">
        <v>2246</v>
      </c>
      <c r="B1243" s="30" t="n">
        <v>43260</v>
      </c>
      <c r="C1243" s="29" t="s">
        <v>28</v>
      </c>
      <c r="D1243" s="62" t="n">
        <v>44</v>
      </c>
      <c r="E1243" s="62" t="n">
        <v>643.9</v>
      </c>
      <c r="F1243" s="62" t="s">
        <v>3</v>
      </c>
      <c r="G1243" s="29" t="s">
        <v>29</v>
      </c>
      <c r="H1243" s="29" t="s">
        <v>38</v>
      </c>
    </row>
    <row r="1244" customFormat="false" ht="14.25" hidden="false" customHeight="false" outlineLevel="0" collapsed="false">
      <c r="A1244" s="1" t="n">
        <v>2247</v>
      </c>
      <c r="B1244" s="30" t="n">
        <v>43462</v>
      </c>
      <c r="C1244" s="29" t="s">
        <v>21</v>
      </c>
      <c r="D1244" s="62" t="n">
        <v>14</v>
      </c>
      <c r="E1244" s="62" t="n">
        <v>39.31</v>
      </c>
      <c r="F1244" s="62" t="s">
        <v>4</v>
      </c>
      <c r="G1244" s="29" t="s">
        <v>29</v>
      </c>
      <c r="H1244" s="29" t="s">
        <v>30</v>
      </c>
    </row>
    <row r="1245" customFormat="false" ht="14.25" hidden="false" customHeight="false" outlineLevel="0" collapsed="false">
      <c r="A1245" s="1" t="n">
        <v>2248</v>
      </c>
      <c r="B1245" s="30" t="n">
        <v>43462</v>
      </c>
      <c r="C1245" s="29" t="s">
        <v>21</v>
      </c>
      <c r="D1245" s="62" t="n">
        <v>49</v>
      </c>
      <c r="E1245" s="62" t="n">
        <v>195.9</v>
      </c>
      <c r="F1245" s="62" t="s">
        <v>4</v>
      </c>
      <c r="G1245" s="29" t="s">
        <v>29</v>
      </c>
      <c r="H1245" s="29" t="s">
        <v>35</v>
      </c>
    </row>
    <row r="1246" customFormat="false" ht="14.25" hidden="false" customHeight="false" outlineLevel="0" collapsed="false">
      <c r="A1246" s="1" t="n">
        <v>2249</v>
      </c>
      <c r="B1246" s="30" t="n">
        <v>43212</v>
      </c>
      <c r="C1246" s="29" t="s">
        <v>37</v>
      </c>
      <c r="D1246" s="62" t="n">
        <v>45</v>
      </c>
      <c r="E1246" s="62" t="n">
        <v>348.61</v>
      </c>
      <c r="F1246" s="62" t="s">
        <v>3</v>
      </c>
      <c r="G1246" s="29" t="s">
        <v>29</v>
      </c>
      <c r="H1246" s="29" t="s">
        <v>36</v>
      </c>
    </row>
    <row r="1247" customFormat="false" ht="14.25" hidden="false" customHeight="false" outlineLevel="0" collapsed="false">
      <c r="A1247" s="1" t="n">
        <v>2250</v>
      </c>
      <c r="B1247" s="30" t="n">
        <v>43209</v>
      </c>
      <c r="C1247" s="29" t="s">
        <v>39</v>
      </c>
      <c r="D1247" s="62" t="n">
        <v>23</v>
      </c>
      <c r="E1247" s="62" t="n">
        <v>524.48</v>
      </c>
      <c r="F1247" s="62" t="s">
        <v>4</v>
      </c>
      <c r="G1247" s="29" t="s">
        <v>24</v>
      </c>
      <c r="H1247" s="29" t="s">
        <v>26</v>
      </c>
    </row>
    <row r="1248" customFormat="false" ht="14.25" hidden="false" customHeight="false" outlineLevel="0" collapsed="false">
      <c r="A1248" s="1" t="n">
        <v>2251</v>
      </c>
      <c r="B1248" s="30" t="n">
        <v>43209</v>
      </c>
      <c r="C1248" s="29" t="s">
        <v>39</v>
      </c>
      <c r="D1248" s="62" t="n">
        <v>42</v>
      </c>
      <c r="E1248" s="62" t="n">
        <v>220.63</v>
      </c>
      <c r="F1248" s="62" t="s">
        <v>4</v>
      </c>
      <c r="G1248" s="29" t="s">
        <v>29</v>
      </c>
      <c r="H1248" s="29" t="s">
        <v>35</v>
      </c>
    </row>
    <row r="1249" customFormat="false" ht="14.25" hidden="false" customHeight="false" outlineLevel="0" collapsed="false">
      <c r="A1249" s="1" t="n">
        <v>2252</v>
      </c>
      <c r="B1249" s="30" t="n">
        <v>43461</v>
      </c>
      <c r="C1249" s="29" t="s">
        <v>28</v>
      </c>
      <c r="D1249" s="62" t="n">
        <v>32</v>
      </c>
      <c r="E1249" s="62" t="n">
        <v>1048.67</v>
      </c>
      <c r="F1249" s="62" t="s">
        <v>4</v>
      </c>
      <c r="G1249" s="29" t="s">
        <v>29</v>
      </c>
      <c r="H1249" s="29" t="s">
        <v>36</v>
      </c>
    </row>
    <row r="1250" customFormat="false" ht="14.25" hidden="false" customHeight="false" outlineLevel="0" collapsed="false">
      <c r="A1250" s="1" t="n">
        <v>2253</v>
      </c>
      <c r="B1250" s="30" t="n">
        <v>43154</v>
      </c>
      <c r="C1250" s="29" t="s">
        <v>21</v>
      </c>
      <c r="D1250" s="62" t="n">
        <v>27</v>
      </c>
      <c r="E1250" s="62" t="n">
        <v>326.4</v>
      </c>
      <c r="F1250" s="62" t="s">
        <v>5</v>
      </c>
      <c r="G1250" s="29" t="s">
        <v>29</v>
      </c>
      <c r="H1250" s="29" t="s">
        <v>32</v>
      </c>
    </row>
    <row r="1251" customFormat="false" ht="14.25" hidden="false" customHeight="false" outlineLevel="0" collapsed="false">
      <c r="A1251" s="1" t="n">
        <v>2254</v>
      </c>
      <c r="B1251" s="30" t="n">
        <v>43392</v>
      </c>
      <c r="C1251" s="29" t="s">
        <v>21</v>
      </c>
      <c r="D1251" s="62" t="n">
        <v>4</v>
      </c>
      <c r="E1251" s="62" t="n">
        <v>1215.13</v>
      </c>
      <c r="F1251" s="62" t="s">
        <v>6</v>
      </c>
      <c r="G1251" s="29" t="s">
        <v>22</v>
      </c>
      <c r="H1251" s="29" t="s">
        <v>27</v>
      </c>
    </row>
    <row r="1252" customFormat="false" ht="14.25" hidden="false" customHeight="false" outlineLevel="0" collapsed="false">
      <c r="A1252" s="1" t="n">
        <v>2255</v>
      </c>
      <c r="B1252" s="30" t="n">
        <v>43392</v>
      </c>
      <c r="C1252" s="29" t="s">
        <v>21</v>
      </c>
      <c r="D1252" s="62" t="n">
        <v>33</v>
      </c>
      <c r="E1252" s="62" t="n">
        <v>5514.79</v>
      </c>
      <c r="F1252" s="62" t="s">
        <v>6</v>
      </c>
      <c r="G1252" s="29" t="s">
        <v>24</v>
      </c>
      <c r="H1252" s="29" t="s">
        <v>25</v>
      </c>
    </row>
    <row r="1253" customFormat="false" ht="14.25" hidden="false" customHeight="false" outlineLevel="0" collapsed="false">
      <c r="A1253" s="1" t="n">
        <v>2256</v>
      </c>
      <c r="B1253" s="30" t="n">
        <v>43392</v>
      </c>
      <c r="C1253" s="29" t="s">
        <v>21</v>
      </c>
      <c r="D1253" s="62" t="n">
        <v>21</v>
      </c>
      <c r="E1253" s="62" t="n">
        <v>47.17</v>
      </c>
      <c r="F1253" s="62" t="s">
        <v>6</v>
      </c>
      <c r="G1253" s="29" t="s">
        <v>29</v>
      </c>
      <c r="H1253" s="29" t="s">
        <v>33</v>
      </c>
    </row>
    <row r="1254" customFormat="false" ht="14.25" hidden="false" customHeight="false" outlineLevel="0" collapsed="false">
      <c r="A1254" s="1" t="n">
        <v>2257</v>
      </c>
      <c r="B1254" s="30" t="n">
        <v>43392</v>
      </c>
      <c r="C1254" s="29" t="s">
        <v>21</v>
      </c>
      <c r="D1254" s="62" t="n">
        <v>24</v>
      </c>
      <c r="E1254" s="62" t="n">
        <v>174.8</v>
      </c>
      <c r="F1254" s="62" t="s">
        <v>6</v>
      </c>
      <c r="G1254" s="29" t="s">
        <v>29</v>
      </c>
      <c r="H1254" s="29" t="s">
        <v>36</v>
      </c>
    </row>
    <row r="1255" customFormat="false" ht="14.25" hidden="false" customHeight="false" outlineLevel="0" collapsed="false">
      <c r="A1255" s="1" t="n">
        <v>2258</v>
      </c>
      <c r="B1255" s="30" t="n">
        <v>43427</v>
      </c>
      <c r="C1255" s="29" t="s">
        <v>28</v>
      </c>
      <c r="D1255" s="62" t="n">
        <v>14</v>
      </c>
      <c r="E1255" s="62" t="n">
        <v>467.35</v>
      </c>
      <c r="F1255" s="62" t="s">
        <v>4</v>
      </c>
      <c r="G1255" s="29" t="s">
        <v>24</v>
      </c>
      <c r="H1255" s="29" t="s">
        <v>26</v>
      </c>
    </row>
    <row r="1256" customFormat="false" ht="14.25" hidden="false" customHeight="false" outlineLevel="0" collapsed="false">
      <c r="A1256" s="1" t="n">
        <v>2259</v>
      </c>
      <c r="B1256" s="30" t="n">
        <v>43194</v>
      </c>
      <c r="C1256" s="29" t="s">
        <v>28</v>
      </c>
      <c r="D1256" s="62" t="n">
        <v>12</v>
      </c>
      <c r="E1256" s="62" t="n">
        <v>202.43</v>
      </c>
      <c r="F1256" s="62" t="s">
        <v>5</v>
      </c>
      <c r="G1256" s="29" t="s">
        <v>29</v>
      </c>
      <c r="H1256" s="29" t="s">
        <v>38</v>
      </c>
    </row>
    <row r="1257" customFormat="false" ht="14.25" hidden="false" customHeight="false" outlineLevel="0" collapsed="false">
      <c r="A1257" s="1" t="n">
        <v>2260</v>
      </c>
      <c r="B1257" s="30" t="n">
        <v>43207</v>
      </c>
      <c r="C1257" s="29" t="s">
        <v>28</v>
      </c>
      <c r="D1257" s="62" t="n">
        <v>7</v>
      </c>
      <c r="E1257" s="62" t="n">
        <v>148.63</v>
      </c>
      <c r="F1257" s="62" t="s">
        <v>6</v>
      </c>
      <c r="G1257" s="29" t="s">
        <v>24</v>
      </c>
      <c r="H1257" s="29" t="s">
        <v>26</v>
      </c>
    </row>
    <row r="1258" customFormat="false" ht="14.25" hidden="false" customHeight="false" outlineLevel="0" collapsed="false">
      <c r="A1258" s="1" t="n">
        <v>2261</v>
      </c>
      <c r="B1258" s="30" t="n">
        <v>43440</v>
      </c>
      <c r="C1258" s="29" t="s">
        <v>39</v>
      </c>
      <c r="D1258" s="62" t="n">
        <v>45</v>
      </c>
      <c r="E1258" s="62" t="n">
        <v>365.29</v>
      </c>
      <c r="F1258" s="62" t="s">
        <v>6</v>
      </c>
      <c r="G1258" s="29" t="s">
        <v>29</v>
      </c>
      <c r="H1258" s="29" t="s">
        <v>34</v>
      </c>
    </row>
    <row r="1259" customFormat="false" ht="14.25" hidden="false" customHeight="false" outlineLevel="0" collapsed="false">
      <c r="A1259" s="1" t="n">
        <v>2262</v>
      </c>
      <c r="B1259" s="30" t="n">
        <v>43440</v>
      </c>
      <c r="C1259" s="29" t="s">
        <v>39</v>
      </c>
      <c r="D1259" s="62" t="n">
        <v>41</v>
      </c>
      <c r="E1259" s="62" t="n">
        <v>836.79</v>
      </c>
      <c r="F1259" s="62" t="s">
        <v>6</v>
      </c>
      <c r="G1259" s="29" t="s">
        <v>22</v>
      </c>
      <c r="H1259" s="29" t="s">
        <v>23</v>
      </c>
    </row>
    <row r="1260" customFormat="false" ht="14.25" hidden="false" customHeight="false" outlineLevel="0" collapsed="false">
      <c r="A1260" s="1" t="n">
        <v>2263</v>
      </c>
      <c r="B1260" s="30" t="n">
        <v>43193</v>
      </c>
      <c r="C1260" s="29" t="s">
        <v>37</v>
      </c>
      <c r="D1260" s="62" t="n">
        <v>38</v>
      </c>
      <c r="E1260" s="62" t="n">
        <v>4088.9</v>
      </c>
      <c r="F1260" s="62" t="s">
        <v>5</v>
      </c>
      <c r="G1260" s="29" t="s">
        <v>24</v>
      </c>
      <c r="H1260" s="29" t="s">
        <v>25</v>
      </c>
    </row>
    <row r="1261" customFormat="false" ht="14.25" hidden="false" customHeight="false" outlineLevel="0" collapsed="false">
      <c r="A1261" s="1" t="n">
        <v>2264</v>
      </c>
      <c r="B1261" s="30" t="n">
        <v>43193</v>
      </c>
      <c r="C1261" s="29" t="s">
        <v>37</v>
      </c>
      <c r="D1261" s="62" t="n">
        <v>24</v>
      </c>
      <c r="E1261" s="62" t="n">
        <v>132.41</v>
      </c>
      <c r="F1261" s="62" t="s">
        <v>5</v>
      </c>
      <c r="G1261" s="29" t="s">
        <v>29</v>
      </c>
      <c r="H1261" s="29" t="s">
        <v>35</v>
      </c>
    </row>
    <row r="1262" customFormat="false" ht="14.25" hidden="false" customHeight="false" outlineLevel="0" collapsed="false">
      <c r="A1262" s="1" t="n">
        <v>2265</v>
      </c>
      <c r="B1262" s="30" t="n">
        <v>43193</v>
      </c>
      <c r="C1262" s="29" t="s">
        <v>37</v>
      </c>
      <c r="D1262" s="62" t="n">
        <v>46</v>
      </c>
      <c r="E1262" s="62" t="n">
        <v>3781.35</v>
      </c>
      <c r="F1262" s="62" t="s">
        <v>5</v>
      </c>
      <c r="G1262" s="29" t="s">
        <v>29</v>
      </c>
      <c r="H1262" s="29" t="s">
        <v>38</v>
      </c>
    </row>
    <row r="1263" customFormat="false" ht="14.25" hidden="false" customHeight="false" outlineLevel="0" collapsed="false">
      <c r="A1263" s="1" t="n">
        <v>2266</v>
      </c>
      <c r="B1263" s="30" t="n">
        <v>43418</v>
      </c>
      <c r="C1263" s="29" t="s">
        <v>31</v>
      </c>
      <c r="D1263" s="62" t="n">
        <v>39</v>
      </c>
      <c r="E1263" s="62" t="n">
        <v>76.01</v>
      </c>
      <c r="F1263" s="62" t="s">
        <v>4</v>
      </c>
      <c r="G1263" s="29" t="s">
        <v>29</v>
      </c>
      <c r="H1263" s="29" t="s">
        <v>34</v>
      </c>
    </row>
    <row r="1264" customFormat="false" ht="14.25" hidden="false" customHeight="false" outlineLevel="0" collapsed="false">
      <c r="A1264" s="1" t="n">
        <v>2267</v>
      </c>
      <c r="B1264" s="30" t="n">
        <v>43260</v>
      </c>
      <c r="C1264" s="29" t="s">
        <v>21</v>
      </c>
      <c r="D1264" s="62" t="n">
        <v>9</v>
      </c>
      <c r="E1264" s="62" t="n">
        <v>1311.15</v>
      </c>
      <c r="F1264" s="62" t="s">
        <v>3</v>
      </c>
      <c r="G1264" s="29" t="s">
        <v>22</v>
      </c>
      <c r="H1264" s="29" t="s">
        <v>40</v>
      </c>
    </row>
    <row r="1265" customFormat="false" ht="14.25" hidden="false" customHeight="false" outlineLevel="0" collapsed="false">
      <c r="A1265" s="1" t="n">
        <v>2268</v>
      </c>
      <c r="B1265" s="30" t="n">
        <v>43260</v>
      </c>
      <c r="C1265" s="29" t="s">
        <v>21</v>
      </c>
      <c r="D1265" s="62" t="n">
        <v>10</v>
      </c>
      <c r="E1265" s="62" t="n">
        <v>518.11</v>
      </c>
      <c r="F1265" s="62" t="s">
        <v>3</v>
      </c>
      <c r="G1265" s="29" t="s">
        <v>24</v>
      </c>
      <c r="H1265" s="29" t="s">
        <v>25</v>
      </c>
    </row>
    <row r="1266" customFormat="false" ht="14.25" hidden="false" customHeight="false" outlineLevel="0" collapsed="false">
      <c r="A1266" s="1" t="n">
        <v>2269</v>
      </c>
      <c r="B1266" s="30" t="n">
        <v>43260</v>
      </c>
      <c r="C1266" s="29" t="s">
        <v>21</v>
      </c>
      <c r="D1266" s="62" t="n">
        <v>27</v>
      </c>
      <c r="E1266" s="62" t="n">
        <v>1283.54</v>
      </c>
      <c r="F1266" s="62" t="s">
        <v>3</v>
      </c>
      <c r="G1266" s="29" t="s">
        <v>29</v>
      </c>
      <c r="H1266" s="29" t="s">
        <v>38</v>
      </c>
    </row>
    <row r="1267" customFormat="false" ht="14.25" hidden="false" customHeight="false" outlineLevel="0" collapsed="false">
      <c r="A1267" s="1" t="n">
        <v>2270</v>
      </c>
      <c r="B1267" s="30" t="n">
        <v>43180</v>
      </c>
      <c r="C1267" s="29" t="s">
        <v>21</v>
      </c>
      <c r="D1267" s="62" t="n">
        <v>7</v>
      </c>
      <c r="E1267" s="62" t="n">
        <v>32.21</v>
      </c>
      <c r="F1267" s="62" t="s">
        <v>3</v>
      </c>
      <c r="G1267" s="29" t="s">
        <v>29</v>
      </c>
      <c r="H1267" s="29" t="s">
        <v>34</v>
      </c>
    </row>
    <row r="1268" customFormat="false" ht="14.25" hidden="false" customHeight="false" outlineLevel="0" collapsed="false">
      <c r="A1268" s="1" t="n">
        <v>2271</v>
      </c>
      <c r="B1268" s="30" t="n">
        <v>43219</v>
      </c>
      <c r="C1268" s="29" t="s">
        <v>31</v>
      </c>
      <c r="D1268" s="62" t="n">
        <v>21</v>
      </c>
      <c r="E1268" s="62" t="n">
        <v>2740.99</v>
      </c>
      <c r="F1268" s="62" t="s">
        <v>3</v>
      </c>
      <c r="G1268" s="29" t="s">
        <v>24</v>
      </c>
      <c r="H1268" s="29" t="s">
        <v>25</v>
      </c>
    </row>
    <row r="1269" customFormat="false" ht="14.25" hidden="false" customHeight="false" outlineLevel="0" collapsed="false">
      <c r="A1269" s="1" t="n">
        <v>2272</v>
      </c>
      <c r="B1269" s="30" t="n">
        <v>43212</v>
      </c>
      <c r="C1269" s="29" t="s">
        <v>37</v>
      </c>
      <c r="D1269" s="62" t="n">
        <v>9</v>
      </c>
      <c r="E1269" s="62" t="n">
        <v>1285.62</v>
      </c>
      <c r="F1269" s="62" t="s">
        <v>3</v>
      </c>
      <c r="G1269" s="29" t="s">
        <v>29</v>
      </c>
      <c r="H1269" s="29" t="s">
        <v>38</v>
      </c>
    </row>
    <row r="1270" customFormat="false" ht="14.25" hidden="false" customHeight="false" outlineLevel="0" collapsed="false">
      <c r="A1270" s="1" t="n">
        <v>2273</v>
      </c>
      <c r="B1270" s="30" t="n">
        <v>43192</v>
      </c>
      <c r="C1270" s="29" t="s">
        <v>21</v>
      </c>
      <c r="D1270" s="62" t="n">
        <v>50</v>
      </c>
      <c r="E1270" s="62" t="n">
        <v>180.97</v>
      </c>
      <c r="F1270" s="62" t="s">
        <v>4</v>
      </c>
      <c r="G1270" s="29" t="s">
        <v>29</v>
      </c>
      <c r="H1270" s="29" t="s">
        <v>36</v>
      </c>
    </row>
    <row r="1271" customFormat="false" ht="14.25" hidden="false" customHeight="false" outlineLevel="0" collapsed="false">
      <c r="A1271" s="1" t="n">
        <v>2274</v>
      </c>
      <c r="B1271" s="30" t="n">
        <v>43240</v>
      </c>
      <c r="C1271" s="29" t="s">
        <v>39</v>
      </c>
      <c r="D1271" s="62" t="n">
        <v>49</v>
      </c>
      <c r="E1271" s="62" t="n">
        <v>152.05</v>
      </c>
      <c r="F1271" s="62" t="s">
        <v>5</v>
      </c>
      <c r="G1271" s="29" t="s">
        <v>29</v>
      </c>
      <c r="H1271" s="29" t="s">
        <v>35</v>
      </c>
    </row>
    <row r="1272" customFormat="false" ht="14.25" hidden="false" customHeight="false" outlineLevel="0" collapsed="false">
      <c r="A1272" s="1" t="n">
        <v>2275</v>
      </c>
      <c r="B1272" s="30" t="n">
        <v>43250</v>
      </c>
      <c r="C1272" s="29" t="s">
        <v>31</v>
      </c>
      <c r="D1272" s="62" t="n">
        <v>16</v>
      </c>
      <c r="E1272" s="62" t="n">
        <v>665.47</v>
      </c>
      <c r="F1272" s="62" t="s">
        <v>5</v>
      </c>
      <c r="G1272" s="29" t="s">
        <v>24</v>
      </c>
      <c r="H1272" s="29" t="s">
        <v>26</v>
      </c>
    </row>
    <row r="1273" customFormat="false" ht="14.25" hidden="false" customHeight="false" outlineLevel="0" collapsed="false">
      <c r="A1273" s="1" t="n">
        <v>2276</v>
      </c>
      <c r="B1273" s="30" t="n">
        <v>43250</v>
      </c>
      <c r="C1273" s="29" t="s">
        <v>31</v>
      </c>
      <c r="D1273" s="62" t="n">
        <v>17</v>
      </c>
      <c r="E1273" s="62" t="n">
        <v>129.57</v>
      </c>
      <c r="F1273" s="62" t="s">
        <v>5</v>
      </c>
      <c r="G1273" s="29" t="s">
        <v>29</v>
      </c>
      <c r="H1273" s="29" t="s">
        <v>36</v>
      </c>
    </row>
    <row r="1274" customFormat="false" ht="14.25" hidden="false" customHeight="false" outlineLevel="0" collapsed="false">
      <c r="A1274" s="1" t="n">
        <v>2277</v>
      </c>
      <c r="B1274" s="30" t="n">
        <v>43328</v>
      </c>
      <c r="C1274" s="29" t="s">
        <v>31</v>
      </c>
      <c r="D1274" s="62" t="n">
        <v>22</v>
      </c>
      <c r="E1274" s="62" t="n">
        <v>145.71</v>
      </c>
      <c r="F1274" s="62" t="s">
        <v>4</v>
      </c>
      <c r="G1274" s="29" t="s">
        <v>29</v>
      </c>
      <c r="H1274" s="29" t="s">
        <v>36</v>
      </c>
    </row>
    <row r="1275" customFormat="false" ht="14.25" hidden="false" customHeight="false" outlineLevel="0" collapsed="false">
      <c r="A1275" s="1" t="n">
        <v>2278</v>
      </c>
      <c r="B1275" s="30" t="n">
        <v>43328</v>
      </c>
      <c r="C1275" s="29" t="s">
        <v>31</v>
      </c>
      <c r="D1275" s="62" t="n">
        <v>37</v>
      </c>
      <c r="E1275" s="62" t="n">
        <v>119.17</v>
      </c>
      <c r="F1275" s="62" t="s">
        <v>4</v>
      </c>
      <c r="G1275" s="29" t="s">
        <v>29</v>
      </c>
      <c r="H1275" s="29" t="s">
        <v>35</v>
      </c>
    </row>
    <row r="1276" customFormat="false" ht="14.25" hidden="false" customHeight="false" outlineLevel="0" collapsed="false">
      <c r="A1276" s="1" t="n">
        <v>2279</v>
      </c>
      <c r="B1276" s="30" t="n">
        <v>43328</v>
      </c>
      <c r="C1276" s="29" t="s">
        <v>31</v>
      </c>
      <c r="D1276" s="62" t="n">
        <v>15</v>
      </c>
      <c r="E1276" s="62" t="n">
        <v>112.86</v>
      </c>
      <c r="F1276" s="62" t="s">
        <v>4</v>
      </c>
      <c r="G1276" s="29" t="s">
        <v>29</v>
      </c>
      <c r="H1276" s="29" t="s">
        <v>36</v>
      </c>
    </row>
    <row r="1277" customFormat="false" ht="14.25" hidden="false" customHeight="false" outlineLevel="0" collapsed="false">
      <c r="A1277" s="1" t="n">
        <v>2280</v>
      </c>
      <c r="B1277" s="30" t="n">
        <v>43453</v>
      </c>
      <c r="C1277" s="29" t="s">
        <v>31</v>
      </c>
      <c r="D1277" s="62" t="n">
        <v>36</v>
      </c>
      <c r="E1277" s="62" t="n">
        <v>2723.13</v>
      </c>
      <c r="F1277" s="62" t="s">
        <v>6</v>
      </c>
      <c r="G1277" s="29" t="s">
        <v>24</v>
      </c>
      <c r="H1277" s="29" t="s">
        <v>25</v>
      </c>
    </row>
    <row r="1278" customFormat="false" ht="14.25" hidden="false" customHeight="false" outlineLevel="0" collapsed="false">
      <c r="A1278" s="1" t="n">
        <v>2281</v>
      </c>
      <c r="B1278" s="30" t="n">
        <v>43453</v>
      </c>
      <c r="C1278" s="29" t="s">
        <v>31</v>
      </c>
      <c r="D1278" s="62" t="n">
        <v>10</v>
      </c>
      <c r="E1278" s="62" t="n">
        <v>74.92</v>
      </c>
      <c r="F1278" s="62" t="s">
        <v>6</v>
      </c>
      <c r="G1278" s="29" t="s">
        <v>29</v>
      </c>
      <c r="H1278" s="29" t="s">
        <v>35</v>
      </c>
    </row>
    <row r="1279" customFormat="false" ht="14.25" hidden="false" customHeight="false" outlineLevel="0" collapsed="false">
      <c r="A1279" s="1" t="n">
        <v>2282</v>
      </c>
      <c r="B1279" s="30" t="n">
        <v>43206</v>
      </c>
      <c r="C1279" s="29" t="s">
        <v>31</v>
      </c>
      <c r="D1279" s="62" t="n">
        <v>13</v>
      </c>
      <c r="E1279" s="62" t="n">
        <v>687.65</v>
      </c>
      <c r="F1279" s="62" t="s">
        <v>5</v>
      </c>
      <c r="G1279" s="29" t="s">
        <v>29</v>
      </c>
      <c r="H1279" s="29" t="s">
        <v>41</v>
      </c>
    </row>
    <row r="1280" customFormat="false" ht="14.25" hidden="false" customHeight="false" outlineLevel="0" collapsed="false">
      <c r="A1280" s="1" t="n">
        <v>2283</v>
      </c>
      <c r="B1280" s="30" t="n">
        <v>43206</v>
      </c>
      <c r="C1280" s="29" t="s">
        <v>31</v>
      </c>
      <c r="D1280" s="62" t="n">
        <v>47</v>
      </c>
      <c r="E1280" s="62" t="n">
        <v>2119</v>
      </c>
      <c r="F1280" s="62" t="s">
        <v>5</v>
      </c>
      <c r="G1280" s="29" t="s">
        <v>29</v>
      </c>
      <c r="H1280" s="29" t="s">
        <v>34</v>
      </c>
    </row>
    <row r="1281" customFormat="false" ht="14.25" hidden="false" customHeight="false" outlineLevel="0" collapsed="false">
      <c r="A1281" s="1" t="n">
        <v>2284</v>
      </c>
      <c r="B1281" s="30" t="n">
        <v>43438</v>
      </c>
      <c r="C1281" s="29" t="s">
        <v>39</v>
      </c>
      <c r="D1281" s="62" t="n">
        <v>26</v>
      </c>
      <c r="E1281" s="62" t="n">
        <v>126.72</v>
      </c>
      <c r="F1281" s="62" t="s">
        <v>5</v>
      </c>
      <c r="G1281" s="29" t="s">
        <v>29</v>
      </c>
      <c r="H1281" s="29" t="s">
        <v>36</v>
      </c>
    </row>
    <row r="1282" customFormat="false" ht="14.25" hidden="false" customHeight="false" outlineLevel="0" collapsed="false">
      <c r="A1282" s="1" t="n">
        <v>2285</v>
      </c>
      <c r="B1282" s="30" t="n">
        <v>43341</v>
      </c>
      <c r="C1282" s="29" t="s">
        <v>31</v>
      </c>
      <c r="D1282" s="62" t="n">
        <v>19</v>
      </c>
      <c r="E1282" s="62" t="n">
        <v>181.26</v>
      </c>
      <c r="F1282" s="62" t="s">
        <v>5</v>
      </c>
      <c r="G1282" s="29" t="s">
        <v>22</v>
      </c>
      <c r="H1282" s="29" t="s">
        <v>23</v>
      </c>
    </row>
    <row r="1283" customFormat="false" ht="14.25" hidden="false" customHeight="false" outlineLevel="0" collapsed="false">
      <c r="A1283" s="1" t="n">
        <v>2286</v>
      </c>
      <c r="B1283" s="30" t="n">
        <v>43401</v>
      </c>
      <c r="C1283" s="29" t="s">
        <v>39</v>
      </c>
      <c r="D1283" s="62" t="n">
        <v>23</v>
      </c>
      <c r="E1283" s="62" t="n">
        <v>714.76</v>
      </c>
      <c r="F1283" s="62" t="s">
        <v>6</v>
      </c>
      <c r="G1283" s="29" t="s">
        <v>24</v>
      </c>
      <c r="H1283" s="29" t="s">
        <v>25</v>
      </c>
    </row>
    <row r="1284" customFormat="false" ht="14.25" hidden="false" customHeight="false" outlineLevel="0" collapsed="false">
      <c r="A1284" s="1" t="n">
        <v>2287</v>
      </c>
      <c r="B1284" s="30" t="n">
        <v>43264</v>
      </c>
      <c r="C1284" s="29" t="s">
        <v>39</v>
      </c>
      <c r="D1284" s="62" t="n">
        <v>3</v>
      </c>
      <c r="E1284" s="62" t="n">
        <v>2378.19</v>
      </c>
      <c r="F1284" s="62" t="s">
        <v>5</v>
      </c>
      <c r="G1284" s="29" t="s">
        <v>24</v>
      </c>
      <c r="H1284" s="29" t="s">
        <v>43</v>
      </c>
    </row>
    <row r="1285" customFormat="false" ht="14.25" hidden="false" customHeight="false" outlineLevel="0" collapsed="false">
      <c r="A1285" s="1" t="n">
        <v>2288</v>
      </c>
      <c r="B1285" s="30" t="n">
        <v>43366</v>
      </c>
      <c r="C1285" s="29" t="s">
        <v>28</v>
      </c>
      <c r="D1285" s="62" t="n">
        <v>7</v>
      </c>
      <c r="E1285" s="62" t="n">
        <v>532</v>
      </c>
      <c r="F1285" s="62" t="s">
        <v>3</v>
      </c>
      <c r="G1285" s="29" t="s">
        <v>29</v>
      </c>
      <c r="H1285" s="29" t="s">
        <v>41</v>
      </c>
    </row>
    <row r="1286" customFormat="false" ht="14.25" hidden="false" customHeight="false" outlineLevel="0" collapsed="false">
      <c r="A1286" s="1" t="n">
        <v>2289</v>
      </c>
      <c r="B1286" s="30" t="n">
        <v>43133</v>
      </c>
      <c r="C1286" s="29" t="s">
        <v>37</v>
      </c>
      <c r="D1286" s="62" t="n">
        <v>50</v>
      </c>
      <c r="E1286" s="62" t="n">
        <v>318.99</v>
      </c>
      <c r="F1286" s="62" t="s">
        <v>5</v>
      </c>
      <c r="G1286" s="29" t="s">
        <v>29</v>
      </c>
      <c r="H1286" s="29" t="s">
        <v>35</v>
      </c>
    </row>
    <row r="1287" customFormat="false" ht="14.25" hidden="false" customHeight="false" outlineLevel="0" collapsed="false">
      <c r="A1287" s="1" t="n">
        <v>2290</v>
      </c>
      <c r="B1287" s="30" t="n">
        <v>43268</v>
      </c>
      <c r="C1287" s="29" t="s">
        <v>37</v>
      </c>
      <c r="D1287" s="62" t="n">
        <v>10</v>
      </c>
      <c r="E1287" s="62" t="n">
        <v>252.7</v>
      </c>
      <c r="F1287" s="62" t="s">
        <v>3</v>
      </c>
      <c r="G1287" s="29" t="s">
        <v>22</v>
      </c>
      <c r="H1287" s="29" t="s">
        <v>23</v>
      </c>
    </row>
    <row r="1288" customFormat="false" ht="14.25" hidden="false" customHeight="false" outlineLevel="0" collapsed="false">
      <c r="A1288" s="1" t="n">
        <v>2291</v>
      </c>
      <c r="B1288" s="30" t="n">
        <v>43316</v>
      </c>
      <c r="C1288" s="29" t="s">
        <v>39</v>
      </c>
      <c r="D1288" s="62" t="n">
        <v>22</v>
      </c>
      <c r="E1288" s="62" t="n">
        <v>84.57</v>
      </c>
      <c r="F1288" s="62" t="s">
        <v>3</v>
      </c>
      <c r="G1288" s="29" t="s">
        <v>29</v>
      </c>
      <c r="H1288" s="29" t="s">
        <v>30</v>
      </c>
    </row>
    <row r="1289" customFormat="false" ht="14.25" hidden="false" customHeight="false" outlineLevel="0" collapsed="false">
      <c r="A1289" s="1" t="n">
        <v>2292</v>
      </c>
      <c r="B1289" s="30" t="n">
        <v>43255</v>
      </c>
      <c r="C1289" s="29" t="s">
        <v>28</v>
      </c>
      <c r="D1289" s="62" t="n">
        <v>44</v>
      </c>
      <c r="E1289" s="62" t="n">
        <v>7342.59</v>
      </c>
      <c r="F1289" s="62" t="s">
        <v>5</v>
      </c>
      <c r="G1289" s="29" t="s">
        <v>24</v>
      </c>
      <c r="H1289" s="29" t="s">
        <v>25</v>
      </c>
    </row>
    <row r="1290" customFormat="false" ht="14.25" hidden="false" customHeight="false" outlineLevel="0" collapsed="false">
      <c r="A1290" s="1" t="n">
        <v>2293</v>
      </c>
      <c r="B1290" s="30" t="n">
        <v>43255</v>
      </c>
      <c r="C1290" s="29" t="s">
        <v>28</v>
      </c>
      <c r="D1290" s="62" t="n">
        <v>9</v>
      </c>
      <c r="E1290" s="62" t="n">
        <v>1491.88</v>
      </c>
      <c r="F1290" s="62" t="s">
        <v>5</v>
      </c>
      <c r="G1290" s="29" t="s">
        <v>29</v>
      </c>
      <c r="H1290" s="29" t="s">
        <v>38</v>
      </c>
    </row>
    <row r="1291" customFormat="false" ht="14.25" hidden="false" customHeight="false" outlineLevel="0" collapsed="false">
      <c r="A1291" s="1" t="n">
        <v>2294</v>
      </c>
      <c r="B1291" s="30" t="n">
        <v>43282</v>
      </c>
      <c r="C1291" s="29" t="s">
        <v>28</v>
      </c>
      <c r="D1291" s="62" t="n">
        <v>39</v>
      </c>
      <c r="E1291" s="62" t="n">
        <v>79.18</v>
      </c>
      <c r="F1291" s="62" t="s">
        <v>6</v>
      </c>
      <c r="G1291" s="29" t="s">
        <v>29</v>
      </c>
      <c r="H1291" s="29" t="s">
        <v>33</v>
      </c>
    </row>
    <row r="1292" customFormat="false" ht="14.25" hidden="false" customHeight="false" outlineLevel="0" collapsed="false">
      <c r="A1292" s="1" t="n">
        <v>2295</v>
      </c>
      <c r="B1292" s="30" t="n">
        <v>43282</v>
      </c>
      <c r="C1292" s="29" t="s">
        <v>28</v>
      </c>
      <c r="D1292" s="62" t="n">
        <v>24</v>
      </c>
      <c r="E1292" s="62" t="n">
        <v>116.88</v>
      </c>
      <c r="F1292" s="62" t="s">
        <v>6</v>
      </c>
      <c r="G1292" s="29" t="s">
        <v>29</v>
      </c>
      <c r="H1292" s="29" t="s">
        <v>34</v>
      </c>
    </row>
    <row r="1293" customFormat="false" ht="14.25" hidden="false" customHeight="false" outlineLevel="0" collapsed="false">
      <c r="A1293" s="1" t="n">
        <v>2296</v>
      </c>
      <c r="B1293" s="30" t="n">
        <v>43282</v>
      </c>
      <c r="C1293" s="29" t="s">
        <v>28</v>
      </c>
      <c r="D1293" s="62" t="n">
        <v>30</v>
      </c>
      <c r="E1293" s="62" t="n">
        <v>308.64</v>
      </c>
      <c r="F1293" s="62" t="s">
        <v>6</v>
      </c>
      <c r="G1293" s="29" t="s">
        <v>29</v>
      </c>
      <c r="H1293" s="29" t="s">
        <v>32</v>
      </c>
    </row>
    <row r="1294" customFormat="false" ht="14.25" hidden="false" customHeight="false" outlineLevel="0" collapsed="false">
      <c r="A1294" s="1" t="n">
        <v>2297</v>
      </c>
      <c r="B1294" s="30" t="n">
        <v>43217</v>
      </c>
      <c r="C1294" s="29" t="s">
        <v>28</v>
      </c>
      <c r="D1294" s="62" t="n">
        <v>28</v>
      </c>
      <c r="E1294" s="62" t="n">
        <v>3833.59</v>
      </c>
      <c r="F1294" s="62" t="s">
        <v>4</v>
      </c>
      <c r="G1294" s="29" t="s">
        <v>22</v>
      </c>
      <c r="H1294" s="29" t="s">
        <v>40</v>
      </c>
    </row>
    <row r="1295" customFormat="false" ht="14.25" hidden="false" customHeight="false" outlineLevel="0" collapsed="false">
      <c r="A1295" s="1" t="n">
        <v>2298</v>
      </c>
      <c r="B1295" s="30" t="n">
        <v>43398</v>
      </c>
      <c r="C1295" s="29" t="s">
        <v>31</v>
      </c>
      <c r="D1295" s="62" t="n">
        <v>23</v>
      </c>
      <c r="E1295" s="62" t="n">
        <v>360.44</v>
      </c>
      <c r="F1295" s="62" t="s">
        <v>4</v>
      </c>
      <c r="G1295" s="29" t="s">
        <v>22</v>
      </c>
      <c r="H1295" s="29" t="s">
        <v>23</v>
      </c>
    </row>
    <row r="1296" customFormat="false" ht="14.25" hidden="false" customHeight="false" outlineLevel="0" collapsed="false">
      <c r="A1296" s="1" t="n">
        <v>2299</v>
      </c>
      <c r="B1296" s="30" t="n">
        <v>43398</v>
      </c>
      <c r="C1296" s="29" t="s">
        <v>31</v>
      </c>
      <c r="D1296" s="62" t="n">
        <v>47</v>
      </c>
      <c r="E1296" s="62" t="n">
        <v>447.29</v>
      </c>
      <c r="F1296" s="62" t="s">
        <v>4</v>
      </c>
      <c r="G1296" s="29" t="s">
        <v>22</v>
      </c>
      <c r="H1296" s="29" t="s">
        <v>23</v>
      </c>
    </row>
    <row r="1297" customFormat="false" ht="14.25" hidden="false" customHeight="false" outlineLevel="0" collapsed="false">
      <c r="A1297" s="1" t="n">
        <v>2300</v>
      </c>
      <c r="B1297" s="30" t="n">
        <v>43349</v>
      </c>
      <c r="C1297" s="29" t="s">
        <v>21</v>
      </c>
      <c r="D1297" s="62" t="n">
        <v>46</v>
      </c>
      <c r="E1297" s="62" t="n">
        <v>80.89</v>
      </c>
      <c r="F1297" s="62" t="s">
        <v>6</v>
      </c>
      <c r="G1297" s="29" t="s">
        <v>29</v>
      </c>
      <c r="H1297" s="29" t="s">
        <v>34</v>
      </c>
    </row>
    <row r="1298" customFormat="false" ht="14.25" hidden="false" customHeight="false" outlineLevel="0" collapsed="false">
      <c r="A1298" s="1" t="n">
        <v>2301</v>
      </c>
      <c r="B1298" s="30" t="n">
        <v>43305</v>
      </c>
      <c r="C1298" s="29" t="s">
        <v>37</v>
      </c>
      <c r="D1298" s="62" t="n">
        <v>20</v>
      </c>
      <c r="E1298" s="62" t="n">
        <v>6424.65</v>
      </c>
      <c r="F1298" s="62" t="s">
        <v>4</v>
      </c>
      <c r="G1298" s="29" t="s">
        <v>24</v>
      </c>
      <c r="H1298" s="29" t="s">
        <v>26</v>
      </c>
    </row>
    <row r="1299" customFormat="false" ht="14.25" hidden="false" customHeight="false" outlineLevel="0" collapsed="false">
      <c r="A1299" s="1" t="n">
        <v>2302</v>
      </c>
      <c r="B1299" s="30" t="n">
        <v>43305</v>
      </c>
      <c r="C1299" s="29" t="s">
        <v>37</v>
      </c>
      <c r="D1299" s="62" t="n">
        <v>1</v>
      </c>
      <c r="E1299" s="62" t="n">
        <v>195.17</v>
      </c>
      <c r="F1299" s="62" t="s">
        <v>4</v>
      </c>
      <c r="G1299" s="29" t="s">
        <v>29</v>
      </c>
      <c r="H1299" s="29" t="s">
        <v>38</v>
      </c>
    </row>
    <row r="1300" customFormat="false" ht="14.25" hidden="false" customHeight="false" outlineLevel="0" collapsed="false">
      <c r="A1300" s="1" t="n">
        <v>2303</v>
      </c>
      <c r="B1300" s="30" t="n">
        <v>43337</v>
      </c>
      <c r="C1300" s="29" t="s">
        <v>37</v>
      </c>
      <c r="D1300" s="62" t="n">
        <v>5</v>
      </c>
      <c r="E1300" s="62" t="n">
        <v>26.65</v>
      </c>
      <c r="F1300" s="62" t="s">
        <v>5</v>
      </c>
      <c r="G1300" s="29" t="s">
        <v>29</v>
      </c>
      <c r="H1300" s="29" t="s">
        <v>30</v>
      </c>
    </row>
    <row r="1301" customFormat="false" ht="14.25" hidden="false" customHeight="false" outlineLevel="0" collapsed="false">
      <c r="A1301" s="1" t="n">
        <v>2304</v>
      </c>
      <c r="B1301" s="30" t="n">
        <v>43292</v>
      </c>
      <c r="C1301" s="29" t="s">
        <v>39</v>
      </c>
      <c r="D1301" s="62" t="n">
        <v>11</v>
      </c>
      <c r="E1301" s="62" t="n">
        <v>419.33</v>
      </c>
      <c r="F1301" s="62" t="s">
        <v>4</v>
      </c>
      <c r="G1301" s="29" t="s">
        <v>29</v>
      </c>
      <c r="H1301" s="29" t="s">
        <v>36</v>
      </c>
    </row>
    <row r="1302" customFormat="false" ht="14.25" hidden="false" customHeight="false" outlineLevel="0" collapsed="false">
      <c r="A1302" s="1" t="n">
        <v>2305</v>
      </c>
      <c r="B1302" s="30" t="n">
        <v>43292</v>
      </c>
      <c r="C1302" s="29" t="s">
        <v>39</v>
      </c>
      <c r="D1302" s="62" t="n">
        <v>26</v>
      </c>
      <c r="E1302" s="62" t="n">
        <v>1553.2</v>
      </c>
      <c r="F1302" s="62" t="s">
        <v>4</v>
      </c>
      <c r="G1302" s="29" t="s">
        <v>29</v>
      </c>
      <c r="H1302" s="29" t="s">
        <v>36</v>
      </c>
    </row>
    <row r="1303" customFormat="false" ht="14.25" hidden="false" customHeight="false" outlineLevel="0" collapsed="false">
      <c r="A1303" s="1" t="n">
        <v>2306</v>
      </c>
      <c r="B1303" s="30" t="n">
        <v>43211</v>
      </c>
      <c r="C1303" s="29" t="s">
        <v>28</v>
      </c>
      <c r="D1303" s="62" t="n">
        <v>44</v>
      </c>
      <c r="E1303" s="62" t="n">
        <v>346.89</v>
      </c>
      <c r="F1303" s="62" t="s">
        <v>4</v>
      </c>
      <c r="G1303" s="29" t="s">
        <v>29</v>
      </c>
      <c r="H1303" s="29" t="s">
        <v>34</v>
      </c>
    </row>
    <row r="1304" customFormat="false" ht="14.25" hidden="false" customHeight="false" outlineLevel="0" collapsed="false">
      <c r="A1304" s="1" t="n">
        <v>2307</v>
      </c>
      <c r="B1304" s="30" t="n">
        <v>43211</v>
      </c>
      <c r="C1304" s="29" t="s">
        <v>28</v>
      </c>
      <c r="D1304" s="62" t="n">
        <v>45</v>
      </c>
      <c r="E1304" s="62" t="n">
        <v>167.94</v>
      </c>
      <c r="F1304" s="62" t="s">
        <v>4</v>
      </c>
      <c r="G1304" s="29" t="s">
        <v>29</v>
      </c>
      <c r="H1304" s="29" t="s">
        <v>33</v>
      </c>
    </row>
    <row r="1305" customFormat="false" ht="14.25" hidden="false" customHeight="false" outlineLevel="0" collapsed="false">
      <c r="A1305" s="1" t="n">
        <v>2308</v>
      </c>
      <c r="B1305" s="30" t="n">
        <v>43136</v>
      </c>
      <c r="C1305" s="29" t="s">
        <v>21</v>
      </c>
      <c r="D1305" s="62" t="n">
        <v>11</v>
      </c>
      <c r="E1305" s="62" t="n">
        <v>70.38</v>
      </c>
      <c r="F1305" s="62" t="s">
        <v>5</v>
      </c>
      <c r="G1305" s="29" t="s">
        <v>29</v>
      </c>
      <c r="H1305" s="29" t="s">
        <v>33</v>
      </c>
    </row>
    <row r="1306" customFormat="false" ht="14.25" hidden="false" customHeight="false" outlineLevel="0" collapsed="false">
      <c r="A1306" s="1" t="n">
        <v>2309</v>
      </c>
      <c r="B1306" s="30" t="n">
        <v>43355</v>
      </c>
      <c r="C1306" s="29" t="s">
        <v>21</v>
      </c>
      <c r="D1306" s="62" t="n">
        <v>23</v>
      </c>
      <c r="E1306" s="62" t="n">
        <v>159.86</v>
      </c>
      <c r="F1306" s="62" t="s">
        <v>5</v>
      </c>
      <c r="G1306" s="29" t="s">
        <v>29</v>
      </c>
      <c r="H1306" s="29" t="s">
        <v>34</v>
      </c>
    </row>
    <row r="1307" customFormat="false" ht="14.25" hidden="false" customHeight="false" outlineLevel="0" collapsed="false">
      <c r="A1307" s="1" t="n">
        <v>2310</v>
      </c>
      <c r="B1307" s="30" t="n">
        <v>43381</v>
      </c>
      <c r="C1307" s="29" t="s">
        <v>31</v>
      </c>
      <c r="D1307" s="62" t="n">
        <v>4</v>
      </c>
      <c r="E1307" s="62" t="n">
        <v>212.63</v>
      </c>
      <c r="F1307" s="62" t="s">
        <v>3</v>
      </c>
      <c r="G1307" s="29" t="s">
        <v>22</v>
      </c>
      <c r="H1307" s="29" t="s">
        <v>23</v>
      </c>
    </row>
    <row r="1308" customFormat="false" ht="14.25" hidden="false" customHeight="false" outlineLevel="0" collapsed="false">
      <c r="A1308" s="1" t="n">
        <v>2311</v>
      </c>
      <c r="B1308" s="30" t="n">
        <v>43252</v>
      </c>
      <c r="C1308" s="29" t="s">
        <v>31</v>
      </c>
      <c r="D1308" s="62" t="n">
        <v>40</v>
      </c>
      <c r="E1308" s="62" t="n">
        <v>5181.16</v>
      </c>
      <c r="F1308" s="62" t="s">
        <v>5</v>
      </c>
      <c r="G1308" s="29" t="s">
        <v>22</v>
      </c>
      <c r="H1308" s="29" t="s">
        <v>40</v>
      </c>
    </row>
    <row r="1309" customFormat="false" ht="14.25" hidden="false" customHeight="false" outlineLevel="0" collapsed="false">
      <c r="A1309" s="1" t="n">
        <v>2312</v>
      </c>
      <c r="B1309" s="30" t="n">
        <v>43206</v>
      </c>
      <c r="C1309" s="29" t="s">
        <v>28</v>
      </c>
      <c r="D1309" s="62" t="n">
        <v>31</v>
      </c>
      <c r="E1309" s="62" t="n">
        <v>5722.35</v>
      </c>
      <c r="F1309" s="62" t="s">
        <v>4</v>
      </c>
      <c r="G1309" s="29" t="s">
        <v>24</v>
      </c>
      <c r="H1309" s="29" t="s">
        <v>25</v>
      </c>
    </row>
    <row r="1310" customFormat="false" ht="14.25" hidden="false" customHeight="false" outlineLevel="0" collapsed="false">
      <c r="A1310" s="1" t="n">
        <v>2313</v>
      </c>
      <c r="B1310" s="30" t="n">
        <v>43206</v>
      </c>
      <c r="C1310" s="29" t="s">
        <v>28</v>
      </c>
      <c r="D1310" s="62" t="n">
        <v>38</v>
      </c>
      <c r="E1310" s="62" t="n">
        <v>1649.85</v>
      </c>
      <c r="F1310" s="62" t="s">
        <v>4</v>
      </c>
      <c r="G1310" s="29" t="s">
        <v>24</v>
      </c>
      <c r="H1310" s="29" t="s">
        <v>26</v>
      </c>
    </row>
    <row r="1311" customFormat="false" ht="14.25" hidden="false" customHeight="false" outlineLevel="0" collapsed="false">
      <c r="A1311" s="1" t="n">
        <v>2314</v>
      </c>
      <c r="B1311" s="30" t="n">
        <v>43206</v>
      </c>
      <c r="C1311" s="29" t="s">
        <v>28</v>
      </c>
      <c r="D1311" s="62" t="n">
        <v>40</v>
      </c>
      <c r="E1311" s="62" t="n">
        <v>181.34</v>
      </c>
      <c r="F1311" s="62" t="s">
        <v>4</v>
      </c>
      <c r="G1311" s="29" t="s">
        <v>29</v>
      </c>
      <c r="H1311" s="29" t="s">
        <v>36</v>
      </c>
    </row>
    <row r="1312" customFormat="false" ht="14.25" hidden="false" customHeight="false" outlineLevel="0" collapsed="false">
      <c r="A1312" s="1" t="n">
        <v>2315</v>
      </c>
      <c r="B1312" s="30" t="n">
        <v>43206</v>
      </c>
      <c r="C1312" s="29" t="s">
        <v>39</v>
      </c>
      <c r="D1312" s="62" t="n">
        <v>29</v>
      </c>
      <c r="E1312" s="62" t="n">
        <v>228.28</v>
      </c>
      <c r="F1312" s="62" t="s">
        <v>4</v>
      </c>
      <c r="G1312" s="29" t="s">
        <v>29</v>
      </c>
      <c r="H1312" s="29" t="s">
        <v>36</v>
      </c>
    </row>
    <row r="1313" customFormat="false" ht="14.25" hidden="false" customHeight="false" outlineLevel="0" collapsed="false">
      <c r="A1313" s="1" t="n">
        <v>2316</v>
      </c>
      <c r="B1313" s="30" t="n">
        <v>43462</v>
      </c>
      <c r="C1313" s="29" t="s">
        <v>28</v>
      </c>
      <c r="D1313" s="62" t="n">
        <v>32</v>
      </c>
      <c r="E1313" s="62" t="n">
        <v>177.8</v>
      </c>
      <c r="F1313" s="62" t="s">
        <v>4</v>
      </c>
      <c r="G1313" s="29" t="s">
        <v>22</v>
      </c>
      <c r="H1313" s="29" t="s">
        <v>23</v>
      </c>
    </row>
    <row r="1314" customFormat="false" ht="14.25" hidden="false" customHeight="false" outlineLevel="0" collapsed="false">
      <c r="A1314" s="1" t="n">
        <v>2317</v>
      </c>
      <c r="B1314" s="30" t="n">
        <v>43238</v>
      </c>
      <c r="C1314" s="29" t="s">
        <v>28</v>
      </c>
      <c r="D1314" s="62" t="n">
        <v>1</v>
      </c>
      <c r="E1314" s="62" t="n">
        <v>11.21</v>
      </c>
      <c r="F1314" s="62" t="s">
        <v>4</v>
      </c>
      <c r="G1314" s="29" t="s">
        <v>29</v>
      </c>
      <c r="H1314" s="29" t="s">
        <v>34</v>
      </c>
    </row>
    <row r="1315" customFormat="false" ht="14.25" hidden="false" customHeight="false" outlineLevel="0" collapsed="false">
      <c r="A1315" s="1" t="n">
        <v>2318</v>
      </c>
      <c r="B1315" s="30" t="n">
        <v>43233</v>
      </c>
      <c r="C1315" s="29" t="s">
        <v>39</v>
      </c>
      <c r="D1315" s="62" t="n">
        <v>9</v>
      </c>
      <c r="E1315" s="62" t="n">
        <v>84.8</v>
      </c>
      <c r="F1315" s="62" t="s">
        <v>6</v>
      </c>
      <c r="G1315" s="29" t="s">
        <v>29</v>
      </c>
      <c r="H1315" s="29" t="s">
        <v>36</v>
      </c>
    </row>
    <row r="1316" customFormat="false" ht="14.25" hidden="false" customHeight="false" outlineLevel="0" collapsed="false">
      <c r="A1316" s="1" t="n">
        <v>2319</v>
      </c>
      <c r="B1316" s="30" t="n">
        <v>43450</v>
      </c>
      <c r="C1316" s="29" t="s">
        <v>28</v>
      </c>
      <c r="D1316" s="62" t="n">
        <v>28</v>
      </c>
      <c r="E1316" s="62" t="n">
        <v>181.32</v>
      </c>
      <c r="F1316" s="62" t="s">
        <v>6</v>
      </c>
      <c r="G1316" s="29" t="s">
        <v>29</v>
      </c>
      <c r="H1316" s="29" t="s">
        <v>30</v>
      </c>
    </row>
    <row r="1317" customFormat="false" ht="14.25" hidden="false" customHeight="false" outlineLevel="0" collapsed="false">
      <c r="A1317" s="1" t="n">
        <v>2320</v>
      </c>
      <c r="B1317" s="30" t="n">
        <v>43450</v>
      </c>
      <c r="C1317" s="29" t="s">
        <v>28</v>
      </c>
      <c r="D1317" s="62" t="n">
        <v>33</v>
      </c>
      <c r="E1317" s="62" t="n">
        <v>1373.54</v>
      </c>
      <c r="F1317" s="62" t="s">
        <v>6</v>
      </c>
      <c r="G1317" s="29" t="s">
        <v>22</v>
      </c>
      <c r="H1317" s="29" t="s">
        <v>23</v>
      </c>
    </row>
    <row r="1318" customFormat="false" ht="14.25" hidden="false" customHeight="false" outlineLevel="0" collapsed="false">
      <c r="A1318" s="1" t="n">
        <v>2321</v>
      </c>
      <c r="B1318" s="30" t="n">
        <v>43321</v>
      </c>
      <c r="C1318" s="29" t="s">
        <v>21</v>
      </c>
      <c r="D1318" s="62" t="n">
        <v>30</v>
      </c>
      <c r="E1318" s="62" t="n">
        <v>72.91</v>
      </c>
      <c r="F1318" s="62" t="s">
        <v>4</v>
      </c>
      <c r="G1318" s="29" t="s">
        <v>29</v>
      </c>
      <c r="H1318" s="29" t="s">
        <v>33</v>
      </c>
    </row>
    <row r="1319" customFormat="false" ht="14.25" hidden="false" customHeight="false" outlineLevel="0" collapsed="false">
      <c r="A1319" s="1" t="n">
        <v>2322</v>
      </c>
      <c r="B1319" s="30" t="n">
        <v>43321</v>
      </c>
      <c r="C1319" s="29" t="s">
        <v>21</v>
      </c>
      <c r="D1319" s="62" t="n">
        <v>41</v>
      </c>
      <c r="E1319" s="62" t="n">
        <v>8974.2</v>
      </c>
      <c r="F1319" s="62" t="s">
        <v>4</v>
      </c>
      <c r="G1319" s="29" t="s">
        <v>22</v>
      </c>
      <c r="H1319" s="29" t="s">
        <v>40</v>
      </c>
    </row>
    <row r="1320" customFormat="false" ht="14.25" hidden="false" customHeight="false" outlineLevel="0" collapsed="false">
      <c r="A1320" s="1" t="n">
        <v>2323</v>
      </c>
      <c r="B1320" s="30" t="n">
        <v>43321</v>
      </c>
      <c r="C1320" s="29" t="s">
        <v>21</v>
      </c>
      <c r="D1320" s="62" t="n">
        <v>31</v>
      </c>
      <c r="E1320" s="62" t="n">
        <v>658.67</v>
      </c>
      <c r="F1320" s="62" t="s">
        <v>4</v>
      </c>
      <c r="G1320" s="29" t="s">
        <v>29</v>
      </c>
      <c r="H1320" s="29" t="s">
        <v>34</v>
      </c>
    </row>
    <row r="1321" customFormat="false" ht="14.25" hidden="false" customHeight="false" outlineLevel="0" collapsed="false">
      <c r="A1321" s="1" t="n">
        <v>2324</v>
      </c>
      <c r="B1321" s="30" t="n">
        <v>43321</v>
      </c>
      <c r="C1321" s="29" t="s">
        <v>21</v>
      </c>
      <c r="D1321" s="62" t="n">
        <v>6</v>
      </c>
      <c r="E1321" s="62" t="n">
        <v>134.84</v>
      </c>
      <c r="F1321" s="62" t="s">
        <v>4</v>
      </c>
      <c r="G1321" s="29" t="s">
        <v>22</v>
      </c>
      <c r="H1321" s="29" t="s">
        <v>23</v>
      </c>
    </row>
    <row r="1322" customFormat="false" ht="14.25" hidden="false" customHeight="false" outlineLevel="0" collapsed="false">
      <c r="A1322" s="1" t="n">
        <v>2325</v>
      </c>
      <c r="B1322" s="30" t="n">
        <v>43223</v>
      </c>
      <c r="C1322" s="29" t="s">
        <v>28</v>
      </c>
      <c r="D1322" s="62" t="n">
        <v>8</v>
      </c>
      <c r="E1322" s="62" t="n">
        <v>1022.16</v>
      </c>
      <c r="F1322" s="62" t="s">
        <v>4</v>
      </c>
      <c r="G1322" s="29" t="s">
        <v>24</v>
      </c>
      <c r="H1322" s="29" t="s">
        <v>42</v>
      </c>
    </row>
    <row r="1323" customFormat="false" ht="14.25" hidden="false" customHeight="false" outlineLevel="0" collapsed="false">
      <c r="A1323" s="1" t="n">
        <v>2326</v>
      </c>
      <c r="B1323" s="30" t="n">
        <v>43163</v>
      </c>
      <c r="C1323" s="29" t="s">
        <v>28</v>
      </c>
      <c r="D1323" s="62" t="n">
        <v>50</v>
      </c>
      <c r="E1323" s="62" t="n">
        <v>8200.2</v>
      </c>
      <c r="F1323" s="62" t="s">
        <v>4</v>
      </c>
      <c r="G1323" s="29" t="s">
        <v>22</v>
      </c>
      <c r="H1323" s="29" t="s">
        <v>27</v>
      </c>
    </row>
    <row r="1324" customFormat="false" ht="14.25" hidden="false" customHeight="false" outlineLevel="0" collapsed="false">
      <c r="A1324" s="1" t="n">
        <v>2327</v>
      </c>
      <c r="B1324" s="30" t="n">
        <v>43154</v>
      </c>
      <c r="C1324" s="29" t="s">
        <v>39</v>
      </c>
      <c r="D1324" s="62" t="n">
        <v>50</v>
      </c>
      <c r="E1324" s="62" t="n">
        <v>8323.27</v>
      </c>
      <c r="F1324" s="62" t="s">
        <v>5</v>
      </c>
      <c r="G1324" s="29" t="s">
        <v>24</v>
      </c>
      <c r="H1324" s="29" t="s">
        <v>25</v>
      </c>
    </row>
    <row r="1325" customFormat="false" ht="14.25" hidden="false" customHeight="false" outlineLevel="0" collapsed="false">
      <c r="A1325" s="1" t="n">
        <v>2328</v>
      </c>
      <c r="B1325" s="30" t="n">
        <v>43242</v>
      </c>
      <c r="C1325" s="29" t="s">
        <v>37</v>
      </c>
      <c r="D1325" s="62" t="n">
        <v>42</v>
      </c>
      <c r="E1325" s="62" t="n">
        <v>121.26</v>
      </c>
      <c r="F1325" s="62" t="s">
        <v>3</v>
      </c>
      <c r="G1325" s="29" t="s">
        <v>29</v>
      </c>
      <c r="H1325" s="29" t="s">
        <v>34</v>
      </c>
    </row>
    <row r="1326" customFormat="false" ht="14.25" hidden="false" customHeight="false" outlineLevel="0" collapsed="false">
      <c r="A1326" s="1" t="n">
        <v>2329</v>
      </c>
      <c r="B1326" s="30" t="n">
        <v>43154</v>
      </c>
      <c r="C1326" s="29" t="s">
        <v>37</v>
      </c>
      <c r="D1326" s="62" t="n">
        <v>46</v>
      </c>
      <c r="E1326" s="62" t="n">
        <v>1858.09</v>
      </c>
      <c r="F1326" s="62" t="s">
        <v>5</v>
      </c>
      <c r="G1326" s="29" t="s">
        <v>29</v>
      </c>
      <c r="H1326" s="29" t="s">
        <v>41</v>
      </c>
    </row>
    <row r="1327" customFormat="false" ht="14.25" hidden="false" customHeight="false" outlineLevel="0" collapsed="false">
      <c r="A1327" s="1" t="n">
        <v>2330</v>
      </c>
      <c r="B1327" s="30" t="n">
        <v>43168</v>
      </c>
      <c r="C1327" s="29" t="s">
        <v>37</v>
      </c>
      <c r="D1327" s="62" t="n">
        <v>47</v>
      </c>
      <c r="E1327" s="62" t="n">
        <v>645.95</v>
      </c>
      <c r="F1327" s="62" t="s">
        <v>3</v>
      </c>
      <c r="G1327" s="29" t="s">
        <v>29</v>
      </c>
      <c r="H1327" s="29" t="s">
        <v>36</v>
      </c>
    </row>
    <row r="1328" customFormat="false" ht="14.25" hidden="false" customHeight="false" outlineLevel="0" collapsed="false">
      <c r="A1328" s="1" t="n">
        <v>2331</v>
      </c>
      <c r="B1328" s="30" t="n">
        <v>43133</v>
      </c>
      <c r="C1328" s="29" t="s">
        <v>37</v>
      </c>
      <c r="D1328" s="62" t="n">
        <v>46</v>
      </c>
      <c r="E1328" s="62" t="n">
        <v>441.24</v>
      </c>
      <c r="F1328" s="62" t="s">
        <v>4</v>
      </c>
      <c r="G1328" s="29" t="s">
        <v>29</v>
      </c>
      <c r="H1328" s="29" t="s">
        <v>41</v>
      </c>
    </row>
    <row r="1329" customFormat="false" ht="14.25" hidden="false" customHeight="false" outlineLevel="0" collapsed="false">
      <c r="A1329" s="1" t="n">
        <v>2332</v>
      </c>
      <c r="B1329" s="30" t="n">
        <v>43381</v>
      </c>
      <c r="C1329" s="29" t="s">
        <v>39</v>
      </c>
      <c r="D1329" s="62" t="n">
        <v>1</v>
      </c>
      <c r="E1329" s="62" t="n">
        <v>10.43</v>
      </c>
      <c r="F1329" s="62" t="s">
        <v>6</v>
      </c>
      <c r="G1329" s="29" t="s">
        <v>29</v>
      </c>
      <c r="H1329" s="29" t="s">
        <v>36</v>
      </c>
    </row>
    <row r="1330" customFormat="false" ht="14.25" hidden="false" customHeight="false" outlineLevel="0" collapsed="false">
      <c r="A1330" s="1" t="n">
        <v>2333</v>
      </c>
      <c r="B1330" s="30" t="n">
        <v>43381</v>
      </c>
      <c r="C1330" s="29" t="s">
        <v>39</v>
      </c>
      <c r="D1330" s="62" t="n">
        <v>43</v>
      </c>
      <c r="E1330" s="62" t="n">
        <v>1563.38</v>
      </c>
      <c r="F1330" s="62" t="s">
        <v>6</v>
      </c>
      <c r="G1330" s="29" t="s">
        <v>24</v>
      </c>
      <c r="H1330" s="29" t="s">
        <v>26</v>
      </c>
    </row>
    <row r="1331" customFormat="false" ht="14.25" hidden="false" customHeight="false" outlineLevel="0" collapsed="false">
      <c r="A1331" s="1" t="n">
        <v>2334</v>
      </c>
      <c r="B1331" s="30" t="n">
        <v>43381</v>
      </c>
      <c r="C1331" s="29" t="s">
        <v>39</v>
      </c>
      <c r="D1331" s="62" t="n">
        <v>10</v>
      </c>
      <c r="E1331" s="62" t="n">
        <v>117.03</v>
      </c>
      <c r="F1331" s="62" t="s">
        <v>6</v>
      </c>
      <c r="G1331" s="29" t="s">
        <v>29</v>
      </c>
      <c r="H1331" s="29" t="s">
        <v>41</v>
      </c>
    </row>
    <row r="1332" customFormat="false" ht="14.25" hidden="false" customHeight="false" outlineLevel="0" collapsed="false">
      <c r="A1332" s="1" t="n">
        <v>2335</v>
      </c>
      <c r="B1332" s="30" t="n">
        <v>43160</v>
      </c>
      <c r="C1332" s="29" t="s">
        <v>21</v>
      </c>
      <c r="D1332" s="62" t="n">
        <v>50</v>
      </c>
      <c r="E1332" s="62" t="n">
        <v>450.86</v>
      </c>
      <c r="F1332" s="62" t="s">
        <v>3</v>
      </c>
      <c r="G1332" s="29" t="s">
        <v>29</v>
      </c>
      <c r="H1332" s="29" t="s">
        <v>41</v>
      </c>
    </row>
    <row r="1333" customFormat="false" ht="14.25" hidden="false" customHeight="false" outlineLevel="0" collapsed="false">
      <c r="A1333" s="1" t="n">
        <v>2336</v>
      </c>
      <c r="B1333" s="30" t="n">
        <v>43108</v>
      </c>
      <c r="C1333" s="29" t="s">
        <v>39</v>
      </c>
      <c r="D1333" s="62" t="n">
        <v>45</v>
      </c>
      <c r="E1333" s="62" t="n">
        <v>6038.53</v>
      </c>
      <c r="F1333" s="62" t="s">
        <v>6</v>
      </c>
      <c r="G1333" s="29" t="s">
        <v>22</v>
      </c>
      <c r="H1333" s="29" t="s">
        <v>40</v>
      </c>
    </row>
    <row r="1334" customFormat="false" ht="14.25" hidden="false" customHeight="false" outlineLevel="0" collapsed="false">
      <c r="A1334" s="1" t="n">
        <v>2337</v>
      </c>
      <c r="B1334" s="30" t="n">
        <v>43108</v>
      </c>
      <c r="C1334" s="29" t="s">
        <v>39</v>
      </c>
      <c r="D1334" s="62" t="n">
        <v>50</v>
      </c>
      <c r="E1334" s="62" t="n">
        <v>897.8</v>
      </c>
      <c r="F1334" s="62" t="s">
        <v>6</v>
      </c>
      <c r="G1334" s="29" t="s">
        <v>29</v>
      </c>
      <c r="H1334" s="29" t="s">
        <v>34</v>
      </c>
    </row>
    <row r="1335" customFormat="false" ht="14.25" hidden="false" customHeight="false" outlineLevel="0" collapsed="false">
      <c r="A1335" s="1" t="n">
        <v>2338</v>
      </c>
      <c r="B1335" s="30" t="n">
        <v>43232</v>
      </c>
      <c r="C1335" s="29" t="s">
        <v>37</v>
      </c>
      <c r="D1335" s="62" t="n">
        <v>36</v>
      </c>
      <c r="E1335" s="62" t="n">
        <v>163.67</v>
      </c>
      <c r="F1335" s="62" t="s">
        <v>4</v>
      </c>
      <c r="G1335" s="29" t="s">
        <v>29</v>
      </c>
      <c r="H1335" s="29" t="s">
        <v>36</v>
      </c>
    </row>
    <row r="1336" customFormat="false" ht="14.25" hidden="false" customHeight="false" outlineLevel="0" collapsed="false">
      <c r="A1336" s="1" t="n">
        <v>2339</v>
      </c>
      <c r="B1336" s="30" t="n">
        <v>43232</v>
      </c>
      <c r="C1336" s="29" t="s">
        <v>37</v>
      </c>
      <c r="D1336" s="62" t="n">
        <v>42</v>
      </c>
      <c r="E1336" s="62" t="n">
        <v>163.23</v>
      </c>
      <c r="F1336" s="62" t="s">
        <v>4</v>
      </c>
      <c r="G1336" s="29" t="s">
        <v>29</v>
      </c>
      <c r="H1336" s="29" t="s">
        <v>45</v>
      </c>
    </row>
    <row r="1337" customFormat="false" ht="14.25" hidden="false" customHeight="false" outlineLevel="0" collapsed="false">
      <c r="A1337" s="1" t="n">
        <v>2340</v>
      </c>
      <c r="B1337" s="30" t="n">
        <v>43148</v>
      </c>
      <c r="C1337" s="29" t="s">
        <v>21</v>
      </c>
      <c r="D1337" s="62" t="n">
        <v>28</v>
      </c>
      <c r="E1337" s="62" t="n">
        <v>3108.67</v>
      </c>
      <c r="F1337" s="62" t="s">
        <v>6</v>
      </c>
      <c r="G1337" s="29" t="s">
        <v>29</v>
      </c>
      <c r="H1337" s="29" t="s">
        <v>35</v>
      </c>
    </row>
    <row r="1338" customFormat="false" ht="14.25" hidden="false" customHeight="false" outlineLevel="0" collapsed="false">
      <c r="A1338" s="1" t="n">
        <v>2341</v>
      </c>
      <c r="B1338" s="30" t="n">
        <v>43109</v>
      </c>
      <c r="C1338" s="29" t="s">
        <v>21</v>
      </c>
      <c r="D1338" s="62" t="n">
        <v>22</v>
      </c>
      <c r="E1338" s="62" t="n">
        <v>63.22</v>
      </c>
      <c r="F1338" s="62" t="s">
        <v>4</v>
      </c>
      <c r="G1338" s="29" t="s">
        <v>29</v>
      </c>
      <c r="H1338" s="29" t="s">
        <v>34</v>
      </c>
    </row>
    <row r="1339" customFormat="false" ht="14.25" hidden="false" customHeight="false" outlineLevel="0" collapsed="false">
      <c r="A1339" s="1" t="n">
        <v>2342</v>
      </c>
      <c r="B1339" s="30" t="n">
        <v>43109</v>
      </c>
      <c r="C1339" s="29" t="s">
        <v>21</v>
      </c>
      <c r="D1339" s="62" t="n">
        <v>50</v>
      </c>
      <c r="E1339" s="62" t="n">
        <v>948.41</v>
      </c>
      <c r="F1339" s="62" t="s">
        <v>4</v>
      </c>
      <c r="G1339" s="29" t="s">
        <v>24</v>
      </c>
      <c r="H1339" s="29" t="s">
        <v>25</v>
      </c>
    </row>
    <row r="1340" customFormat="false" ht="14.25" hidden="false" customHeight="false" outlineLevel="0" collapsed="false">
      <c r="A1340" s="1" t="n">
        <v>2343</v>
      </c>
      <c r="B1340" s="30" t="n">
        <v>43298</v>
      </c>
      <c r="C1340" s="29" t="s">
        <v>31</v>
      </c>
      <c r="D1340" s="62" t="n">
        <v>39</v>
      </c>
      <c r="E1340" s="62" t="n">
        <v>2345.91</v>
      </c>
      <c r="F1340" s="62" t="s">
        <v>3</v>
      </c>
      <c r="G1340" s="29" t="s">
        <v>24</v>
      </c>
      <c r="H1340" s="29" t="s">
        <v>25</v>
      </c>
    </row>
    <row r="1341" customFormat="false" ht="14.25" hidden="false" customHeight="false" outlineLevel="0" collapsed="false">
      <c r="A1341" s="1" t="n">
        <v>2344</v>
      </c>
      <c r="B1341" s="30" t="n">
        <v>43210</v>
      </c>
      <c r="C1341" s="29" t="s">
        <v>28</v>
      </c>
      <c r="D1341" s="62" t="n">
        <v>43</v>
      </c>
      <c r="E1341" s="62" t="n">
        <v>1330.95</v>
      </c>
      <c r="F1341" s="62" t="s">
        <v>4</v>
      </c>
      <c r="G1341" s="29" t="s">
        <v>29</v>
      </c>
      <c r="H1341" s="29" t="s">
        <v>30</v>
      </c>
    </row>
    <row r="1342" customFormat="false" ht="14.25" hidden="false" customHeight="false" outlineLevel="0" collapsed="false">
      <c r="A1342" s="1" t="n">
        <v>2345</v>
      </c>
      <c r="B1342" s="30" t="n">
        <v>43440</v>
      </c>
      <c r="C1342" s="29" t="s">
        <v>31</v>
      </c>
      <c r="D1342" s="62" t="n">
        <v>50</v>
      </c>
      <c r="E1342" s="62" t="n">
        <v>1358.93</v>
      </c>
      <c r="F1342" s="62" t="s">
        <v>5</v>
      </c>
      <c r="G1342" s="29" t="s">
        <v>22</v>
      </c>
      <c r="H1342" s="29" t="s">
        <v>23</v>
      </c>
    </row>
    <row r="1343" customFormat="false" ht="14.25" hidden="false" customHeight="false" outlineLevel="0" collapsed="false">
      <c r="A1343" s="1" t="n">
        <v>2346</v>
      </c>
      <c r="B1343" s="30" t="n">
        <v>43440</v>
      </c>
      <c r="C1343" s="29" t="s">
        <v>31</v>
      </c>
      <c r="D1343" s="62" t="n">
        <v>19</v>
      </c>
      <c r="E1343" s="62" t="n">
        <v>8141.5</v>
      </c>
      <c r="F1343" s="62" t="s">
        <v>5</v>
      </c>
      <c r="G1343" s="29" t="s">
        <v>29</v>
      </c>
      <c r="H1343" s="29" t="s">
        <v>34</v>
      </c>
    </row>
    <row r="1344" customFormat="false" ht="14.25" hidden="false" customHeight="false" outlineLevel="0" collapsed="false">
      <c r="A1344" s="1" t="n">
        <v>2347</v>
      </c>
      <c r="B1344" s="30" t="n">
        <v>43158</v>
      </c>
      <c r="C1344" s="29" t="s">
        <v>21</v>
      </c>
      <c r="D1344" s="62" t="n">
        <v>9</v>
      </c>
      <c r="E1344" s="62" t="n">
        <v>20.54</v>
      </c>
      <c r="F1344" s="62" t="s">
        <v>4</v>
      </c>
      <c r="G1344" s="29" t="s">
        <v>29</v>
      </c>
      <c r="H1344" s="29" t="s">
        <v>30</v>
      </c>
    </row>
    <row r="1345" customFormat="false" ht="14.25" hidden="false" customHeight="false" outlineLevel="0" collapsed="false">
      <c r="A1345" s="1" t="n">
        <v>2348</v>
      </c>
      <c r="B1345" s="30" t="n">
        <v>43194</v>
      </c>
      <c r="C1345" s="29" t="s">
        <v>31</v>
      </c>
      <c r="D1345" s="62" t="n">
        <v>23</v>
      </c>
      <c r="E1345" s="62" t="n">
        <v>276.85</v>
      </c>
      <c r="F1345" s="62" t="s">
        <v>5</v>
      </c>
      <c r="G1345" s="29" t="s">
        <v>29</v>
      </c>
      <c r="H1345" s="29" t="s">
        <v>45</v>
      </c>
    </row>
    <row r="1346" customFormat="false" ht="14.25" hidden="false" customHeight="false" outlineLevel="0" collapsed="false">
      <c r="A1346" s="1" t="n">
        <v>2349</v>
      </c>
      <c r="B1346" s="30" t="n">
        <v>43205</v>
      </c>
      <c r="C1346" s="29" t="s">
        <v>39</v>
      </c>
      <c r="D1346" s="62" t="n">
        <v>19</v>
      </c>
      <c r="E1346" s="62" t="n">
        <v>232.93</v>
      </c>
      <c r="F1346" s="62" t="s">
        <v>5</v>
      </c>
      <c r="G1346" s="29" t="s">
        <v>29</v>
      </c>
      <c r="H1346" s="29" t="s">
        <v>41</v>
      </c>
    </row>
    <row r="1347" customFormat="false" ht="14.25" hidden="false" customHeight="false" outlineLevel="0" collapsed="false">
      <c r="A1347" s="1" t="n">
        <v>2350</v>
      </c>
      <c r="B1347" s="30" t="n">
        <v>43202</v>
      </c>
      <c r="C1347" s="29" t="s">
        <v>39</v>
      </c>
      <c r="D1347" s="62" t="n">
        <v>35</v>
      </c>
      <c r="E1347" s="62" t="n">
        <v>10998.31</v>
      </c>
      <c r="F1347" s="62" t="s">
        <v>6</v>
      </c>
      <c r="G1347" s="29" t="s">
        <v>22</v>
      </c>
      <c r="H1347" s="29" t="s">
        <v>40</v>
      </c>
    </row>
    <row r="1348" customFormat="false" ht="14.25" hidden="false" customHeight="false" outlineLevel="0" collapsed="false">
      <c r="A1348" s="1" t="n">
        <v>2351</v>
      </c>
      <c r="B1348" s="30" t="n">
        <v>43202</v>
      </c>
      <c r="C1348" s="29" t="s">
        <v>39</v>
      </c>
      <c r="D1348" s="62" t="n">
        <v>22</v>
      </c>
      <c r="E1348" s="62" t="n">
        <v>88.83</v>
      </c>
      <c r="F1348" s="62" t="s">
        <v>6</v>
      </c>
      <c r="G1348" s="29" t="s">
        <v>29</v>
      </c>
      <c r="H1348" s="29" t="s">
        <v>34</v>
      </c>
    </row>
    <row r="1349" customFormat="false" ht="14.25" hidden="false" customHeight="false" outlineLevel="0" collapsed="false">
      <c r="A1349" s="1" t="n">
        <v>2352</v>
      </c>
      <c r="B1349" s="30" t="n">
        <v>43348</v>
      </c>
      <c r="C1349" s="29" t="s">
        <v>31</v>
      </c>
      <c r="D1349" s="62" t="n">
        <v>8</v>
      </c>
      <c r="E1349" s="62" t="n">
        <v>56.86</v>
      </c>
      <c r="F1349" s="62" t="s">
        <v>6</v>
      </c>
      <c r="G1349" s="29" t="s">
        <v>29</v>
      </c>
      <c r="H1349" s="29" t="s">
        <v>34</v>
      </c>
    </row>
    <row r="1350" customFormat="false" ht="14.25" hidden="false" customHeight="false" outlineLevel="0" collapsed="false">
      <c r="A1350" s="1" t="n">
        <v>2353</v>
      </c>
      <c r="B1350" s="30" t="n">
        <v>43444</v>
      </c>
      <c r="C1350" s="29" t="s">
        <v>31</v>
      </c>
      <c r="D1350" s="62" t="n">
        <v>43</v>
      </c>
      <c r="E1350" s="62" t="n">
        <v>13759</v>
      </c>
      <c r="F1350" s="62" t="s">
        <v>4</v>
      </c>
      <c r="G1350" s="29" t="s">
        <v>24</v>
      </c>
      <c r="H1350" s="29" t="s">
        <v>26</v>
      </c>
    </row>
    <row r="1351" customFormat="false" ht="14.25" hidden="false" customHeight="false" outlineLevel="0" collapsed="false">
      <c r="A1351" s="1" t="n">
        <v>2354</v>
      </c>
      <c r="B1351" s="30" t="n">
        <v>43444</v>
      </c>
      <c r="C1351" s="29" t="s">
        <v>31</v>
      </c>
      <c r="D1351" s="62" t="n">
        <v>28</v>
      </c>
      <c r="E1351" s="62" t="n">
        <v>156.96</v>
      </c>
      <c r="F1351" s="62" t="s">
        <v>4</v>
      </c>
      <c r="G1351" s="29" t="s">
        <v>22</v>
      </c>
      <c r="H1351" s="29" t="s">
        <v>23</v>
      </c>
    </row>
    <row r="1352" customFormat="false" ht="14.25" hidden="false" customHeight="false" outlineLevel="0" collapsed="false">
      <c r="A1352" s="1" t="n">
        <v>2355</v>
      </c>
      <c r="B1352" s="30" t="n">
        <v>43355</v>
      </c>
      <c r="C1352" s="29" t="s">
        <v>28</v>
      </c>
      <c r="D1352" s="62" t="n">
        <v>18</v>
      </c>
      <c r="E1352" s="62" t="n">
        <v>2164.24</v>
      </c>
      <c r="F1352" s="62" t="s">
        <v>4</v>
      </c>
      <c r="G1352" s="29" t="s">
        <v>22</v>
      </c>
      <c r="H1352" s="29" t="s">
        <v>40</v>
      </c>
    </row>
    <row r="1353" customFormat="false" ht="14.25" hidden="false" customHeight="false" outlineLevel="0" collapsed="false">
      <c r="A1353" s="1" t="n">
        <v>2356</v>
      </c>
      <c r="B1353" s="30" t="n">
        <v>43355</v>
      </c>
      <c r="C1353" s="29" t="s">
        <v>28</v>
      </c>
      <c r="D1353" s="62" t="n">
        <v>32</v>
      </c>
      <c r="E1353" s="62" t="n">
        <v>314.62</v>
      </c>
      <c r="F1353" s="62" t="s">
        <v>4</v>
      </c>
      <c r="G1353" s="29" t="s">
        <v>29</v>
      </c>
      <c r="H1353" s="29" t="s">
        <v>34</v>
      </c>
    </row>
    <row r="1354" customFormat="false" ht="14.25" hidden="false" customHeight="false" outlineLevel="0" collapsed="false">
      <c r="A1354" s="1" t="n">
        <v>2357</v>
      </c>
      <c r="B1354" s="30" t="n">
        <v>43344</v>
      </c>
      <c r="C1354" s="29" t="s">
        <v>28</v>
      </c>
      <c r="D1354" s="62" t="n">
        <v>21</v>
      </c>
      <c r="E1354" s="62" t="n">
        <v>166.63</v>
      </c>
      <c r="F1354" s="62" t="s">
        <v>4</v>
      </c>
      <c r="G1354" s="29" t="s">
        <v>29</v>
      </c>
      <c r="H1354" s="29" t="s">
        <v>36</v>
      </c>
    </row>
    <row r="1355" customFormat="false" ht="14.25" hidden="false" customHeight="false" outlineLevel="0" collapsed="false">
      <c r="A1355" s="1" t="n">
        <v>2358</v>
      </c>
      <c r="B1355" s="30" t="n">
        <v>43416</v>
      </c>
      <c r="C1355" s="29" t="s">
        <v>28</v>
      </c>
      <c r="D1355" s="62" t="n">
        <v>28</v>
      </c>
      <c r="E1355" s="62" t="n">
        <v>52.95</v>
      </c>
      <c r="F1355" s="62" t="s">
        <v>5</v>
      </c>
      <c r="G1355" s="29" t="s">
        <v>29</v>
      </c>
      <c r="H1355" s="29" t="s">
        <v>30</v>
      </c>
    </row>
    <row r="1356" customFormat="false" ht="14.25" hidden="false" customHeight="false" outlineLevel="0" collapsed="false">
      <c r="A1356" s="1" t="n">
        <v>2359</v>
      </c>
      <c r="B1356" s="30" t="n">
        <v>43416</v>
      </c>
      <c r="C1356" s="29" t="s">
        <v>28</v>
      </c>
      <c r="D1356" s="62" t="n">
        <v>11</v>
      </c>
      <c r="E1356" s="62" t="n">
        <v>432.44</v>
      </c>
      <c r="F1356" s="62" t="s">
        <v>5</v>
      </c>
      <c r="G1356" s="29" t="s">
        <v>24</v>
      </c>
      <c r="H1356" s="29" t="s">
        <v>25</v>
      </c>
    </row>
    <row r="1357" customFormat="false" ht="14.25" hidden="false" customHeight="false" outlineLevel="0" collapsed="false">
      <c r="A1357" s="1" t="n">
        <v>2360</v>
      </c>
      <c r="B1357" s="30" t="n">
        <v>43188</v>
      </c>
      <c r="C1357" s="29" t="s">
        <v>37</v>
      </c>
      <c r="D1357" s="62" t="n">
        <v>7</v>
      </c>
      <c r="E1357" s="62" t="n">
        <v>25.51</v>
      </c>
      <c r="F1357" s="62" t="s">
        <v>4</v>
      </c>
      <c r="G1357" s="29" t="s">
        <v>29</v>
      </c>
      <c r="H1357" s="29" t="s">
        <v>35</v>
      </c>
    </row>
    <row r="1358" customFormat="false" ht="14.25" hidden="false" customHeight="false" outlineLevel="0" collapsed="false">
      <c r="A1358" s="1" t="n">
        <v>2361</v>
      </c>
      <c r="B1358" s="30" t="n">
        <v>43150</v>
      </c>
      <c r="C1358" s="29" t="s">
        <v>31</v>
      </c>
      <c r="D1358" s="62" t="n">
        <v>28</v>
      </c>
      <c r="E1358" s="62" t="n">
        <v>1662.42</v>
      </c>
      <c r="F1358" s="62" t="s">
        <v>4</v>
      </c>
      <c r="G1358" s="29" t="s">
        <v>29</v>
      </c>
      <c r="H1358" s="29" t="s">
        <v>41</v>
      </c>
    </row>
    <row r="1359" customFormat="false" ht="14.25" hidden="false" customHeight="false" outlineLevel="0" collapsed="false">
      <c r="A1359" s="1" t="n">
        <v>2362</v>
      </c>
      <c r="B1359" s="30" t="n">
        <v>43150</v>
      </c>
      <c r="C1359" s="29" t="s">
        <v>31</v>
      </c>
      <c r="D1359" s="62" t="n">
        <v>30</v>
      </c>
      <c r="E1359" s="62" t="n">
        <v>3506.39</v>
      </c>
      <c r="F1359" s="62" t="s">
        <v>4</v>
      </c>
      <c r="G1359" s="29" t="s">
        <v>24</v>
      </c>
      <c r="H1359" s="29" t="s">
        <v>25</v>
      </c>
    </row>
    <row r="1360" customFormat="false" ht="14.25" hidden="false" customHeight="false" outlineLevel="0" collapsed="false">
      <c r="A1360" s="1" t="n">
        <v>2363</v>
      </c>
      <c r="B1360" s="30" t="n">
        <v>43242</v>
      </c>
      <c r="C1360" s="29" t="s">
        <v>31</v>
      </c>
      <c r="D1360" s="62" t="n">
        <v>40</v>
      </c>
      <c r="E1360" s="62" t="n">
        <v>322.2</v>
      </c>
      <c r="F1360" s="62" t="s">
        <v>4</v>
      </c>
      <c r="G1360" s="29" t="s">
        <v>29</v>
      </c>
      <c r="H1360" s="29" t="s">
        <v>32</v>
      </c>
    </row>
    <row r="1361" customFormat="false" ht="14.25" hidden="false" customHeight="false" outlineLevel="0" collapsed="false">
      <c r="A1361" s="1" t="n">
        <v>2364</v>
      </c>
      <c r="B1361" s="30" t="n">
        <v>43208</v>
      </c>
      <c r="C1361" s="29" t="s">
        <v>37</v>
      </c>
      <c r="D1361" s="62" t="n">
        <v>8</v>
      </c>
      <c r="E1361" s="62" t="n">
        <v>759.03</v>
      </c>
      <c r="F1361" s="62" t="s">
        <v>5</v>
      </c>
      <c r="G1361" s="29" t="s">
        <v>22</v>
      </c>
      <c r="H1361" s="29" t="s">
        <v>40</v>
      </c>
    </row>
    <row r="1362" customFormat="false" ht="14.25" hidden="false" customHeight="false" outlineLevel="0" collapsed="false">
      <c r="A1362" s="1" t="n">
        <v>2365</v>
      </c>
      <c r="B1362" s="30" t="n">
        <v>43208</v>
      </c>
      <c r="C1362" s="29" t="s">
        <v>37</v>
      </c>
      <c r="D1362" s="62" t="n">
        <v>19</v>
      </c>
      <c r="E1362" s="62" t="n">
        <v>63.94</v>
      </c>
      <c r="F1362" s="62" t="s">
        <v>5</v>
      </c>
      <c r="G1362" s="29" t="s">
        <v>29</v>
      </c>
      <c r="H1362" s="29" t="s">
        <v>32</v>
      </c>
    </row>
    <row r="1363" customFormat="false" ht="14.25" hidden="false" customHeight="false" outlineLevel="0" collapsed="false">
      <c r="A1363" s="1" t="n">
        <v>2366</v>
      </c>
      <c r="B1363" s="30" t="n">
        <v>43345</v>
      </c>
      <c r="C1363" s="29" t="s">
        <v>21</v>
      </c>
      <c r="D1363" s="62" t="n">
        <v>49</v>
      </c>
      <c r="E1363" s="62" t="n">
        <v>3962.12</v>
      </c>
      <c r="F1363" s="62" t="s">
        <v>4</v>
      </c>
      <c r="G1363" s="29" t="s">
        <v>29</v>
      </c>
      <c r="H1363" s="29" t="s">
        <v>41</v>
      </c>
    </row>
    <row r="1364" customFormat="false" ht="14.25" hidden="false" customHeight="false" outlineLevel="0" collapsed="false">
      <c r="A1364" s="1" t="n">
        <v>2367</v>
      </c>
      <c r="B1364" s="30" t="n">
        <v>43345</v>
      </c>
      <c r="C1364" s="29" t="s">
        <v>21</v>
      </c>
      <c r="D1364" s="62" t="n">
        <v>29</v>
      </c>
      <c r="E1364" s="62" t="n">
        <v>57.77</v>
      </c>
      <c r="F1364" s="62" t="s">
        <v>4</v>
      </c>
      <c r="G1364" s="29" t="s">
        <v>29</v>
      </c>
      <c r="H1364" s="29" t="s">
        <v>34</v>
      </c>
    </row>
    <row r="1365" customFormat="false" ht="14.25" hidden="false" customHeight="false" outlineLevel="0" collapsed="false">
      <c r="A1365" s="1" t="n">
        <v>2368</v>
      </c>
      <c r="B1365" s="30" t="n">
        <v>43205</v>
      </c>
      <c r="C1365" s="29" t="s">
        <v>37</v>
      </c>
      <c r="D1365" s="62" t="n">
        <v>39</v>
      </c>
      <c r="E1365" s="62" t="n">
        <v>4124.21</v>
      </c>
      <c r="F1365" s="62" t="s">
        <v>5</v>
      </c>
      <c r="G1365" s="29" t="s">
        <v>22</v>
      </c>
      <c r="H1365" s="29" t="s">
        <v>23</v>
      </c>
    </row>
    <row r="1366" customFormat="false" ht="14.25" hidden="false" customHeight="false" outlineLevel="0" collapsed="false">
      <c r="A1366" s="1" t="n">
        <v>2369</v>
      </c>
      <c r="B1366" s="30" t="n">
        <v>43364</v>
      </c>
      <c r="C1366" s="29" t="s">
        <v>21</v>
      </c>
      <c r="D1366" s="62" t="n">
        <v>7</v>
      </c>
      <c r="E1366" s="62" t="n">
        <v>128.43</v>
      </c>
      <c r="F1366" s="62" t="s">
        <v>5</v>
      </c>
      <c r="G1366" s="29" t="s">
        <v>29</v>
      </c>
      <c r="H1366" s="29" t="s">
        <v>38</v>
      </c>
    </row>
    <row r="1367" customFormat="false" ht="14.25" hidden="false" customHeight="false" outlineLevel="0" collapsed="false">
      <c r="A1367" s="1" t="n">
        <v>2370</v>
      </c>
      <c r="B1367" s="30" t="n">
        <v>43293</v>
      </c>
      <c r="C1367" s="29" t="s">
        <v>21</v>
      </c>
      <c r="D1367" s="62" t="n">
        <v>23</v>
      </c>
      <c r="E1367" s="62" t="n">
        <v>1406.66</v>
      </c>
      <c r="F1367" s="62" t="s">
        <v>3</v>
      </c>
      <c r="G1367" s="29" t="s">
        <v>29</v>
      </c>
      <c r="H1367" s="29" t="s">
        <v>36</v>
      </c>
    </row>
    <row r="1368" customFormat="false" ht="14.25" hidden="false" customHeight="false" outlineLevel="0" collapsed="false">
      <c r="A1368" s="1" t="n">
        <v>2371</v>
      </c>
      <c r="B1368" s="30" t="n">
        <v>43109</v>
      </c>
      <c r="C1368" s="29" t="s">
        <v>31</v>
      </c>
      <c r="D1368" s="62" t="n">
        <v>17</v>
      </c>
      <c r="E1368" s="62" t="n">
        <v>1907.47</v>
      </c>
      <c r="F1368" s="62" t="s">
        <v>4</v>
      </c>
      <c r="G1368" s="29" t="s">
        <v>22</v>
      </c>
      <c r="H1368" s="29" t="s">
        <v>23</v>
      </c>
    </row>
    <row r="1369" customFormat="false" ht="14.25" hidden="false" customHeight="false" outlineLevel="0" collapsed="false">
      <c r="A1369" s="1" t="n">
        <v>2372</v>
      </c>
      <c r="B1369" s="30" t="n">
        <v>43381</v>
      </c>
      <c r="C1369" s="29" t="s">
        <v>39</v>
      </c>
      <c r="D1369" s="62" t="n">
        <v>21</v>
      </c>
      <c r="E1369" s="62" t="n">
        <v>1308.73</v>
      </c>
      <c r="F1369" s="62" t="s">
        <v>3</v>
      </c>
      <c r="G1369" s="29" t="s">
        <v>29</v>
      </c>
      <c r="H1369" s="29" t="s">
        <v>41</v>
      </c>
    </row>
    <row r="1370" customFormat="false" ht="14.25" hidden="false" customHeight="false" outlineLevel="0" collapsed="false">
      <c r="A1370" s="1" t="n">
        <v>2373</v>
      </c>
      <c r="B1370" s="30" t="n">
        <v>43450</v>
      </c>
      <c r="C1370" s="29" t="s">
        <v>31</v>
      </c>
      <c r="D1370" s="62" t="n">
        <v>44</v>
      </c>
      <c r="E1370" s="62" t="n">
        <v>370.43</v>
      </c>
      <c r="F1370" s="62" t="s">
        <v>5</v>
      </c>
      <c r="G1370" s="29" t="s">
        <v>29</v>
      </c>
      <c r="H1370" s="29" t="s">
        <v>34</v>
      </c>
    </row>
    <row r="1371" customFormat="false" ht="14.25" hidden="false" customHeight="false" outlineLevel="0" collapsed="false">
      <c r="A1371" s="1" t="n">
        <v>2374</v>
      </c>
      <c r="B1371" s="30" t="n">
        <v>43450</v>
      </c>
      <c r="C1371" s="29" t="s">
        <v>31</v>
      </c>
      <c r="D1371" s="62" t="n">
        <v>4</v>
      </c>
      <c r="E1371" s="62" t="n">
        <v>91.98</v>
      </c>
      <c r="F1371" s="62" t="s">
        <v>5</v>
      </c>
      <c r="G1371" s="29" t="s">
        <v>22</v>
      </c>
      <c r="H1371" s="29" t="s">
        <v>23</v>
      </c>
    </row>
    <row r="1372" customFormat="false" ht="14.25" hidden="false" customHeight="false" outlineLevel="0" collapsed="false">
      <c r="A1372" s="1" t="n">
        <v>2375</v>
      </c>
      <c r="B1372" s="30" t="n">
        <v>43450</v>
      </c>
      <c r="C1372" s="29" t="s">
        <v>31</v>
      </c>
      <c r="D1372" s="62" t="n">
        <v>39</v>
      </c>
      <c r="E1372" s="62" t="n">
        <v>508.81</v>
      </c>
      <c r="F1372" s="62" t="s">
        <v>5</v>
      </c>
      <c r="G1372" s="29" t="s">
        <v>29</v>
      </c>
      <c r="H1372" s="29" t="s">
        <v>38</v>
      </c>
    </row>
    <row r="1373" customFormat="false" ht="14.25" hidden="false" customHeight="false" outlineLevel="0" collapsed="false">
      <c r="A1373" s="1" t="n">
        <v>2376</v>
      </c>
      <c r="B1373" s="30" t="n">
        <v>43301</v>
      </c>
      <c r="C1373" s="29" t="s">
        <v>28</v>
      </c>
      <c r="D1373" s="62" t="n">
        <v>1</v>
      </c>
      <c r="E1373" s="62" t="n">
        <v>20.24</v>
      </c>
      <c r="F1373" s="62" t="s">
        <v>4</v>
      </c>
      <c r="G1373" s="29" t="s">
        <v>29</v>
      </c>
      <c r="H1373" s="29" t="s">
        <v>34</v>
      </c>
    </row>
    <row r="1374" customFormat="false" ht="14.25" hidden="false" customHeight="false" outlineLevel="0" collapsed="false">
      <c r="A1374" s="1" t="n">
        <v>2377</v>
      </c>
      <c r="B1374" s="30" t="n">
        <v>43419</v>
      </c>
      <c r="C1374" s="29" t="s">
        <v>39</v>
      </c>
      <c r="D1374" s="62" t="n">
        <v>23</v>
      </c>
      <c r="E1374" s="62" t="n">
        <v>167.46</v>
      </c>
      <c r="F1374" s="62" t="s">
        <v>4</v>
      </c>
      <c r="G1374" s="29" t="s">
        <v>29</v>
      </c>
      <c r="H1374" s="29" t="s">
        <v>36</v>
      </c>
    </row>
    <row r="1375" customFormat="false" ht="14.25" hidden="false" customHeight="false" outlineLevel="0" collapsed="false">
      <c r="A1375" s="1" t="n">
        <v>2378</v>
      </c>
      <c r="B1375" s="30" t="n">
        <v>43419</v>
      </c>
      <c r="C1375" s="29" t="s">
        <v>39</v>
      </c>
      <c r="D1375" s="62" t="n">
        <v>46</v>
      </c>
      <c r="E1375" s="62" t="n">
        <v>1889.23</v>
      </c>
      <c r="F1375" s="62" t="s">
        <v>4</v>
      </c>
      <c r="G1375" s="29" t="s">
        <v>22</v>
      </c>
      <c r="H1375" s="29" t="s">
        <v>23</v>
      </c>
    </row>
    <row r="1376" customFormat="false" ht="14.25" hidden="false" customHeight="false" outlineLevel="0" collapsed="false">
      <c r="A1376" s="1" t="n">
        <v>2379</v>
      </c>
      <c r="B1376" s="30" t="n">
        <v>43419</v>
      </c>
      <c r="C1376" s="29" t="s">
        <v>39</v>
      </c>
      <c r="D1376" s="62" t="n">
        <v>17</v>
      </c>
      <c r="E1376" s="62" t="n">
        <v>10843.97</v>
      </c>
      <c r="F1376" s="62" t="s">
        <v>4</v>
      </c>
      <c r="G1376" s="29" t="s">
        <v>24</v>
      </c>
      <c r="H1376" s="29" t="s">
        <v>43</v>
      </c>
    </row>
    <row r="1377" customFormat="false" ht="14.25" hidden="false" customHeight="false" outlineLevel="0" collapsed="false">
      <c r="A1377" s="1" t="n">
        <v>2380</v>
      </c>
      <c r="B1377" s="30" t="n">
        <v>43222</v>
      </c>
      <c r="C1377" s="29" t="s">
        <v>21</v>
      </c>
      <c r="D1377" s="62" t="n">
        <v>41</v>
      </c>
      <c r="E1377" s="62" t="n">
        <v>2464.97</v>
      </c>
      <c r="F1377" s="62" t="s">
        <v>3</v>
      </c>
      <c r="G1377" s="29" t="s">
        <v>24</v>
      </c>
      <c r="H1377" s="29" t="s">
        <v>25</v>
      </c>
    </row>
    <row r="1378" customFormat="false" ht="14.25" hidden="false" customHeight="false" outlineLevel="0" collapsed="false">
      <c r="A1378" s="1" t="n">
        <v>2381</v>
      </c>
      <c r="B1378" s="30" t="n">
        <v>43222</v>
      </c>
      <c r="C1378" s="29" t="s">
        <v>21</v>
      </c>
      <c r="D1378" s="62" t="n">
        <v>24</v>
      </c>
      <c r="E1378" s="62" t="n">
        <v>44.78</v>
      </c>
      <c r="F1378" s="62" t="s">
        <v>3</v>
      </c>
      <c r="G1378" s="29" t="s">
        <v>29</v>
      </c>
      <c r="H1378" s="29" t="s">
        <v>30</v>
      </c>
    </row>
    <row r="1379" customFormat="false" ht="14.25" hidden="false" customHeight="false" outlineLevel="0" collapsed="false">
      <c r="A1379" s="1" t="n">
        <v>2382</v>
      </c>
      <c r="B1379" s="30" t="n">
        <v>43256</v>
      </c>
      <c r="C1379" s="29" t="s">
        <v>39</v>
      </c>
      <c r="D1379" s="62" t="n">
        <v>42</v>
      </c>
      <c r="E1379" s="62" t="n">
        <v>969.49</v>
      </c>
      <c r="F1379" s="62" t="s">
        <v>4</v>
      </c>
      <c r="G1379" s="29" t="s">
        <v>29</v>
      </c>
      <c r="H1379" s="29" t="s">
        <v>30</v>
      </c>
    </row>
    <row r="1380" customFormat="false" ht="14.25" hidden="false" customHeight="false" outlineLevel="0" collapsed="false">
      <c r="A1380" s="1" t="n">
        <v>2383</v>
      </c>
      <c r="B1380" s="30" t="n">
        <v>43437</v>
      </c>
      <c r="C1380" s="29" t="s">
        <v>31</v>
      </c>
      <c r="D1380" s="62" t="n">
        <v>40</v>
      </c>
      <c r="E1380" s="62" t="n">
        <v>1110.86</v>
      </c>
      <c r="F1380" s="62" t="s">
        <v>4</v>
      </c>
      <c r="G1380" s="29" t="s">
        <v>29</v>
      </c>
      <c r="H1380" s="29" t="s">
        <v>30</v>
      </c>
    </row>
    <row r="1381" customFormat="false" ht="14.25" hidden="false" customHeight="false" outlineLevel="0" collapsed="false">
      <c r="A1381" s="1" t="n">
        <v>2384</v>
      </c>
      <c r="B1381" s="30" t="n">
        <v>43437</v>
      </c>
      <c r="C1381" s="29" t="s">
        <v>31</v>
      </c>
      <c r="D1381" s="62" t="n">
        <v>5</v>
      </c>
      <c r="E1381" s="62" t="n">
        <v>58.64</v>
      </c>
      <c r="F1381" s="62" t="s">
        <v>4</v>
      </c>
      <c r="G1381" s="29" t="s">
        <v>24</v>
      </c>
      <c r="H1381" s="29" t="s">
        <v>26</v>
      </c>
    </row>
    <row r="1382" customFormat="false" ht="14.25" hidden="false" customHeight="false" outlineLevel="0" collapsed="false">
      <c r="A1382" s="1" t="n">
        <v>2385</v>
      </c>
      <c r="B1382" s="30" t="n">
        <v>43246</v>
      </c>
      <c r="C1382" s="29" t="s">
        <v>31</v>
      </c>
      <c r="D1382" s="62" t="n">
        <v>49</v>
      </c>
      <c r="E1382" s="62" t="n">
        <v>954.02</v>
      </c>
      <c r="F1382" s="62" t="s">
        <v>5</v>
      </c>
      <c r="G1382" s="29" t="s">
        <v>24</v>
      </c>
      <c r="H1382" s="29" t="s">
        <v>25</v>
      </c>
    </row>
    <row r="1383" customFormat="false" ht="14.25" hidden="false" customHeight="false" outlineLevel="0" collapsed="false">
      <c r="A1383" s="1" t="n">
        <v>2386</v>
      </c>
      <c r="B1383" s="30" t="n">
        <v>43246</v>
      </c>
      <c r="C1383" s="29" t="s">
        <v>31</v>
      </c>
      <c r="D1383" s="62" t="n">
        <v>21</v>
      </c>
      <c r="E1383" s="62" t="n">
        <v>62.21</v>
      </c>
      <c r="F1383" s="62" t="s">
        <v>5</v>
      </c>
      <c r="G1383" s="29" t="s">
        <v>29</v>
      </c>
      <c r="H1383" s="29" t="s">
        <v>30</v>
      </c>
    </row>
    <row r="1384" customFormat="false" ht="14.25" hidden="false" customHeight="false" outlineLevel="0" collapsed="false">
      <c r="A1384" s="1" t="n">
        <v>2387</v>
      </c>
      <c r="B1384" s="30" t="n">
        <v>43246</v>
      </c>
      <c r="C1384" s="29" t="s">
        <v>31</v>
      </c>
      <c r="D1384" s="62" t="n">
        <v>48</v>
      </c>
      <c r="E1384" s="62" t="n">
        <v>895.15</v>
      </c>
      <c r="F1384" s="62" t="s">
        <v>5</v>
      </c>
      <c r="G1384" s="29" t="s">
        <v>29</v>
      </c>
      <c r="H1384" s="29" t="s">
        <v>30</v>
      </c>
    </row>
    <row r="1385" customFormat="false" ht="14.25" hidden="false" customHeight="false" outlineLevel="0" collapsed="false">
      <c r="A1385" s="1" t="n">
        <v>2388</v>
      </c>
      <c r="B1385" s="30" t="n">
        <v>43225</v>
      </c>
      <c r="C1385" s="29" t="s">
        <v>39</v>
      </c>
      <c r="D1385" s="62" t="n">
        <v>45</v>
      </c>
      <c r="E1385" s="62" t="n">
        <v>493.32</v>
      </c>
      <c r="F1385" s="62" t="s">
        <v>5</v>
      </c>
      <c r="G1385" s="29" t="s">
        <v>22</v>
      </c>
      <c r="H1385" s="29" t="s">
        <v>23</v>
      </c>
    </row>
    <row r="1386" customFormat="false" ht="14.25" hidden="false" customHeight="false" outlineLevel="0" collapsed="false">
      <c r="A1386" s="1" t="n">
        <v>2389</v>
      </c>
      <c r="B1386" s="30" t="n">
        <v>43241</v>
      </c>
      <c r="C1386" s="29" t="s">
        <v>21</v>
      </c>
      <c r="D1386" s="62" t="n">
        <v>22</v>
      </c>
      <c r="E1386" s="62" t="n">
        <v>905.85</v>
      </c>
      <c r="F1386" s="62" t="s">
        <v>4</v>
      </c>
      <c r="G1386" s="29" t="s">
        <v>22</v>
      </c>
      <c r="H1386" s="29" t="s">
        <v>23</v>
      </c>
    </row>
    <row r="1387" customFormat="false" ht="14.25" hidden="false" customHeight="false" outlineLevel="0" collapsed="false">
      <c r="A1387" s="1" t="n">
        <v>2390</v>
      </c>
      <c r="B1387" s="30" t="n">
        <v>43109</v>
      </c>
      <c r="C1387" s="29" t="s">
        <v>31</v>
      </c>
      <c r="D1387" s="62" t="n">
        <v>8</v>
      </c>
      <c r="E1387" s="62" t="n">
        <v>29600.39</v>
      </c>
      <c r="F1387" s="62" t="s">
        <v>3</v>
      </c>
      <c r="G1387" s="29" t="s">
        <v>24</v>
      </c>
      <c r="H1387" s="29" t="s">
        <v>43</v>
      </c>
    </row>
    <row r="1388" customFormat="false" ht="14.25" hidden="false" customHeight="false" outlineLevel="0" collapsed="false">
      <c r="A1388" s="1" t="n">
        <v>2391</v>
      </c>
      <c r="B1388" s="30" t="n">
        <v>43135</v>
      </c>
      <c r="C1388" s="29" t="s">
        <v>21</v>
      </c>
      <c r="D1388" s="62" t="n">
        <v>43</v>
      </c>
      <c r="E1388" s="62" t="n">
        <v>1672.08</v>
      </c>
      <c r="F1388" s="62" t="s">
        <v>6</v>
      </c>
      <c r="G1388" s="29" t="s">
        <v>29</v>
      </c>
      <c r="H1388" s="29" t="s">
        <v>38</v>
      </c>
    </row>
    <row r="1389" customFormat="false" ht="14.25" hidden="false" customHeight="false" outlineLevel="0" collapsed="false">
      <c r="A1389" s="1" t="n">
        <v>2392</v>
      </c>
      <c r="B1389" s="30" t="n">
        <v>43135</v>
      </c>
      <c r="C1389" s="29" t="s">
        <v>21</v>
      </c>
      <c r="D1389" s="62" t="n">
        <v>17</v>
      </c>
      <c r="E1389" s="62" t="n">
        <v>120.45</v>
      </c>
      <c r="F1389" s="62" t="s">
        <v>6</v>
      </c>
      <c r="G1389" s="29" t="s">
        <v>29</v>
      </c>
      <c r="H1389" s="29" t="s">
        <v>36</v>
      </c>
    </row>
    <row r="1390" customFormat="false" ht="14.25" hidden="false" customHeight="false" outlineLevel="0" collapsed="false">
      <c r="A1390" s="1" t="n">
        <v>2393</v>
      </c>
      <c r="B1390" s="30" t="n">
        <v>43445</v>
      </c>
      <c r="C1390" s="29" t="s">
        <v>37</v>
      </c>
      <c r="D1390" s="62" t="n">
        <v>16</v>
      </c>
      <c r="E1390" s="62" t="n">
        <v>92.34</v>
      </c>
      <c r="F1390" s="62" t="s">
        <v>5</v>
      </c>
      <c r="G1390" s="29" t="s">
        <v>24</v>
      </c>
      <c r="H1390" s="29" t="s">
        <v>26</v>
      </c>
    </row>
    <row r="1391" customFormat="false" ht="14.25" hidden="false" customHeight="false" outlineLevel="0" collapsed="false">
      <c r="A1391" s="1" t="n">
        <v>2394</v>
      </c>
      <c r="B1391" s="30" t="n">
        <v>43445</v>
      </c>
      <c r="C1391" s="29" t="s">
        <v>37</v>
      </c>
      <c r="D1391" s="62" t="n">
        <v>22</v>
      </c>
      <c r="E1391" s="62" t="n">
        <v>390.22</v>
      </c>
      <c r="F1391" s="62" t="s">
        <v>5</v>
      </c>
      <c r="G1391" s="29" t="s">
        <v>29</v>
      </c>
      <c r="H1391" s="29" t="s">
        <v>38</v>
      </c>
    </row>
    <row r="1392" customFormat="false" ht="14.25" hidden="false" customHeight="false" outlineLevel="0" collapsed="false">
      <c r="A1392" s="1" t="n">
        <v>2395</v>
      </c>
      <c r="B1392" s="30" t="n">
        <v>43393</v>
      </c>
      <c r="C1392" s="29" t="s">
        <v>28</v>
      </c>
      <c r="D1392" s="62" t="n">
        <v>25</v>
      </c>
      <c r="E1392" s="62" t="n">
        <v>6934.72</v>
      </c>
      <c r="F1392" s="62" t="s">
        <v>4</v>
      </c>
      <c r="G1392" s="29" t="s">
        <v>22</v>
      </c>
      <c r="H1392" s="29" t="s">
        <v>27</v>
      </c>
    </row>
    <row r="1393" customFormat="false" ht="14.25" hidden="false" customHeight="false" outlineLevel="0" collapsed="false">
      <c r="A1393" s="1" t="n">
        <v>2396</v>
      </c>
      <c r="B1393" s="30" t="n">
        <v>43451</v>
      </c>
      <c r="C1393" s="29" t="s">
        <v>39</v>
      </c>
      <c r="D1393" s="62" t="n">
        <v>35</v>
      </c>
      <c r="E1393" s="62" t="n">
        <v>581.25</v>
      </c>
      <c r="F1393" s="62" t="s">
        <v>4</v>
      </c>
      <c r="G1393" s="29" t="s">
        <v>22</v>
      </c>
      <c r="H1393" s="29" t="s">
        <v>23</v>
      </c>
    </row>
    <row r="1394" customFormat="false" ht="14.25" hidden="false" customHeight="false" outlineLevel="0" collapsed="false">
      <c r="A1394" s="1" t="n">
        <v>2397</v>
      </c>
      <c r="B1394" s="30" t="n">
        <v>43451</v>
      </c>
      <c r="C1394" s="29" t="s">
        <v>39</v>
      </c>
      <c r="D1394" s="62" t="n">
        <v>36</v>
      </c>
      <c r="E1394" s="62" t="n">
        <v>1898.03</v>
      </c>
      <c r="F1394" s="62" t="s">
        <v>4</v>
      </c>
      <c r="G1394" s="29" t="s">
        <v>22</v>
      </c>
      <c r="H1394" s="29" t="s">
        <v>40</v>
      </c>
    </row>
    <row r="1395" customFormat="false" ht="14.25" hidden="false" customHeight="false" outlineLevel="0" collapsed="false">
      <c r="A1395" s="1" t="n">
        <v>2398</v>
      </c>
      <c r="B1395" s="30" t="n">
        <v>43451</v>
      </c>
      <c r="C1395" s="29" t="s">
        <v>39</v>
      </c>
      <c r="D1395" s="62" t="n">
        <v>18</v>
      </c>
      <c r="E1395" s="62" t="n">
        <v>870.87</v>
      </c>
      <c r="F1395" s="62" t="s">
        <v>4</v>
      </c>
      <c r="G1395" s="29" t="s">
        <v>22</v>
      </c>
      <c r="H1395" s="29" t="s">
        <v>23</v>
      </c>
    </row>
    <row r="1396" customFormat="false" ht="14.25" hidden="false" customHeight="false" outlineLevel="0" collapsed="false">
      <c r="A1396" s="1" t="n">
        <v>2399</v>
      </c>
      <c r="B1396" s="30" t="n">
        <v>43109</v>
      </c>
      <c r="C1396" s="29" t="s">
        <v>39</v>
      </c>
      <c r="D1396" s="62" t="n">
        <v>3</v>
      </c>
      <c r="E1396" s="62" t="n">
        <v>34.76</v>
      </c>
      <c r="F1396" s="62" t="s">
        <v>6</v>
      </c>
      <c r="G1396" s="29" t="s">
        <v>29</v>
      </c>
      <c r="H1396" s="29" t="s">
        <v>45</v>
      </c>
    </row>
    <row r="1397" customFormat="false" ht="14.25" hidden="false" customHeight="false" outlineLevel="0" collapsed="false">
      <c r="A1397" s="1" t="n">
        <v>2400</v>
      </c>
      <c r="B1397" s="30" t="n">
        <v>43109</v>
      </c>
      <c r="C1397" s="29" t="s">
        <v>39</v>
      </c>
      <c r="D1397" s="62" t="n">
        <v>26</v>
      </c>
      <c r="E1397" s="62" t="n">
        <v>1598.43</v>
      </c>
      <c r="F1397" s="62" t="s">
        <v>6</v>
      </c>
      <c r="G1397" s="29" t="s">
        <v>24</v>
      </c>
      <c r="H1397" s="29" t="s">
        <v>25</v>
      </c>
    </row>
    <row r="1398" customFormat="false" ht="14.25" hidden="false" customHeight="false" outlineLevel="0" collapsed="false">
      <c r="A1398" s="1" t="n">
        <v>2401</v>
      </c>
      <c r="B1398" s="30" t="n">
        <v>43109</v>
      </c>
      <c r="C1398" s="29" t="s">
        <v>39</v>
      </c>
      <c r="D1398" s="62" t="n">
        <v>36</v>
      </c>
      <c r="E1398" s="62" t="n">
        <v>201.52</v>
      </c>
      <c r="F1398" s="62" t="s">
        <v>6</v>
      </c>
      <c r="G1398" s="29" t="s">
        <v>29</v>
      </c>
      <c r="H1398" s="29" t="s">
        <v>34</v>
      </c>
    </row>
    <row r="1399" customFormat="false" ht="14.25" hidden="false" customHeight="false" outlineLevel="0" collapsed="false">
      <c r="A1399" s="1" t="n">
        <v>2402</v>
      </c>
      <c r="B1399" s="30" t="n">
        <v>43451</v>
      </c>
      <c r="C1399" s="29" t="s">
        <v>31</v>
      </c>
      <c r="D1399" s="62" t="n">
        <v>15</v>
      </c>
      <c r="E1399" s="62" t="n">
        <v>81.77</v>
      </c>
      <c r="F1399" s="62" t="s">
        <v>6</v>
      </c>
      <c r="G1399" s="29" t="s">
        <v>29</v>
      </c>
      <c r="H1399" s="29" t="s">
        <v>36</v>
      </c>
    </row>
    <row r="1400" customFormat="false" ht="14.25" hidden="false" customHeight="false" outlineLevel="0" collapsed="false">
      <c r="A1400" s="1" t="n">
        <v>2403</v>
      </c>
      <c r="B1400" s="30" t="n">
        <v>43444</v>
      </c>
      <c r="C1400" s="29" t="s">
        <v>31</v>
      </c>
      <c r="D1400" s="62" t="n">
        <v>33</v>
      </c>
      <c r="E1400" s="62" t="n">
        <v>73.21</v>
      </c>
      <c r="F1400" s="62" t="s">
        <v>3</v>
      </c>
      <c r="G1400" s="29" t="s">
        <v>29</v>
      </c>
      <c r="H1400" s="29" t="s">
        <v>32</v>
      </c>
    </row>
    <row r="1401" customFormat="false" ht="14.25" hidden="false" customHeight="false" outlineLevel="0" collapsed="false">
      <c r="A1401" s="1" t="n">
        <v>2404</v>
      </c>
      <c r="B1401" s="30" t="n">
        <v>43444</v>
      </c>
      <c r="C1401" s="29" t="s">
        <v>31</v>
      </c>
      <c r="D1401" s="62" t="n">
        <v>36</v>
      </c>
      <c r="E1401" s="62" t="n">
        <v>253.47</v>
      </c>
      <c r="F1401" s="62" t="s">
        <v>3</v>
      </c>
      <c r="G1401" s="29" t="s">
        <v>29</v>
      </c>
      <c r="H1401" s="29" t="s">
        <v>36</v>
      </c>
    </row>
    <row r="1402" customFormat="false" ht="14.25" hidden="false" customHeight="false" outlineLevel="0" collapsed="false">
      <c r="A1402" s="1" t="n">
        <v>2405</v>
      </c>
      <c r="B1402" s="30" t="n">
        <v>43444</v>
      </c>
      <c r="C1402" s="29" t="s">
        <v>31</v>
      </c>
      <c r="D1402" s="62" t="n">
        <v>38</v>
      </c>
      <c r="E1402" s="62" t="n">
        <v>5912.99</v>
      </c>
      <c r="F1402" s="62" t="s">
        <v>3</v>
      </c>
      <c r="G1402" s="29" t="s">
        <v>22</v>
      </c>
      <c r="H1402" s="29" t="s">
        <v>40</v>
      </c>
    </row>
    <row r="1403" customFormat="false" ht="14.25" hidden="false" customHeight="false" outlineLevel="0" collapsed="false">
      <c r="A1403" s="1" t="n">
        <v>2406</v>
      </c>
      <c r="B1403" s="30" t="n">
        <v>43392</v>
      </c>
      <c r="C1403" s="29" t="s">
        <v>31</v>
      </c>
      <c r="D1403" s="62" t="n">
        <v>11</v>
      </c>
      <c r="E1403" s="62" t="n">
        <v>48.48</v>
      </c>
      <c r="F1403" s="62" t="s">
        <v>4</v>
      </c>
      <c r="G1403" s="29" t="s">
        <v>29</v>
      </c>
      <c r="H1403" s="29" t="s">
        <v>36</v>
      </c>
    </row>
    <row r="1404" customFormat="false" ht="14.25" hidden="false" customHeight="false" outlineLevel="0" collapsed="false">
      <c r="A1404" s="1" t="n">
        <v>2407</v>
      </c>
      <c r="B1404" s="30" t="n">
        <v>43179</v>
      </c>
      <c r="C1404" s="29" t="s">
        <v>31</v>
      </c>
      <c r="D1404" s="62" t="n">
        <v>46</v>
      </c>
      <c r="E1404" s="62" t="n">
        <v>118.73</v>
      </c>
      <c r="F1404" s="62" t="s">
        <v>6</v>
      </c>
      <c r="G1404" s="29" t="s">
        <v>29</v>
      </c>
      <c r="H1404" s="29" t="s">
        <v>35</v>
      </c>
    </row>
    <row r="1405" customFormat="false" ht="14.25" hidden="false" customHeight="false" outlineLevel="0" collapsed="false">
      <c r="A1405" s="1" t="n">
        <v>2408</v>
      </c>
      <c r="B1405" s="30" t="n">
        <v>43243</v>
      </c>
      <c r="C1405" s="29" t="s">
        <v>39</v>
      </c>
      <c r="D1405" s="62" t="n">
        <v>28</v>
      </c>
      <c r="E1405" s="62" t="n">
        <v>196.51</v>
      </c>
      <c r="F1405" s="62" t="s">
        <v>5</v>
      </c>
      <c r="G1405" s="29" t="s">
        <v>29</v>
      </c>
      <c r="H1405" s="29" t="s">
        <v>36</v>
      </c>
    </row>
    <row r="1406" customFormat="false" ht="14.25" hidden="false" customHeight="false" outlineLevel="0" collapsed="false">
      <c r="A1406" s="1" t="n">
        <v>2409</v>
      </c>
      <c r="B1406" s="30" t="n">
        <v>43243</v>
      </c>
      <c r="C1406" s="29" t="s">
        <v>39</v>
      </c>
      <c r="D1406" s="62" t="n">
        <v>46</v>
      </c>
      <c r="E1406" s="62" t="n">
        <v>609.81</v>
      </c>
      <c r="F1406" s="62" t="s">
        <v>5</v>
      </c>
      <c r="G1406" s="29" t="s">
        <v>22</v>
      </c>
      <c r="H1406" s="29" t="s">
        <v>23</v>
      </c>
    </row>
    <row r="1407" customFormat="false" ht="14.25" hidden="false" customHeight="false" outlineLevel="0" collapsed="false">
      <c r="A1407" s="1" t="n">
        <v>2410</v>
      </c>
      <c r="B1407" s="30" t="n">
        <v>43345</v>
      </c>
      <c r="C1407" s="29" t="s">
        <v>21</v>
      </c>
      <c r="D1407" s="62" t="n">
        <v>45</v>
      </c>
      <c r="E1407" s="62" t="n">
        <v>544.08</v>
      </c>
      <c r="F1407" s="62" t="s">
        <v>5</v>
      </c>
      <c r="G1407" s="29" t="s">
        <v>22</v>
      </c>
      <c r="H1407" s="29" t="s">
        <v>23</v>
      </c>
    </row>
    <row r="1408" customFormat="false" ht="14.25" hidden="false" customHeight="false" outlineLevel="0" collapsed="false">
      <c r="A1408" s="1" t="n">
        <v>2411</v>
      </c>
      <c r="B1408" s="30" t="n">
        <v>43345</v>
      </c>
      <c r="C1408" s="29" t="s">
        <v>21</v>
      </c>
      <c r="D1408" s="62" t="n">
        <v>23</v>
      </c>
      <c r="E1408" s="62" t="n">
        <v>2457.53</v>
      </c>
      <c r="F1408" s="62" t="s">
        <v>5</v>
      </c>
      <c r="G1408" s="29" t="s">
        <v>24</v>
      </c>
      <c r="H1408" s="29" t="s">
        <v>26</v>
      </c>
    </row>
    <row r="1409" customFormat="false" ht="14.25" hidden="false" customHeight="false" outlineLevel="0" collapsed="false">
      <c r="A1409" s="1" t="n">
        <v>2412</v>
      </c>
      <c r="B1409" s="30" t="n">
        <v>43424</v>
      </c>
      <c r="C1409" s="29" t="s">
        <v>21</v>
      </c>
      <c r="D1409" s="62" t="n">
        <v>33</v>
      </c>
      <c r="E1409" s="62" t="n">
        <v>134.04</v>
      </c>
      <c r="F1409" s="62" t="s">
        <v>5</v>
      </c>
      <c r="G1409" s="29" t="s">
        <v>29</v>
      </c>
      <c r="H1409" s="29" t="s">
        <v>34</v>
      </c>
    </row>
    <row r="1410" customFormat="false" ht="14.25" hidden="false" customHeight="false" outlineLevel="0" collapsed="false">
      <c r="A1410" s="1" t="n">
        <v>2413</v>
      </c>
      <c r="B1410" s="30" t="n">
        <v>43328</v>
      </c>
      <c r="C1410" s="29" t="s">
        <v>28</v>
      </c>
      <c r="D1410" s="62" t="n">
        <v>11</v>
      </c>
      <c r="E1410" s="62" t="n">
        <v>136.23</v>
      </c>
      <c r="F1410" s="62" t="s">
        <v>3</v>
      </c>
      <c r="G1410" s="29" t="s">
        <v>29</v>
      </c>
      <c r="H1410" s="29" t="s">
        <v>34</v>
      </c>
    </row>
    <row r="1411" customFormat="false" ht="14.25" hidden="false" customHeight="false" outlineLevel="0" collapsed="false">
      <c r="A1411" s="1" t="n">
        <v>2414</v>
      </c>
      <c r="B1411" s="30" t="n">
        <v>43224</v>
      </c>
      <c r="C1411" s="29" t="s">
        <v>28</v>
      </c>
      <c r="D1411" s="62" t="n">
        <v>4</v>
      </c>
      <c r="E1411" s="62" t="n">
        <v>1283.29</v>
      </c>
      <c r="F1411" s="62" t="s">
        <v>3</v>
      </c>
      <c r="G1411" s="29" t="s">
        <v>22</v>
      </c>
      <c r="H1411" s="29" t="s">
        <v>27</v>
      </c>
    </row>
    <row r="1412" customFormat="false" ht="14.25" hidden="false" customHeight="false" outlineLevel="0" collapsed="false">
      <c r="A1412" s="1" t="n">
        <v>2415</v>
      </c>
      <c r="B1412" s="30" t="n">
        <v>43375</v>
      </c>
      <c r="C1412" s="29" t="s">
        <v>39</v>
      </c>
      <c r="D1412" s="62" t="n">
        <v>48</v>
      </c>
      <c r="E1412" s="62" t="n">
        <v>1011.73</v>
      </c>
      <c r="F1412" s="62" t="s">
        <v>3</v>
      </c>
      <c r="G1412" s="29" t="s">
        <v>29</v>
      </c>
      <c r="H1412" s="29" t="s">
        <v>36</v>
      </c>
    </row>
    <row r="1413" customFormat="false" ht="14.25" hidden="false" customHeight="false" outlineLevel="0" collapsed="false">
      <c r="A1413" s="1" t="n">
        <v>2416</v>
      </c>
      <c r="B1413" s="30" t="n">
        <v>43453</v>
      </c>
      <c r="C1413" s="29" t="s">
        <v>37</v>
      </c>
      <c r="D1413" s="62" t="n">
        <v>41</v>
      </c>
      <c r="E1413" s="62" t="n">
        <v>266.28</v>
      </c>
      <c r="F1413" s="62" t="s">
        <v>6</v>
      </c>
      <c r="G1413" s="29" t="s">
        <v>29</v>
      </c>
      <c r="H1413" s="29" t="s">
        <v>36</v>
      </c>
    </row>
    <row r="1414" customFormat="false" ht="14.25" hidden="false" customHeight="false" outlineLevel="0" collapsed="false">
      <c r="A1414" s="1" t="n">
        <v>2417</v>
      </c>
      <c r="B1414" s="30" t="n">
        <v>43453</v>
      </c>
      <c r="C1414" s="29" t="s">
        <v>37</v>
      </c>
      <c r="D1414" s="62" t="n">
        <v>42</v>
      </c>
      <c r="E1414" s="62" t="n">
        <v>297.47</v>
      </c>
      <c r="F1414" s="62" t="s">
        <v>6</v>
      </c>
      <c r="G1414" s="29" t="s">
        <v>29</v>
      </c>
      <c r="H1414" s="29" t="s">
        <v>36</v>
      </c>
    </row>
    <row r="1415" customFormat="false" ht="14.25" hidden="false" customHeight="false" outlineLevel="0" collapsed="false">
      <c r="A1415" s="1" t="n">
        <v>2418</v>
      </c>
      <c r="B1415" s="30" t="n">
        <v>43221</v>
      </c>
      <c r="C1415" s="29" t="s">
        <v>37</v>
      </c>
      <c r="D1415" s="62" t="n">
        <v>18</v>
      </c>
      <c r="E1415" s="62" t="n">
        <v>247.23</v>
      </c>
      <c r="F1415" s="62" t="s">
        <v>4</v>
      </c>
      <c r="G1415" s="29" t="s">
        <v>29</v>
      </c>
      <c r="H1415" s="29" t="s">
        <v>38</v>
      </c>
    </row>
    <row r="1416" customFormat="false" ht="14.25" hidden="false" customHeight="false" outlineLevel="0" collapsed="false">
      <c r="A1416" s="1" t="n">
        <v>2419</v>
      </c>
      <c r="B1416" s="30" t="n">
        <v>43218</v>
      </c>
      <c r="C1416" s="29" t="s">
        <v>28</v>
      </c>
      <c r="D1416" s="62" t="n">
        <v>11</v>
      </c>
      <c r="E1416" s="62" t="n">
        <v>5895.95</v>
      </c>
      <c r="F1416" s="62" t="s">
        <v>3</v>
      </c>
      <c r="G1416" s="29" t="s">
        <v>22</v>
      </c>
      <c r="H1416" s="29" t="s">
        <v>40</v>
      </c>
    </row>
    <row r="1417" customFormat="false" ht="14.25" hidden="false" customHeight="false" outlineLevel="0" collapsed="false">
      <c r="A1417" s="1" t="n">
        <v>2420</v>
      </c>
      <c r="B1417" s="30" t="n">
        <v>43218</v>
      </c>
      <c r="C1417" s="29" t="s">
        <v>28</v>
      </c>
      <c r="D1417" s="62" t="n">
        <v>21</v>
      </c>
      <c r="E1417" s="62" t="n">
        <v>189.45</v>
      </c>
      <c r="F1417" s="62" t="s">
        <v>3</v>
      </c>
      <c r="G1417" s="29" t="s">
        <v>29</v>
      </c>
      <c r="H1417" s="29" t="s">
        <v>32</v>
      </c>
    </row>
    <row r="1418" customFormat="false" ht="14.25" hidden="false" customHeight="false" outlineLevel="0" collapsed="false">
      <c r="A1418" s="1" t="n">
        <v>2421</v>
      </c>
      <c r="B1418" s="30" t="n">
        <v>43385</v>
      </c>
      <c r="C1418" s="29" t="s">
        <v>31</v>
      </c>
      <c r="D1418" s="62" t="n">
        <v>26</v>
      </c>
      <c r="E1418" s="62" t="n">
        <v>258.85</v>
      </c>
      <c r="F1418" s="62" t="s">
        <v>6</v>
      </c>
      <c r="G1418" s="29" t="s">
        <v>29</v>
      </c>
      <c r="H1418" s="29" t="s">
        <v>36</v>
      </c>
    </row>
    <row r="1419" customFormat="false" ht="14.25" hidden="false" customHeight="false" outlineLevel="0" collapsed="false">
      <c r="A1419" s="1" t="n">
        <v>2422</v>
      </c>
      <c r="B1419" s="30" t="n">
        <v>43271</v>
      </c>
      <c r="C1419" s="29" t="s">
        <v>37</v>
      </c>
      <c r="D1419" s="62" t="n">
        <v>27</v>
      </c>
      <c r="E1419" s="62" t="n">
        <v>880.29</v>
      </c>
      <c r="F1419" s="62" t="s">
        <v>5</v>
      </c>
      <c r="G1419" s="29" t="s">
        <v>24</v>
      </c>
      <c r="H1419" s="29" t="s">
        <v>26</v>
      </c>
    </row>
    <row r="1420" customFormat="false" ht="14.25" hidden="false" customHeight="false" outlineLevel="0" collapsed="false">
      <c r="A1420" s="1" t="n">
        <v>2423</v>
      </c>
      <c r="B1420" s="30" t="n">
        <v>43288</v>
      </c>
      <c r="C1420" s="29" t="s">
        <v>28</v>
      </c>
      <c r="D1420" s="62" t="n">
        <v>17</v>
      </c>
      <c r="E1420" s="62" t="n">
        <v>144.86</v>
      </c>
      <c r="F1420" s="62" t="s">
        <v>4</v>
      </c>
      <c r="G1420" s="29" t="s">
        <v>29</v>
      </c>
      <c r="H1420" s="29" t="s">
        <v>38</v>
      </c>
    </row>
    <row r="1421" customFormat="false" ht="14.25" hidden="false" customHeight="false" outlineLevel="0" collapsed="false">
      <c r="A1421" s="1" t="n">
        <v>2424</v>
      </c>
      <c r="B1421" s="30" t="n">
        <v>43241</v>
      </c>
      <c r="C1421" s="29" t="s">
        <v>21</v>
      </c>
      <c r="D1421" s="62" t="n">
        <v>46</v>
      </c>
      <c r="E1421" s="62" t="n">
        <v>439.16</v>
      </c>
      <c r="F1421" s="62" t="s">
        <v>4</v>
      </c>
      <c r="G1421" s="29" t="s">
        <v>24</v>
      </c>
      <c r="H1421" s="29" t="s">
        <v>42</v>
      </c>
    </row>
    <row r="1422" customFormat="false" ht="14.25" hidden="false" customHeight="false" outlineLevel="0" collapsed="false">
      <c r="A1422" s="1" t="n">
        <v>2425</v>
      </c>
      <c r="B1422" s="30" t="n">
        <v>43241</v>
      </c>
      <c r="C1422" s="29" t="s">
        <v>21</v>
      </c>
      <c r="D1422" s="62" t="n">
        <v>46</v>
      </c>
      <c r="E1422" s="62" t="n">
        <v>693.64</v>
      </c>
      <c r="F1422" s="62" t="s">
        <v>4</v>
      </c>
      <c r="G1422" s="29" t="s">
        <v>29</v>
      </c>
      <c r="H1422" s="29" t="s">
        <v>34</v>
      </c>
    </row>
    <row r="1423" customFormat="false" ht="14.25" hidden="false" customHeight="false" outlineLevel="0" collapsed="false">
      <c r="A1423" s="1" t="n">
        <v>2426</v>
      </c>
      <c r="B1423" s="30" t="n">
        <v>43241</v>
      </c>
      <c r="C1423" s="29" t="s">
        <v>21</v>
      </c>
      <c r="D1423" s="62" t="n">
        <v>38</v>
      </c>
      <c r="E1423" s="62" t="n">
        <v>501.78</v>
      </c>
      <c r="F1423" s="62" t="s">
        <v>4</v>
      </c>
      <c r="G1423" s="29" t="s">
        <v>29</v>
      </c>
      <c r="H1423" s="29" t="s">
        <v>34</v>
      </c>
    </row>
    <row r="1424" customFormat="false" ht="14.25" hidden="false" customHeight="false" outlineLevel="0" collapsed="false">
      <c r="A1424" s="1" t="n">
        <v>2427</v>
      </c>
      <c r="B1424" s="30" t="n">
        <v>43378</v>
      </c>
      <c r="C1424" s="29" t="s">
        <v>37</v>
      </c>
      <c r="D1424" s="62" t="n">
        <v>7</v>
      </c>
      <c r="E1424" s="62" t="n">
        <v>1223.47</v>
      </c>
      <c r="F1424" s="62" t="s">
        <v>4</v>
      </c>
      <c r="G1424" s="29" t="s">
        <v>24</v>
      </c>
      <c r="H1424" s="29" t="s">
        <v>25</v>
      </c>
    </row>
    <row r="1425" customFormat="false" ht="14.25" hidden="false" customHeight="false" outlineLevel="0" collapsed="false">
      <c r="A1425" s="1" t="n">
        <v>2428</v>
      </c>
      <c r="B1425" s="30" t="n">
        <v>43220</v>
      </c>
      <c r="C1425" s="29" t="s">
        <v>28</v>
      </c>
      <c r="D1425" s="62" t="n">
        <v>29</v>
      </c>
      <c r="E1425" s="62" t="n">
        <v>2964.75</v>
      </c>
      <c r="F1425" s="62" t="s">
        <v>4</v>
      </c>
      <c r="G1425" s="29" t="s">
        <v>22</v>
      </c>
      <c r="H1425" s="29" t="s">
        <v>40</v>
      </c>
    </row>
    <row r="1426" customFormat="false" ht="14.25" hidden="false" customHeight="false" outlineLevel="0" collapsed="false">
      <c r="A1426" s="1" t="n">
        <v>2429</v>
      </c>
      <c r="B1426" s="30" t="n">
        <v>43211</v>
      </c>
      <c r="C1426" s="29" t="s">
        <v>39</v>
      </c>
      <c r="D1426" s="62" t="n">
        <v>50</v>
      </c>
      <c r="E1426" s="62" t="n">
        <v>2608.31</v>
      </c>
      <c r="F1426" s="62" t="s">
        <v>5</v>
      </c>
      <c r="G1426" s="29" t="s">
        <v>22</v>
      </c>
      <c r="H1426" s="29" t="s">
        <v>23</v>
      </c>
    </row>
    <row r="1427" customFormat="false" ht="14.25" hidden="false" customHeight="false" outlineLevel="0" collapsed="false">
      <c r="A1427" s="1" t="n">
        <v>2430</v>
      </c>
      <c r="B1427" s="30" t="n">
        <v>43211</v>
      </c>
      <c r="C1427" s="29" t="s">
        <v>39</v>
      </c>
      <c r="D1427" s="62" t="n">
        <v>43</v>
      </c>
      <c r="E1427" s="62" t="n">
        <v>1539.01</v>
      </c>
      <c r="F1427" s="62" t="s">
        <v>5</v>
      </c>
      <c r="G1427" s="29" t="s">
        <v>29</v>
      </c>
      <c r="H1427" s="29" t="s">
        <v>38</v>
      </c>
    </row>
    <row r="1428" customFormat="false" ht="14.25" hidden="false" customHeight="false" outlineLevel="0" collapsed="false">
      <c r="A1428" s="1" t="n">
        <v>2431</v>
      </c>
      <c r="B1428" s="30" t="n">
        <v>43136</v>
      </c>
      <c r="C1428" s="29" t="s">
        <v>21</v>
      </c>
      <c r="D1428" s="62" t="n">
        <v>1</v>
      </c>
      <c r="E1428" s="62" t="n">
        <v>3700.05</v>
      </c>
      <c r="F1428" s="62" t="s">
        <v>4</v>
      </c>
      <c r="G1428" s="29" t="s">
        <v>24</v>
      </c>
      <c r="H1428" s="29" t="s">
        <v>43</v>
      </c>
    </row>
    <row r="1429" customFormat="false" ht="14.25" hidden="false" customHeight="false" outlineLevel="0" collapsed="false">
      <c r="A1429" s="1" t="n">
        <v>2432</v>
      </c>
      <c r="B1429" s="30" t="n">
        <v>43136</v>
      </c>
      <c r="C1429" s="29" t="s">
        <v>21</v>
      </c>
      <c r="D1429" s="62" t="n">
        <v>3</v>
      </c>
      <c r="E1429" s="62" t="n">
        <v>22.48</v>
      </c>
      <c r="F1429" s="62" t="s">
        <v>4</v>
      </c>
      <c r="G1429" s="29" t="s">
        <v>29</v>
      </c>
      <c r="H1429" s="29" t="s">
        <v>36</v>
      </c>
    </row>
    <row r="1430" customFormat="false" ht="14.25" hidden="false" customHeight="false" outlineLevel="0" collapsed="false">
      <c r="A1430" s="1" t="n">
        <v>2433</v>
      </c>
      <c r="B1430" s="30" t="n">
        <v>43354</v>
      </c>
      <c r="C1430" s="29" t="s">
        <v>21</v>
      </c>
      <c r="D1430" s="62" t="n">
        <v>27</v>
      </c>
      <c r="E1430" s="62" t="n">
        <v>5053.43</v>
      </c>
      <c r="F1430" s="62" t="s">
        <v>3</v>
      </c>
      <c r="G1430" s="29" t="s">
        <v>29</v>
      </c>
      <c r="H1430" s="29" t="s">
        <v>34</v>
      </c>
    </row>
    <row r="1431" customFormat="false" ht="14.25" hidden="false" customHeight="false" outlineLevel="0" collapsed="false">
      <c r="A1431" s="1" t="n">
        <v>2434</v>
      </c>
      <c r="B1431" s="30" t="n">
        <v>43156</v>
      </c>
      <c r="C1431" s="29" t="s">
        <v>21</v>
      </c>
      <c r="D1431" s="62" t="n">
        <v>40</v>
      </c>
      <c r="E1431" s="62" t="n">
        <v>6493.88</v>
      </c>
      <c r="F1431" s="62" t="s">
        <v>3</v>
      </c>
      <c r="G1431" s="29" t="s">
        <v>29</v>
      </c>
      <c r="H1431" s="29" t="s">
        <v>38</v>
      </c>
    </row>
    <row r="1432" customFormat="false" ht="14.25" hidden="false" customHeight="false" outlineLevel="0" collapsed="false">
      <c r="A1432" s="1" t="n">
        <v>2435</v>
      </c>
      <c r="B1432" s="30" t="n">
        <v>43174</v>
      </c>
      <c r="C1432" s="29" t="s">
        <v>28</v>
      </c>
      <c r="D1432" s="62" t="n">
        <v>14</v>
      </c>
      <c r="E1432" s="62" t="n">
        <v>289.17</v>
      </c>
      <c r="F1432" s="62" t="s">
        <v>5</v>
      </c>
      <c r="G1432" s="29" t="s">
        <v>29</v>
      </c>
      <c r="H1432" s="29" t="s">
        <v>34</v>
      </c>
    </row>
    <row r="1433" customFormat="false" ht="14.25" hidden="false" customHeight="false" outlineLevel="0" collapsed="false">
      <c r="A1433" s="1" t="n">
        <v>2436</v>
      </c>
      <c r="B1433" s="30" t="n">
        <v>43235</v>
      </c>
      <c r="C1433" s="29" t="s">
        <v>31</v>
      </c>
      <c r="D1433" s="62" t="n">
        <v>17</v>
      </c>
      <c r="E1433" s="62" t="n">
        <v>1463.91</v>
      </c>
      <c r="F1433" s="62" t="s">
        <v>5</v>
      </c>
      <c r="G1433" s="29" t="s">
        <v>29</v>
      </c>
      <c r="H1433" s="29" t="s">
        <v>41</v>
      </c>
    </row>
    <row r="1434" customFormat="false" ht="14.25" hidden="false" customHeight="false" outlineLevel="0" collapsed="false">
      <c r="A1434" s="1" t="n">
        <v>2437</v>
      </c>
      <c r="B1434" s="30" t="n">
        <v>43290</v>
      </c>
      <c r="C1434" s="29" t="s">
        <v>28</v>
      </c>
      <c r="D1434" s="62" t="n">
        <v>33</v>
      </c>
      <c r="E1434" s="62" t="n">
        <v>6381.68</v>
      </c>
      <c r="F1434" s="62" t="s">
        <v>3</v>
      </c>
      <c r="G1434" s="29" t="s">
        <v>24</v>
      </c>
      <c r="H1434" s="29" t="s">
        <v>43</v>
      </c>
    </row>
    <row r="1435" customFormat="false" ht="14.25" hidden="false" customHeight="false" outlineLevel="0" collapsed="false">
      <c r="A1435" s="1" t="n">
        <v>2438</v>
      </c>
      <c r="B1435" s="30" t="n">
        <v>43290</v>
      </c>
      <c r="C1435" s="29" t="s">
        <v>28</v>
      </c>
      <c r="D1435" s="62" t="n">
        <v>15</v>
      </c>
      <c r="E1435" s="62" t="n">
        <v>116.84</v>
      </c>
      <c r="F1435" s="62" t="s">
        <v>3</v>
      </c>
      <c r="G1435" s="29" t="s">
        <v>29</v>
      </c>
      <c r="H1435" s="29" t="s">
        <v>36</v>
      </c>
    </row>
    <row r="1436" customFormat="false" ht="14.25" hidden="false" customHeight="false" outlineLevel="0" collapsed="false">
      <c r="A1436" s="1" t="n">
        <v>2439</v>
      </c>
      <c r="B1436" s="30" t="n">
        <v>43334</v>
      </c>
      <c r="C1436" s="29" t="s">
        <v>39</v>
      </c>
      <c r="D1436" s="62" t="n">
        <v>39</v>
      </c>
      <c r="E1436" s="62" t="n">
        <v>7370.87</v>
      </c>
      <c r="F1436" s="62" t="s">
        <v>4</v>
      </c>
      <c r="G1436" s="29" t="s">
        <v>24</v>
      </c>
      <c r="H1436" s="29" t="s">
        <v>25</v>
      </c>
    </row>
    <row r="1437" customFormat="false" ht="14.25" hidden="false" customHeight="false" outlineLevel="0" collapsed="false">
      <c r="A1437" s="1" t="n">
        <v>2440</v>
      </c>
      <c r="B1437" s="30" t="n">
        <v>43334</v>
      </c>
      <c r="C1437" s="29" t="s">
        <v>39</v>
      </c>
      <c r="D1437" s="62" t="n">
        <v>43</v>
      </c>
      <c r="E1437" s="62" t="n">
        <v>771.06</v>
      </c>
      <c r="F1437" s="62" t="s">
        <v>4</v>
      </c>
      <c r="G1437" s="29" t="s">
        <v>24</v>
      </c>
      <c r="H1437" s="29" t="s">
        <v>25</v>
      </c>
    </row>
    <row r="1438" customFormat="false" ht="14.25" hidden="false" customHeight="false" outlineLevel="0" collapsed="false">
      <c r="A1438" s="1" t="n">
        <v>2441</v>
      </c>
      <c r="B1438" s="30" t="n">
        <v>43334</v>
      </c>
      <c r="C1438" s="29" t="s">
        <v>39</v>
      </c>
      <c r="D1438" s="62" t="n">
        <v>4</v>
      </c>
      <c r="E1438" s="62" t="n">
        <v>9.49</v>
      </c>
      <c r="F1438" s="62" t="s">
        <v>4</v>
      </c>
      <c r="G1438" s="29" t="s">
        <v>29</v>
      </c>
      <c r="H1438" s="29" t="s">
        <v>30</v>
      </c>
    </row>
    <row r="1439" customFormat="false" ht="14.25" hidden="false" customHeight="false" outlineLevel="0" collapsed="false">
      <c r="A1439" s="1" t="n">
        <v>2442</v>
      </c>
      <c r="B1439" s="30" t="n">
        <v>43347</v>
      </c>
      <c r="C1439" s="29" t="s">
        <v>31</v>
      </c>
      <c r="D1439" s="62" t="n">
        <v>35</v>
      </c>
      <c r="E1439" s="62" t="n">
        <v>13811.99</v>
      </c>
      <c r="F1439" s="62" t="s">
        <v>5</v>
      </c>
      <c r="G1439" s="29" t="s">
        <v>22</v>
      </c>
      <c r="H1439" s="29" t="s">
        <v>40</v>
      </c>
    </row>
    <row r="1440" customFormat="false" ht="14.25" hidden="false" customHeight="false" outlineLevel="0" collapsed="false">
      <c r="A1440" s="1" t="n">
        <v>2443</v>
      </c>
      <c r="B1440" s="30" t="n">
        <v>43231</v>
      </c>
      <c r="C1440" s="29" t="s">
        <v>31</v>
      </c>
      <c r="D1440" s="62" t="n">
        <v>35</v>
      </c>
      <c r="E1440" s="62" t="n">
        <v>2279.43</v>
      </c>
      <c r="F1440" s="62" t="s">
        <v>4</v>
      </c>
      <c r="G1440" s="29" t="s">
        <v>22</v>
      </c>
      <c r="H1440" s="29" t="s">
        <v>40</v>
      </c>
    </row>
    <row r="1441" customFormat="false" ht="14.25" hidden="false" customHeight="false" outlineLevel="0" collapsed="false">
      <c r="A1441" s="1" t="n">
        <v>2444</v>
      </c>
      <c r="B1441" s="30" t="n">
        <v>43213</v>
      </c>
      <c r="C1441" s="29" t="s">
        <v>28</v>
      </c>
      <c r="D1441" s="62" t="n">
        <v>10</v>
      </c>
      <c r="E1441" s="62" t="n">
        <v>1712.91</v>
      </c>
      <c r="F1441" s="62" t="s">
        <v>4</v>
      </c>
      <c r="G1441" s="29" t="s">
        <v>22</v>
      </c>
      <c r="H1441" s="29" t="s">
        <v>27</v>
      </c>
    </row>
    <row r="1442" customFormat="false" ht="14.25" hidden="false" customHeight="false" outlineLevel="0" collapsed="false">
      <c r="A1442" s="1" t="n">
        <v>2445</v>
      </c>
      <c r="B1442" s="30" t="n">
        <v>43329</v>
      </c>
      <c r="C1442" s="29" t="s">
        <v>28</v>
      </c>
      <c r="D1442" s="62" t="n">
        <v>34</v>
      </c>
      <c r="E1442" s="62" t="n">
        <v>826.64</v>
      </c>
      <c r="F1442" s="62" t="s">
        <v>5</v>
      </c>
      <c r="G1442" s="29" t="s">
        <v>29</v>
      </c>
      <c r="H1442" s="29" t="s">
        <v>41</v>
      </c>
    </row>
    <row r="1443" customFormat="false" ht="14.25" hidden="false" customHeight="false" outlineLevel="0" collapsed="false">
      <c r="A1443" s="1" t="n">
        <v>2446</v>
      </c>
      <c r="B1443" s="30" t="n">
        <v>43410</v>
      </c>
      <c r="C1443" s="29" t="s">
        <v>31</v>
      </c>
      <c r="D1443" s="62" t="n">
        <v>26</v>
      </c>
      <c r="E1443" s="62" t="n">
        <v>14879.29</v>
      </c>
      <c r="F1443" s="62" t="s">
        <v>3</v>
      </c>
      <c r="G1443" s="29" t="s">
        <v>24</v>
      </c>
      <c r="H1443" s="29" t="s">
        <v>42</v>
      </c>
    </row>
    <row r="1444" customFormat="false" ht="14.25" hidden="false" customHeight="false" outlineLevel="0" collapsed="false">
      <c r="A1444" s="1" t="n">
        <v>2447</v>
      </c>
      <c r="B1444" s="30" t="n">
        <v>43226</v>
      </c>
      <c r="C1444" s="29" t="s">
        <v>37</v>
      </c>
      <c r="D1444" s="62" t="n">
        <v>16</v>
      </c>
      <c r="E1444" s="62" t="n">
        <v>1405.59</v>
      </c>
      <c r="F1444" s="62" t="s">
        <v>4</v>
      </c>
      <c r="G1444" s="29" t="s">
        <v>24</v>
      </c>
      <c r="H1444" s="29" t="s">
        <v>26</v>
      </c>
    </row>
    <row r="1445" customFormat="false" ht="14.25" hidden="false" customHeight="false" outlineLevel="0" collapsed="false">
      <c r="A1445" s="1" t="n">
        <v>2448</v>
      </c>
      <c r="B1445" s="30" t="n">
        <v>43105</v>
      </c>
      <c r="C1445" s="29" t="s">
        <v>39</v>
      </c>
      <c r="D1445" s="62" t="n">
        <v>16</v>
      </c>
      <c r="E1445" s="62" t="n">
        <v>116.34</v>
      </c>
      <c r="F1445" s="62" t="s">
        <v>6</v>
      </c>
      <c r="G1445" s="29" t="s">
        <v>22</v>
      </c>
      <c r="H1445" s="29" t="s">
        <v>23</v>
      </c>
    </row>
    <row r="1446" customFormat="false" ht="14.25" hidden="false" customHeight="false" outlineLevel="0" collapsed="false">
      <c r="A1446" s="1" t="n">
        <v>2449</v>
      </c>
      <c r="B1446" s="30" t="n">
        <v>43108</v>
      </c>
      <c r="C1446" s="29" t="s">
        <v>37</v>
      </c>
      <c r="D1446" s="62" t="n">
        <v>40</v>
      </c>
      <c r="E1446" s="62" t="n">
        <v>210.9</v>
      </c>
      <c r="F1446" s="62" t="s">
        <v>4</v>
      </c>
      <c r="G1446" s="29" t="s">
        <v>29</v>
      </c>
      <c r="H1446" s="29" t="s">
        <v>34</v>
      </c>
    </row>
    <row r="1447" customFormat="false" ht="14.25" hidden="false" customHeight="false" outlineLevel="0" collapsed="false">
      <c r="A1447" s="1" t="n">
        <v>2450</v>
      </c>
      <c r="B1447" s="30" t="n">
        <v>43108</v>
      </c>
      <c r="C1447" s="29" t="s">
        <v>37</v>
      </c>
      <c r="D1447" s="62" t="n">
        <v>47</v>
      </c>
      <c r="E1447" s="62" t="n">
        <v>213.44</v>
      </c>
      <c r="F1447" s="62" t="s">
        <v>4</v>
      </c>
      <c r="G1447" s="29" t="s">
        <v>29</v>
      </c>
      <c r="H1447" s="29" t="s">
        <v>36</v>
      </c>
    </row>
    <row r="1448" customFormat="false" ht="14.25" hidden="false" customHeight="false" outlineLevel="0" collapsed="false">
      <c r="A1448" s="1" t="n">
        <v>2451</v>
      </c>
      <c r="B1448" s="30" t="n">
        <v>43440</v>
      </c>
      <c r="C1448" s="29" t="s">
        <v>31</v>
      </c>
      <c r="D1448" s="62" t="n">
        <v>40</v>
      </c>
      <c r="E1448" s="62" t="n">
        <v>778.57</v>
      </c>
      <c r="F1448" s="62" t="s">
        <v>4</v>
      </c>
      <c r="G1448" s="29" t="s">
        <v>24</v>
      </c>
      <c r="H1448" s="29" t="s">
        <v>42</v>
      </c>
    </row>
    <row r="1449" customFormat="false" ht="14.25" hidden="false" customHeight="false" outlineLevel="0" collapsed="false">
      <c r="A1449" s="1" t="n">
        <v>2452</v>
      </c>
      <c r="B1449" s="30" t="n">
        <v>43440</v>
      </c>
      <c r="C1449" s="29" t="s">
        <v>31</v>
      </c>
      <c r="D1449" s="62" t="n">
        <v>16</v>
      </c>
      <c r="E1449" s="62" t="n">
        <v>2990.65</v>
      </c>
      <c r="F1449" s="62" t="s">
        <v>4</v>
      </c>
      <c r="G1449" s="29" t="s">
        <v>24</v>
      </c>
      <c r="H1449" s="29" t="s">
        <v>25</v>
      </c>
    </row>
    <row r="1450" customFormat="false" ht="14.25" hidden="false" customHeight="false" outlineLevel="0" collapsed="false">
      <c r="A1450" s="1" t="n">
        <v>2453</v>
      </c>
      <c r="B1450" s="30" t="n">
        <v>43440</v>
      </c>
      <c r="C1450" s="29" t="s">
        <v>31</v>
      </c>
      <c r="D1450" s="62" t="n">
        <v>17</v>
      </c>
      <c r="E1450" s="62" t="n">
        <v>2754.09</v>
      </c>
      <c r="F1450" s="62" t="s">
        <v>4</v>
      </c>
      <c r="G1450" s="29" t="s">
        <v>22</v>
      </c>
      <c r="H1450" s="29" t="s">
        <v>40</v>
      </c>
    </row>
    <row r="1451" customFormat="false" ht="14.25" hidden="false" customHeight="false" outlineLevel="0" collapsed="false">
      <c r="A1451" s="1" t="n">
        <v>2454</v>
      </c>
      <c r="B1451" s="30" t="n">
        <v>43440</v>
      </c>
      <c r="C1451" s="29" t="s">
        <v>31</v>
      </c>
      <c r="D1451" s="62" t="n">
        <v>24</v>
      </c>
      <c r="E1451" s="62" t="n">
        <v>408.94</v>
      </c>
      <c r="F1451" s="62" t="s">
        <v>4</v>
      </c>
      <c r="G1451" s="29" t="s">
        <v>29</v>
      </c>
      <c r="H1451" s="29" t="s">
        <v>41</v>
      </c>
    </row>
    <row r="1452" customFormat="false" ht="14.25" hidden="false" customHeight="false" outlineLevel="0" collapsed="false">
      <c r="A1452" s="1" t="n">
        <v>2455</v>
      </c>
      <c r="B1452" s="30" t="n">
        <v>43440</v>
      </c>
      <c r="C1452" s="29" t="s">
        <v>31</v>
      </c>
      <c r="D1452" s="62" t="n">
        <v>25</v>
      </c>
      <c r="E1452" s="62" t="n">
        <v>2744.1</v>
      </c>
      <c r="F1452" s="62" t="s">
        <v>4</v>
      </c>
      <c r="G1452" s="29" t="s">
        <v>24</v>
      </c>
      <c r="H1452" s="29" t="s">
        <v>25</v>
      </c>
    </row>
    <row r="1453" customFormat="false" ht="14.25" hidden="false" customHeight="false" outlineLevel="0" collapsed="false">
      <c r="A1453" s="1" t="n">
        <v>2456</v>
      </c>
      <c r="B1453" s="30" t="n">
        <v>43420</v>
      </c>
      <c r="C1453" s="29" t="s">
        <v>39</v>
      </c>
      <c r="D1453" s="62" t="n">
        <v>38</v>
      </c>
      <c r="E1453" s="62" t="n">
        <v>216.59</v>
      </c>
      <c r="F1453" s="62" t="s">
        <v>5</v>
      </c>
      <c r="G1453" s="29" t="s">
        <v>29</v>
      </c>
      <c r="H1453" s="29" t="s">
        <v>34</v>
      </c>
    </row>
    <row r="1454" customFormat="false" ht="14.25" hidden="false" customHeight="false" outlineLevel="0" collapsed="false">
      <c r="A1454" s="1" t="n">
        <v>2457</v>
      </c>
      <c r="B1454" s="30" t="n">
        <v>43249</v>
      </c>
      <c r="C1454" s="29" t="s">
        <v>37</v>
      </c>
      <c r="D1454" s="62" t="n">
        <v>50</v>
      </c>
      <c r="E1454" s="62" t="n">
        <v>301.54</v>
      </c>
      <c r="F1454" s="62" t="s">
        <v>3</v>
      </c>
      <c r="G1454" s="29" t="s">
        <v>29</v>
      </c>
      <c r="H1454" s="29" t="s">
        <v>30</v>
      </c>
    </row>
    <row r="1455" customFormat="false" ht="14.25" hidden="false" customHeight="false" outlineLevel="0" collapsed="false">
      <c r="A1455" s="1" t="n">
        <v>2458</v>
      </c>
      <c r="B1455" s="30" t="n">
        <v>43103</v>
      </c>
      <c r="C1455" s="29" t="s">
        <v>31</v>
      </c>
      <c r="D1455" s="62" t="n">
        <v>35</v>
      </c>
      <c r="E1455" s="62" t="n">
        <v>669.76</v>
      </c>
      <c r="F1455" s="62" t="s">
        <v>5</v>
      </c>
      <c r="G1455" s="29" t="s">
        <v>24</v>
      </c>
      <c r="H1455" s="29" t="s">
        <v>25</v>
      </c>
    </row>
    <row r="1456" customFormat="false" ht="14.25" hidden="false" customHeight="false" outlineLevel="0" collapsed="false">
      <c r="A1456" s="1" t="n">
        <v>2459</v>
      </c>
      <c r="B1456" s="30" t="n">
        <v>43422</v>
      </c>
      <c r="C1456" s="29" t="s">
        <v>39</v>
      </c>
      <c r="D1456" s="62" t="n">
        <v>39</v>
      </c>
      <c r="E1456" s="62" t="n">
        <v>322.46</v>
      </c>
      <c r="F1456" s="62" t="s">
        <v>4</v>
      </c>
      <c r="G1456" s="29" t="s">
        <v>29</v>
      </c>
      <c r="H1456" s="29" t="s">
        <v>36</v>
      </c>
    </row>
    <row r="1457" customFormat="false" ht="14.25" hidden="false" customHeight="false" outlineLevel="0" collapsed="false">
      <c r="A1457" s="1" t="n">
        <v>2460</v>
      </c>
      <c r="B1457" s="30" t="n">
        <v>43422</v>
      </c>
      <c r="C1457" s="29" t="s">
        <v>39</v>
      </c>
      <c r="D1457" s="62" t="n">
        <v>49</v>
      </c>
      <c r="E1457" s="62" t="n">
        <v>2021.27</v>
      </c>
      <c r="F1457" s="62" t="s">
        <v>4</v>
      </c>
      <c r="G1457" s="29" t="s">
        <v>29</v>
      </c>
      <c r="H1457" s="29" t="s">
        <v>30</v>
      </c>
    </row>
    <row r="1458" customFormat="false" ht="14.25" hidden="false" customHeight="false" outlineLevel="0" collapsed="false">
      <c r="A1458" s="1" t="n">
        <v>2461</v>
      </c>
      <c r="B1458" s="30" t="n">
        <v>43422</v>
      </c>
      <c r="C1458" s="29" t="s">
        <v>39</v>
      </c>
      <c r="D1458" s="62" t="n">
        <v>17</v>
      </c>
      <c r="E1458" s="62" t="n">
        <v>122.28</v>
      </c>
      <c r="F1458" s="62" t="s">
        <v>4</v>
      </c>
      <c r="G1458" s="29" t="s">
        <v>29</v>
      </c>
      <c r="H1458" s="29" t="s">
        <v>36</v>
      </c>
    </row>
    <row r="1459" customFormat="false" ht="14.25" hidden="false" customHeight="false" outlineLevel="0" collapsed="false">
      <c r="A1459" s="1" t="n">
        <v>2462</v>
      </c>
      <c r="B1459" s="30" t="n">
        <v>43264</v>
      </c>
      <c r="C1459" s="29" t="s">
        <v>28</v>
      </c>
      <c r="D1459" s="62" t="n">
        <v>1</v>
      </c>
      <c r="E1459" s="62" t="n">
        <v>11.21</v>
      </c>
      <c r="F1459" s="62" t="s">
        <v>4</v>
      </c>
      <c r="G1459" s="29" t="s">
        <v>29</v>
      </c>
      <c r="H1459" s="29" t="s">
        <v>36</v>
      </c>
    </row>
    <row r="1460" customFormat="false" ht="14.25" hidden="false" customHeight="false" outlineLevel="0" collapsed="false">
      <c r="A1460" s="1" t="n">
        <v>2463</v>
      </c>
      <c r="B1460" s="30" t="n">
        <v>43384</v>
      </c>
      <c r="C1460" s="29" t="s">
        <v>28</v>
      </c>
      <c r="D1460" s="62" t="n">
        <v>15</v>
      </c>
      <c r="E1460" s="62" t="n">
        <v>642.86</v>
      </c>
      <c r="F1460" s="62" t="s">
        <v>5</v>
      </c>
      <c r="G1460" s="29" t="s">
        <v>29</v>
      </c>
      <c r="H1460" s="29" t="s">
        <v>38</v>
      </c>
    </row>
    <row r="1461" customFormat="false" ht="14.25" hidden="false" customHeight="false" outlineLevel="0" collapsed="false">
      <c r="A1461" s="1" t="n">
        <v>2464</v>
      </c>
      <c r="B1461" s="30" t="n">
        <v>43353</v>
      </c>
      <c r="C1461" s="29" t="s">
        <v>39</v>
      </c>
      <c r="D1461" s="62" t="n">
        <v>4</v>
      </c>
      <c r="E1461" s="62" t="n">
        <v>13.36</v>
      </c>
      <c r="F1461" s="62" t="s">
        <v>5</v>
      </c>
      <c r="G1461" s="29" t="s">
        <v>29</v>
      </c>
      <c r="H1461" s="29" t="s">
        <v>34</v>
      </c>
    </row>
    <row r="1462" customFormat="false" ht="14.25" hidden="false" customHeight="false" outlineLevel="0" collapsed="false">
      <c r="A1462" s="1" t="n">
        <v>2465</v>
      </c>
      <c r="B1462" s="30" t="n">
        <v>43353</v>
      </c>
      <c r="C1462" s="29" t="s">
        <v>31</v>
      </c>
      <c r="D1462" s="62" t="n">
        <v>4</v>
      </c>
      <c r="E1462" s="62" t="n">
        <v>111.17</v>
      </c>
      <c r="F1462" s="62" t="s">
        <v>5</v>
      </c>
      <c r="G1462" s="29" t="s">
        <v>22</v>
      </c>
      <c r="H1462" s="29" t="s">
        <v>23</v>
      </c>
    </row>
    <row r="1463" customFormat="false" ht="14.25" hidden="false" customHeight="false" outlineLevel="0" collapsed="false">
      <c r="A1463" s="1" t="n">
        <v>2466</v>
      </c>
      <c r="B1463" s="30" t="n">
        <v>43442</v>
      </c>
      <c r="C1463" s="29" t="s">
        <v>28</v>
      </c>
      <c r="D1463" s="62" t="n">
        <v>50</v>
      </c>
      <c r="E1463" s="62" t="n">
        <v>353.39</v>
      </c>
      <c r="F1463" s="62" t="s">
        <v>5</v>
      </c>
      <c r="G1463" s="29" t="s">
        <v>29</v>
      </c>
      <c r="H1463" s="29" t="s">
        <v>36</v>
      </c>
    </row>
    <row r="1464" customFormat="false" ht="14.25" hidden="false" customHeight="false" outlineLevel="0" collapsed="false">
      <c r="A1464" s="1" t="n">
        <v>2467</v>
      </c>
      <c r="B1464" s="30" t="n">
        <v>43279</v>
      </c>
      <c r="C1464" s="29" t="s">
        <v>31</v>
      </c>
      <c r="D1464" s="62" t="n">
        <v>17</v>
      </c>
      <c r="E1464" s="62" t="n">
        <v>62.02</v>
      </c>
      <c r="F1464" s="62" t="s">
        <v>6</v>
      </c>
      <c r="G1464" s="29" t="s">
        <v>29</v>
      </c>
      <c r="H1464" s="29" t="s">
        <v>30</v>
      </c>
    </row>
    <row r="1465" customFormat="false" ht="14.25" hidden="false" customHeight="false" outlineLevel="0" collapsed="false">
      <c r="A1465" s="1" t="n">
        <v>2468</v>
      </c>
      <c r="B1465" s="30" t="n">
        <v>43253</v>
      </c>
      <c r="C1465" s="29" t="s">
        <v>28</v>
      </c>
      <c r="D1465" s="62" t="n">
        <v>19</v>
      </c>
      <c r="E1465" s="62" t="n">
        <v>4169.14</v>
      </c>
      <c r="F1465" s="62" t="s">
        <v>6</v>
      </c>
      <c r="G1465" s="29" t="s">
        <v>22</v>
      </c>
      <c r="H1465" s="29" t="s">
        <v>40</v>
      </c>
    </row>
    <row r="1466" customFormat="false" ht="14.25" hidden="false" customHeight="false" outlineLevel="0" collapsed="false">
      <c r="A1466" s="1" t="n">
        <v>2469</v>
      </c>
      <c r="B1466" s="30" t="n">
        <v>43268</v>
      </c>
      <c r="C1466" s="29" t="s">
        <v>39</v>
      </c>
      <c r="D1466" s="62" t="n">
        <v>28</v>
      </c>
      <c r="E1466" s="62" t="n">
        <v>562.18</v>
      </c>
      <c r="F1466" s="62" t="s">
        <v>6</v>
      </c>
      <c r="G1466" s="29" t="s">
        <v>29</v>
      </c>
      <c r="H1466" s="29" t="s">
        <v>30</v>
      </c>
    </row>
    <row r="1467" customFormat="false" ht="14.25" hidden="false" customHeight="false" outlineLevel="0" collapsed="false">
      <c r="A1467" s="1" t="n">
        <v>2470</v>
      </c>
      <c r="B1467" s="30" t="n">
        <v>43268</v>
      </c>
      <c r="C1467" s="29" t="s">
        <v>39</v>
      </c>
      <c r="D1467" s="62" t="n">
        <v>37</v>
      </c>
      <c r="E1467" s="62" t="n">
        <v>66.09</v>
      </c>
      <c r="F1467" s="62" t="s">
        <v>6</v>
      </c>
      <c r="G1467" s="29" t="s">
        <v>29</v>
      </c>
      <c r="H1467" s="29" t="s">
        <v>33</v>
      </c>
    </row>
    <row r="1468" customFormat="false" ht="14.25" hidden="false" customHeight="false" outlineLevel="0" collapsed="false">
      <c r="A1468" s="1" t="n">
        <v>2471</v>
      </c>
      <c r="B1468" s="30" t="n">
        <v>43168</v>
      </c>
      <c r="C1468" s="29" t="s">
        <v>21</v>
      </c>
      <c r="D1468" s="62" t="n">
        <v>31</v>
      </c>
      <c r="E1468" s="62" t="n">
        <v>136.85</v>
      </c>
      <c r="F1468" s="62" t="s">
        <v>3</v>
      </c>
      <c r="G1468" s="29" t="s">
        <v>29</v>
      </c>
      <c r="H1468" s="29" t="s">
        <v>35</v>
      </c>
    </row>
    <row r="1469" customFormat="false" ht="14.25" hidden="false" customHeight="false" outlineLevel="0" collapsed="false">
      <c r="A1469" s="1" t="n">
        <v>2472</v>
      </c>
      <c r="B1469" s="30" t="n">
        <v>43171</v>
      </c>
      <c r="C1469" s="29" t="s">
        <v>21</v>
      </c>
      <c r="D1469" s="62" t="n">
        <v>6</v>
      </c>
      <c r="E1469" s="62" t="n">
        <v>458.73</v>
      </c>
      <c r="F1469" s="62" t="s">
        <v>4</v>
      </c>
      <c r="G1469" s="29" t="s">
        <v>24</v>
      </c>
      <c r="H1469" s="29" t="s">
        <v>25</v>
      </c>
    </row>
    <row r="1470" customFormat="false" ht="14.25" hidden="false" customHeight="false" outlineLevel="0" collapsed="false">
      <c r="A1470" s="1" t="n">
        <v>2473</v>
      </c>
      <c r="B1470" s="30" t="n">
        <v>43222</v>
      </c>
      <c r="C1470" s="29" t="s">
        <v>31</v>
      </c>
      <c r="D1470" s="62" t="n">
        <v>27</v>
      </c>
      <c r="E1470" s="62" t="n">
        <v>101.07</v>
      </c>
      <c r="F1470" s="62" t="s">
        <v>5</v>
      </c>
      <c r="G1470" s="29" t="s">
        <v>29</v>
      </c>
      <c r="H1470" s="29" t="s">
        <v>30</v>
      </c>
    </row>
    <row r="1471" customFormat="false" ht="14.25" hidden="false" customHeight="false" outlineLevel="0" collapsed="false">
      <c r="A1471" s="1" t="n">
        <v>2474</v>
      </c>
      <c r="B1471" s="30" t="n">
        <v>43222</v>
      </c>
      <c r="C1471" s="29" t="s">
        <v>39</v>
      </c>
      <c r="D1471" s="62" t="n">
        <v>22</v>
      </c>
      <c r="E1471" s="62" t="n">
        <v>193.58</v>
      </c>
      <c r="F1471" s="62" t="s">
        <v>3</v>
      </c>
      <c r="G1471" s="29" t="s">
        <v>29</v>
      </c>
      <c r="H1471" s="29" t="s">
        <v>32</v>
      </c>
    </row>
    <row r="1472" customFormat="false" ht="14.25" hidden="false" customHeight="false" outlineLevel="0" collapsed="false">
      <c r="A1472" s="1" t="n">
        <v>2475</v>
      </c>
      <c r="B1472" s="30" t="n">
        <v>43222</v>
      </c>
      <c r="C1472" s="29" t="s">
        <v>39</v>
      </c>
      <c r="D1472" s="62" t="n">
        <v>17</v>
      </c>
      <c r="E1472" s="62" t="n">
        <v>33.9</v>
      </c>
      <c r="F1472" s="62" t="s">
        <v>3</v>
      </c>
      <c r="G1472" s="29" t="s">
        <v>24</v>
      </c>
      <c r="H1472" s="29" t="s">
        <v>26</v>
      </c>
    </row>
    <row r="1473" customFormat="false" ht="14.25" hidden="false" customHeight="false" outlineLevel="0" collapsed="false">
      <c r="A1473" s="1" t="n">
        <v>2476</v>
      </c>
      <c r="B1473" s="30" t="n">
        <v>43222</v>
      </c>
      <c r="C1473" s="29" t="s">
        <v>39</v>
      </c>
      <c r="D1473" s="62" t="n">
        <v>16</v>
      </c>
      <c r="E1473" s="62" t="n">
        <v>120.81</v>
      </c>
      <c r="F1473" s="62" t="s">
        <v>3</v>
      </c>
      <c r="G1473" s="29" t="s">
        <v>29</v>
      </c>
      <c r="H1473" s="29" t="s">
        <v>36</v>
      </c>
    </row>
    <row r="1474" customFormat="false" ht="14.25" hidden="false" customHeight="false" outlineLevel="0" collapsed="false">
      <c r="A1474" s="1" t="n">
        <v>2477</v>
      </c>
      <c r="B1474" s="30" t="n">
        <v>43374</v>
      </c>
      <c r="C1474" s="29" t="s">
        <v>39</v>
      </c>
      <c r="D1474" s="62" t="n">
        <v>45</v>
      </c>
      <c r="E1474" s="62" t="n">
        <v>80.67</v>
      </c>
      <c r="F1474" s="62" t="s">
        <v>4</v>
      </c>
      <c r="G1474" s="29" t="s">
        <v>29</v>
      </c>
      <c r="H1474" s="29" t="s">
        <v>30</v>
      </c>
    </row>
    <row r="1475" customFormat="false" ht="14.25" hidden="false" customHeight="false" outlineLevel="0" collapsed="false">
      <c r="A1475" s="1" t="n">
        <v>2478</v>
      </c>
      <c r="B1475" s="30" t="n">
        <v>43374</v>
      </c>
      <c r="C1475" s="29" t="s">
        <v>39</v>
      </c>
      <c r="D1475" s="62" t="n">
        <v>19</v>
      </c>
      <c r="E1475" s="62" t="n">
        <v>30.84</v>
      </c>
      <c r="F1475" s="62" t="s">
        <v>4</v>
      </c>
      <c r="G1475" s="29" t="s">
        <v>29</v>
      </c>
      <c r="H1475" s="29" t="s">
        <v>33</v>
      </c>
    </row>
    <row r="1476" customFormat="false" ht="14.25" hidden="false" customHeight="false" outlineLevel="0" collapsed="false">
      <c r="A1476" s="1" t="n">
        <v>2479</v>
      </c>
      <c r="B1476" s="30" t="n">
        <v>43370</v>
      </c>
      <c r="C1476" s="29" t="s">
        <v>39</v>
      </c>
      <c r="D1476" s="62" t="n">
        <v>46</v>
      </c>
      <c r="E1476" s="62" t="n">
        <v>94.27</v>
      </c>
      <c r="F1476" s="62" t="s">
        <v>3</v>
      </c>
      <c r="G1476" s="29" t="s">
        <v>22</v>
      </c>
      <c r="H1476" s="29" t="s">
        <v>23</v>
      </c>
    </row>
    <row r="1477" customFormat="false" ht="14.25" hidden="false" customHeight="false" outlineLevel="0" collapsed="false">
      <c r="A1477" s="1" t="n">
        <v>2480</v>
      </c>
      <c r="B1477" s="30" t="n">
        <v>43200</v>
      </c>
      <c r="C1477" s="29" t="s">
        <v>21</v>
      </c>
      <c r="D1477" s="62" t="n">
        <v>26</v>
      </c>
      <c r="E1477" s="62" t="n">
        <v>78.99</v>
      </c>
      <c r="F1477" s="62" t="s">
        <v>4</v>
      </c>
      <c r="G1477" s="29" t="s">
        <v>29</v>
      </c>
      <c r="H1477" s="29" t="s">
        <v>34</v>
      </c>
    </row>
    <row r="1478" customFormat="false" ht="14.25" hidden="false" customHeight="false" outlineLevel="0" collapsed="false">
      <c r="A1478" s="1" t="n">
        <v>2481</v>
      </c>
      <c r="B1478" s="30" t="n">
        <v>43133</v>
      </c>
      <c r="C1478" s="29" t="s">
        <v>28</v>
      </c>
      <c r="D1478" s="62" t="n">
        <v>4</v>
      </c>
      <c r="E1478" s="62" t="n">
        <v>139.25</v>
      </c>
      <c r="F1478" s="62" t="s">
        <v>3</v>
      </c>
      <c r="G1478" s="29" t="s">
        <v>24</v>
      </c>
      <c r="H1478" s="29" t="s">
        <v>26</v>
      </c>
    </row>
    <row r="1479" customFormat="false" ht="14.25" hidden="false" customHeight="false" outlineLevel="0" collapsed="false">
      <c r="A1479" s="1" t="n">
        <v>2482</v>
      </c>
      <c r="B1479" s="30" t="n">
        <v>43133</v>
      </c>
      <c r="C1479" s="29" t="s">
        <v>28</v>
      </c>
      <c r="D1479" s="62" t="n">
        <v>35</v>
      </c>
      <c r="E1479" s="62" t="n">
        <v>1420.52</v>
      </c>
      <c r="F1479" s="62" t="s">
        <v>3</v>
      </c>
      <c r="G1479" s="29" t="s">
        <v>29</v>
      </c>
      <c r="H1479" s="29" t="s">
        <v>30</v>
      </c>
    </row>
    <row r="1480" customFormat="false" ht="14.25" hidden="false" customHeight="false" outlineLevel="0" collapsed="false">
      <c r="A1480" s="1" t="n">
        <v>2483</v>
      </c>
      <c r="B1480" s="30" t="n">
        <v>43133</v>
      </c>
      <c r="C1480" s="29" t="s">
        <v>28</v>
      </c>
      <c r="D1480" s="62" t="n">
        <v>39</v>
      </c>
      <c r="E1480" s="62" t="n">
        <v>3639.93</v>
      </c>
      <c r="F1480" s="62" t="s">
        <v>3</v>
      </c>
      <c r="G1480" s="29" t="s">
        <v>29</v>
      </c>
      <c r="H1480" s="29" t="s">
        <v>38</v>
      </c>
    </row>
    <row r="1481" customFormat="false" ht="14.25" hidden="false" customHeight="false" outlineLevel="0" collapsed="false">
      <c r="A1481" s="1" t="n">
        <v>2484</v>
      </c>
      <c r="B1481" s="30" t="n">
        <v>43145</v>
      </c>
      <c r="C1481" s="29" t="s">
        <v>39</v>
      </c>
      <c r="D1481" s="62" t="n">
        <v>44</v>
      </c>
      <c r="E1481" s="62" t="n">
        <v>194.32</v>
      </c>
      <c r="F1481" s="62" t="s">
        <v>4</v>
      </c>
      <c r="G1481" s="29" t="s">
        <v>29</v>
      </c>
      <c r="H1481" s="29" t="s">
        <v>34</v>
      </c>
    </row>
    <row r="1482" customFormat="false" ht="14.25" hidden="false" customHeight="false" outlineLevel="0" collapsed="false">
      <c r="A1482" s="1" t="n">
        <v>2485</v>
      </c>
      <c r="B1482" s="30" t="n">
        <v>43145</v>
      </c>
      <c r="C1482" s="29" t="s">
        <v>39</v>
      </c>
      <c r="D1482" s="62" t="n">
        <v>35</v>
      </c>
      <c r="E1482" s="62" t="n">
        <v>119.36</v>
      </c>
      <c r="F1482" s="62" t="s">
        <v>4</v>
      </c>
      <c r="G1482" s="29" t="s">
        <v>29</v>
      </c>
      <c r="H1482" s="29" t="s">
        <v>32</v>
      </c>
    </row>
    <row r="1483" customFormat="false" ht="14.25" hidden="false" customHeight="false" outlineLevel="0" collapsed="false">
      <c r="A1483" s="1" t="n">
        <v>2486</v>
      </c>
      <c r="B1483" s="30" t="n">
        <v>43142</v>
      </c>
      <c r="C1483" s="29" t="s">
        <v>39</v>
      </c>
      <c r="D1483" s="62" t="n">
        <v>35</v>
      </c>
      <c r="E1483" s="62" t="n">
        <v>254.75</v>
      </c>
      <c r="F1483" s="62" t="s">
        <v>5</v>
      </c>
      <c r="G1483" s="29" t="s">
        <v>29</v>
      </c>
      <c r="H1483" s="29" t="s">
        <v>34</v>
      </c>
    </row>
    <row r="1484" customFormat="false" ht="14.25" hidden="false" customHeight="false" outlineLevel="0" collapsed="false">
      <c r="A1484" s="1" t="n">
        <v>2487</v>
      </c>
      <c r="B1484" s="30" t="n">
        <v>43142</v>
      </c>
      <c r="C1484" s="29" t="s">
        <v>39</v>
      </c>
      <c r="D1484" s="62" t="n">
        <v>14</v>
      </c>
      <c r="E1484" s="62" t="n">
        <v>186.5</v>
      </c>
      <c r="F1484" s="62" t="s">
        <v>5</v>
      </c>
      <c r="G1484" s="29" t="s">
        <v>29</v>
      </c>
      <c r="H1484" s="29" t="s">
        <v>35</v>
      </c>
    </row>
    <row r="1485" customFormat="false" ht="14.25" hidden="false" customHeight="false" outlineLevel="0" collapsed="false">
      <c r="A1485" s="1" t="n">
        <v>2488</v>
      </c>
      <c r="B1485" s="30" t="n">
        <v>43142</v>
      </c>
      <c r="C1485" s="29" t="s">
        <v>39</v>
      </c>
      <c r="D1485" s="62" t="n">
        <v>30</v>
      </c>
      <c r="E1485" s="62" t="n">
        <v>709.67</v>
      </c>
      <c r="F1485" s="62" t="s">
        <v>5</v>
      </c>
      <c r="G1485" s="29" t="s">
        <v>29</v>
      </c>
      <c r="H1485" s="29" t="s">
        <v>41</v>
      </c>
    </row>
    <row r="1486" customFormat="false" ht="14.25" hidden="false" customHeight="false" outlineLevel="0" collapsed="false">
      <c r="A1486" s="1" t="n">
        <v>2489</v>
      </c>
      <c r="B1486" s="30" t="n">
        <v>43205</v>
      </c>
      <c r="C1486" s="29" t="s">
        <v>37</v>
      </c>
      <c r="D1486" s="62" t="n">
        <v>32</v>
      </c>
      <c r="E1486" s="62" t="n">
        <v>5287.7</v>
      </c>
      <c r="F1486" s="62" t="s">
        <v>4</v>
      </c>
      <c r="G1486" s="29" t="s">
        <v>24</v>
      </c>
      <c r="H1486" s="29" t="s">
        <v>25</v>
      </c>
    </row>
    <row r="1487" customFormat="false" ht="14.25" hidden="false" customHeight="false" outlineLevel="0" collapsed="false">
      <c r="A1487" s="1" t="n">
        <v>2490</v>
      </c>
      <c r="B1487" s="30" t="n">
        <v>43205</v>
      </c>
      <c r="C1487" s="29" t="s">
        <v>37</v>
      </c>
      <c r="D1487" s="62" t="n">
        <v>38</v>
      </c>
      <c r="E1487" s="62" t="n">
        <v>165.69</v>
      </c>
      <c r="F1487" s="62" t="s">
        <v>4</v>
      </c>
      <c r="G1487" s="29" t="s">
        <v>29</v>
      </c>
      <c r="H1487" s="29" t="s">
        <v>41</v>
      </c>
    </row>
    <row r="1488" customFormat="false" ht="14.25" hidden="false" customHeight="false" outlineLevel="0" collapsed="false">
      <c r="A1488" s="1" t="n">
        <v>2491</v>
      </c>
      <c r="B1488" s="30" t="n">
        <v>43435</v>
      </c>
      <c r="C1488" s="29" t="s">
        <v>31</v>
      </c>
      <c r="D1488" s="62" t="n">
        <v>19</v>
      </c>
      <c r="E1488" s="62" t="n">
        <v>7113.98</v>
      </c>
      <c r="F1488" s="62" t="s">
        <v>3</v>
      </c>
      <c r="G1488" s="29" t="s">
        <v>29</v>
      </c>
      <c r="H1488" s="29" t="s">
        <v>38</v>
      </c>
    </row>
    <row r="1489" customFormat="false" ht="14.25" hidden="false" customHeight="false" outlineLevel="0" collapsed="false">
      <c r="A1489" s="1" t="n">
        <v>2492</v>
      </c>
      <c r="B1489" s="30" t="n">
        <v>43192</v>
      </c>
      <c r="C1489" s="29" t="s">
        <v>39</v>
      </c>
      <c r="D1489" s="62" t="n">
        <v>47</v>
      </c>
      <c r="E1489" s="62" t="n">
        <v>97.83</v>
      </c>
      <c r="F1489" s="62" t="s">
        <v>5</v>
      </c>
      <c r="G1489" s="29" t="s">
        <v>29</v>
      </c>
      <c r="H1489" s="29" t="s">
        <v>34</v>
      </c>
    </row>
    <row r="1490" customFormat="false" ht="14.25" hidden="false" customHeight="false" outlineLevel="0" collapsed="false">
      <c r="A1490" s="1" t="n">
        <v>2493</v>
      </c>
      <c r="B1490" s="30" t="n">
        <v>43332</v>
      </c>
      <c r="C1490" s="29" t="s">
        <v>37</v>
      </c>
      <c r="D1490" s="62" t="n">
        <v>1</v>
      </c>
      <c r="E1490" s="62" t="n">
        <v>12.64</v>
      </c>
      <c r="F1490" s="62" t="s">
        <v>6</v>
      </c>
      <c r="G1490" s="29" t="s">
        <v>22</v>
      </c>
      <c r="H1490" s="29" t="s">
        <v>23</v>
      </c>
    </row>
    <row r="1491" customFormat="false" ht="14.25" hidden="false" customHeight="false" outlineLevel="0" collapsed="false">
      <c r="A1491" s="1" t="n">
        <v>2494</v>
      </c>
      <c r="B1491" s="30" t="n">
        <v>43332</v>
      </c>
      <c r="C1491" s="29" t="s">
        <v>37</v>
      </c>
      <c r="D1491" s="62" t="n">
        <v>23</v>
      </c>
      <c r="E1491" s="62" t="n">
        <v>1409.05</v>
      </c>
      <c r="F1491" s="62" t="s">
        <v>6</v>
      </c>
      <c r="G1491" s="29" t="s">
        <v>24</v>
      </c>
      <c r="H1491" s="29" t="s">
        <v>26</v>
      </c>
    </row>
    <row r="1492" customFormat="false" ht="14.25" hidden="false" customHeight="false" outlineLevel="0" collapsed="false">
      <c r="A1492" s="1" t="n">
        <v>2495</v>
      </c>
      <c r="B1492" s="30" t="n">
        <v>43332</v>
      </c>
      <c r="C1492" s="29" t="s">
        <v>37</v>
      </c>
      <c r="D1492" s="62" t="n">
        <v>26</v>
      </c>
      <c r="E1492" s="62" t="n">
        <v>175.59</v>
      </c>
      <c r="F1492" s="62" t="s">
        <v>6</v>
      </c>
      <c r="G1492" s="29" t="s">
        <v>29</v>
      </c>
      <c r="H1492" s="29" t="s">
        <v>34</v>
      </c>
    </row>
    <row r="1493" customFormat="false" ht="14.25" hidden="false" customHeight="false" outlineLevel="0" collapsed="false">
      <c r="A1493" s="1" t="n">
        <v>2496</v>
      </c>
      <c r="B1493" s="30" t="n">
        <v>43459</v>
      </c>
      <c r="C1493" s="29" t="s">
        <v>39</v>
      </c>
      <c r="D1493" s="62" t="n">
        <v>3</v>
      </c>
      <c r="E1493" s="62" t="n">
        <v>479.75</v>
      </c>
      <c r="F1493" s="62" t="s">
        <v>3</v>
      </c>
      <c r="G1493" s="29" t="s">
        <v>24</v>
      </c>
      <c r="H1493" s="29" t="s">
        <v>25</v>
      </c>
    </row>
    <row r="1494" customFormat="false" ht="14.25" hidden="false" customHeight="false" outlineLevel="0" collapsed="false">
      <c r="A1494" s="1" t="n">
        <v>2497</v>
      </c>
      <c r="B1494" s="30" t="n">
        <v>43132</v>
      </c>
      <c r="C1494" s="29" t="s">
        <v>39</v>
      </c>
      <c r="D1494" s="62" t="n">
        <v>16</v>
      </c>
      <c r="E1494" s="62" t="n">
        <v>1309.07</v>
      </c>
      <c r="F1494" s="62" t="s">
        <v>4</v>
      </c>
      <c r="G1494" s="29" t="s">
        <v>22</v>
      </c>
      <c r="H1494" s="29" t="s">
        <v>27</v>
      </c>
    </row>
    <row r="1495" customFormat="false" ht="14.25" hidden="false" customHeight="false" outlineLevel="0" collapsed="false">
      <c r="A1495" s="1" t="n">
        <v>2498</v>
      </c>
      <c r="B1495" s="30" t="n">
        <v>43368</v>
      </c>
      <c r="C1495" s="29" t="s">
        <v>21</v>
      </c>
      <c r="D1495" s="62" t="n">
        <v>47</v>
      </c>
      <c r="E1495" s="62" t="n">
        <v>1011.18</v>
      </c>
      <c r="F1495" s="62" t="s">
        <v>4</v>
      </c>
      <c r="G1495" s="29" t="s">
        <v>29</v>
      </c>
      <c r="H1495" s="29" t="s">
        <v>36</v>
      </c>
    </row>
    <row r="1496" customFormat="false" ht="14.25" hidden="false" customHeight="false" outlineLevel="0" collapsed="false">
      <c r="A1496" s="1" t="n">
        <v>2499</v>
      </c>
      <c r="B1496" s="30" t="n">
        <v>43364</v>
      </c>
      <c r="C1496" s="29" t="s">
        <v>37</v>
      </c>
      <c r="D1496" s="62" t="n">
        <v>38</v>
      </c>
      <c r="E1496" s="62" t="n">
        <v>348.55</v>
      </c>
      <c r="F1496" s="62" t="s">
        <v>4</v>
      </c>
      <c r="G1496" s="29" t="s">
        <v>22</v>
      </c>
      <c r="H1496" s="29" t="s">
        <v>23</v>
      </c>
    </row>
    <row r="1497" customFormat="false" ht="14.25" hidden="false" customHeight="false" outlineLevel="0" collapsed="false">
      <c r="A1497" s="1" t="n">
        <v>2500</v>
      </c>
      <c r="B1497" s="30" t="n">
        <v>43364</v>
      </c>
      <c r="C1497" s="29" t="s">
        <v>37</v>
      </c>
      <c r="D1497" s="62" t="n">
        <v>24</v>
      </c>
      <c r="E1497" s="62" t="n">
        <v>145.97</v>
      </c>
      <c r="F1497" s="62" t="s">
        <v>4</v>
      </c>
      <c r="G1497" s="29" t="s">
        <v>29</v>
      </c>
      <c r="H1497" s="29" t="s">
        <v>30</v>
      </c>
    </row>
    <row r="1498" customFormat="false" ht="14.25" hidden="false" customHeight="false" outlineLevel="0" collapsed="false">
      <c r="A1498" s="1" t="n">
        <v>2501</v>
      </c>
      <c r="B1498" s="30" t="n">
        <v>43262</v>
      </c>
      <c r="C1498" s="29" t="s">
        <v>39</v>
      </c>
      <c r="D1498" s="62" t="n">
        <v>13</v>
      </c>
      <c r="E1498" s="62" t="n">
        <v>135.55</v>
      </c>
      <c r="F1498" s="62" t="s">
        <v>3</v>
      </c>
      <c r="G1498" s="29" t="s">
        <v>22</v>
      </c>
      <c r="H1498" s="29" t="s">
        <v>23</v>
      </c>
    </row>
    <row r="1499" customFormat="false" ht="14.25" hidden="false" customHeight="false" outlineLevel="0" collapsed="false">
      <c r="A1499" s="1" t="n">
        <v>2502</v>
      </c>
      <c r="B1499" s="30" t="n">
        <v>43366</v>
      </c>
      <c r="C1499" s="29" t="s">
        <v>31</v>
      </c>
      <c r="D1499" s="62" t="n">
        <v>28</v>
      </c>
      <c r="E1499" s="62" t="n">
        <v>1292.93</v>
      </c>
      <c r="F1499" s="62" t="s">
        <v>3</v>
      </c>
      <c r="G1499" s="29" t="s">
        <v>24</v>
      </c>
      <c r="H1499" s="29" t="s">
        <v>26</v>
      </c>
    </row>
    <row r="1500" customFormat="false" ht="14.25" hidden="false" customHeight="false" outlineLevel="0" collapsed="false">
      <c r="A1500" s="1" t="n">
        <v>2503</v>
      </c>
      <c r="B1500" s="30" t="n">
        <v>43336</v>
      </c>
      <c r="C1500" s="29" t="s">
        <v>37</v>
      </c>
      <c r="D1500" s="62" t="n">
        <v>39</v>
      </c>
      <c r="E1500" s="62" t="n">
        <v>728.52</v>
      </c>
      <c r="F1500" s="62" t="s">
        <v>6</v>
      </c>
      <c r="G1500" s="29" t="s">
        <v>24</v>
      </c>
      <c r="H1500" s="29" t="s">
        <v>25</v>
      </c>
    </row>
    <row r="1501" customFormat="false" ht="14.25" hidden="false" customHeight="false" outlineLevel="0" collapsed="false">
      <c r="A1501" s="1" t="n">
        <v>2504</v>
      </c>
      <c r="B1501" s="30" t="n">
        <v>43245</v>
      </c>
      <c r="C1501" s="29" t="s">
        <v>21</v>
      </c>
      <c r="D1501" s="62" t="n">
        <v>15</v>
      </c>
      <c r="E1501" s="62" t="n">
        <v>72.79</v>
      </c>
      <c r="F1501" s="62" t="s">
        <v>4</v>
      </c>
      <c r="G1501" s="29" t="s">
        <v>29</v>
      </c>
      <c r="H1501" s="29" t="s">
        <v>34</v>
      </c>
    </row>
    <row r="1502" customFormat="false" ht="14.25" hidden="false" customHeight="false" outlineLevel="0" collapsed="false">
      <c r="A1502" s="1" t="n">
        <v>2505</v>
      </c>
      <c r="B1502" s="30" t="n">
        <v>43244</v>
      </c>
      <c r="C1502" s="29" t="s">
        <v>37</v>
      </c>
      <c r="D1502" s="62" t="n">
        <v>16</v>
      </c>
      <c r="E1502" s="62" t="n">
        <v>123.41</v>
      </c>
      <c r="F1502" s="62" t="s">
        <v>6</v>
      </c>
      <c r="G1502" s="29" t="s">
        <v>29</v>
      </c>
      <c r="H1502" s="29" t="s">
        <v>36</v>
      </c>
    </row>
    <row r="1503" customFormat="false" ht="14.25" hidden="false" customHeight="false" outlineLevel="0" collapsed="false">
      <c r="A1503" s="1" t="n">
        <v>2506</v>
      </c>
      <c r="B1503" s="30" t="n">
        <v>43244</v>
      </c>
      <c r="C1503" s="29" t="s">
        <v>37</v>
      </c>
      <c r="D1503" s="62" t="n">
        <v>28</v>
      </c>
      <c r="E1503" s="62" t="n">
        <v>18831.35</v>
      </c>
      <c r="F1503" s="62" t="s">
        <v>6</v>
      </c>
      <c r="G1503" s="29" t="s">
        <v>24</v>
      </c>
      <c r="H1503" s="29" t="s">
        <v>43</v>
      </c>
    </row>
    <row r="1504" customFormat="false" ht="14.25" hidden="false" customHeight="false" outlineLevel="0" collapsed="false">
      <c r="A1504" s="1" t="n">
        <v>2507</v>
      </c>
      <c r="B1504" s="30" t="n">
        <v>43144</v>
      </c>
      <c r="C1504" s="29" t="s">
        <v>39</v>
      </c>
      <c r="D1504" s="62" t="n">
        <v>50</v>
      </c>
      <c r="E1504" s="62" t="n">
        <v>210.14</v>
      </c>
      <c r="F1504" s="62" t="s">
        <v>3</v>
      </c>
      <c r="G1504" s="29" t="s">
        <v>29</v>
      </c>
      <c r="H1504" s="29" t="s">
        <v>35</v>
      </c>
    </row>
    <row r="1505" customFormat="false" ht="14.25" hidden="false" customHeight="false" outlineLevel="0" collapsed="false">
      <c r="A1505" s="1" t="n">
        <v>2508</v>
      </c>
      <c r="B1505" s="30" t="n">
        <v>43144</v>
      </c>
      <c r="C1505" s="29" t="s">
        <v>39</v>
      </c>
      <c r="D1505" s="62" t="n">
        <v>1</v>
      </c>
      <c r="E1505" s="62" t="n">
        <v>140.46</v>
      </c>
      <c r="F1505" s="62" t="s">
        <v>3</v>
      </c>
      <c r="G1505" s="29" t="s">
        <v>22</v>
      </c>
      <c r="H1505" s="29" t="s">
        <v>44</v>
      </c>
    </row>
    <row r="1506" customFormat="false" ht="14.25" hidden="false" customHeight="false" outlineLevel="0" collapsed="false">
      <c r="A1506" s="1" t="n">
        <v>2509</v>
      </c>
      <c r="B1506" s="30" t="n">
        <v>43160</v>
      </c>
      <c r="C1506" s="29" t="s">
        <v>31</v>
      </c>
      <c r="D1506" s="62" t="n">
        <v>38</v>
      </c>
      <c r="E1506" s="62" t="n">
        <v>526.2</v>
      </c>
      <c r="F1506" s="62" t="s">
        <v>6</v>
      </c>
      <c r="G1506" s="29" t="s">
        <v>29</v>
      </c>
      <c r="H1506" s="29" t="s">
        <v>36</v>
      </c>
    </row>
    <row r="1507" customFormat="false" ht="14.25" hidden="false" customHeight="false" outlineLevel="0" collapsed="false">
      <c r="A1507" s="1" t="n">
        <v>2510</v>
      </c>
      <c r="B1507" s="30" t="n">
        <v>43160</v>
      </c>
      <c r="C1507" s="29" t="s">
        <v>31</v>
      </c>
      <c r="D1507" s="62" t="n">
        <v>35</v>
      </c>
      <c r="E1507" s="62" t="n">
        <v>724.85</v>
      </c>
      <c r="F1507" s="62" t="s">
        <v>6</v>
      </c>
      <c r="G1507" s="29" t="s">
        <v>24</v>
      </c>
      <c r="H1507" s="29" t="s">
        <v>26</v>
      </c>
    </row>
    <row r="1508" customFormat="false" ht="14.25" hidden="false" customHeight="false" outlineLevel="0" collapsed="false">
      <c r="A1508" s="1" t="n">
        <v>2511</v>
      </c>
      <c r="B1508" s="30" t="n">
        <v>43241</v>
      </c>
      <c r="C1508" s="29" t="s">
        <v>39</v>
      </c>
      <c r="D1508" s="62" t="n">
        <v>22</v>
      </c>
      <c r="E1508" s="62" t="n">
        <v>1250.06</v>
      </c>
      <c r="F1508" s="62" t="s">
        <v>5</v>
      </c>
      <c r="G1508" s="29" t="s">
        <v>22</v>
      </c>
      <c r="H1508" s="29" t="s">
        <v>40</v>
      </c>
    </row>
    <row r="1509" customFormat="false" ht="14.25" hidden="false" customHeight="false" outlineLevel="0" collapsed="false">
      <c r="A1509" s="1" t="n">
        <v>2512</v>
      </c>
      <c r="B1509" s="30" t="n">
        <v>43114</v>
      </c>
      <c r="C1509" s="29" t="s">
        <v>31</v>
      </c>
      <c r="D1509" s="62" t="n">
        <v>39</v>
      </c>
      <c r="E1509" s="62" t="n">
        <v>302.25</v>
      </c>
      <c r="F1509" s="62" t="s">
        <v>4</v>
      </c>
      <c r="G1509" s="29" t="s">
        <v>29</v>
      </c>
      <c r="H1509" s="29" t="s">
        <v>34</v>
      </c>
    </row>
    <row r="1510" customFormat="false" ht="14.25" hidden="false" customHeight="false" outlineLevel="0" collapsed="false">
      <c r="A1510" s="1" t="n">
        <v>2513</v>
      </c>
      <c r="B1510" s="30" t="n">
        <v>43114</v>
      </c>
      <c r="C1510" s="29" t="s">
        <v>31</v>
      </c>
      <c r="D1510" s="62" t="n">
        <v>37</v>
      </c>
      <c r="E1510" s="62" t="n">
        <v>990.61</v>
      </c>
      <c r="F1510" s="62" t="s">
        <v>4</v>
      </c>
      <c r="G1510" s="29" t="s">
        <v>29</v>
      </c>
      <c r="H1510" s="29" t="s">
        <v>34</v>
      </c>
    </row>
    <row r="1511" customFormat="false" ht="14.25" hidden="false" customHeight="false" outlineLevel="0" collapsed="false">
      <c r="A1511" s="1" t="n">
        <v>2514</v>
      </c>
      <c r="B1511" s="30" t="n">
        <v>43114</v>
      </c>
      <c r="C1511" s="29" t="s">
        <v>31</v>
      </c>
      <c r="D1511" s="62" t="n">
        <v>12</v>
      </c>
      <c r="E1511" s="62" t="n">
        <v>6957.63</v>
      </c>
      <c r="F1511" s="62" t="s">
        <v>4</v>
      </c>
      <c r="G1511" s="29" t="s">
        <v>22</v>
      </c>
      <c r="H1511" s="29" t="s">
        <v>27</v>
      </c>
    </row>
    <row r="1512" customFormat="false" ht="14.25" hidden="false" customHeight="false" outlineLevel="0" collapsed="false">
      <c r="A1512" s="1" t="n">
        <v>2515</v>
      </c>
      <c r="B1512" s="30" t="n">
        <v>43310</v>
      </c>
      <c r="C1512" s="29" t="s">
        <v>39</v>
      </c>
      <c r="D1512" s="62" t="n">
        <v>30</v>
      </c>
      <c r="E1512" s="62" t="n">
        <v>320.64</v>
      </c>
      <c r="F1512" s="62" t="s">
        <v>3</v>
      </c>
      <c r="G1512" s="29" t="s">
        <v>29</v>
      </c>
      <c r="H1512" s="29" t="s">
        <v>34</v>
      </c>
    </row>
    <row r="1513" customFormat="false" ht="14.25" hidden="false" customHeight="false" outlineLevel="0" collapsed="false">
      <c r="A1513" s="1" t="n">
        <v>2516</v>
      </c>
      <c r="B1513" s="30" t="n">
        <v>43136</v>
      </c>
      <c r="C1513" s="29" t="s">
        <v>37</v>
      </c>
      <c r="D1513" s="62" t="n">
        <v>27</v>
      </c>
      <c r="E1513" s="62" t="n">
        <v>1303.01</v>
      </c>
      <c r="F1513" s="62" t="s">
        <v>3</v>
      </c>
      <c r="G1513" s="29" t="s">
        <v>29</v>
      </c>
      <c r="H1513" s="29" t="s">
        <v>38</v>
      </c>
    </row>
    <row r="1514" customFormat="false" ht="14.25" hidden="false" customHeight="false" outlineLevel="0" collapsed="false">
      <c r="A1514" s="1" t="n">
        <v>2517</v>
      </c>
      <c r="B1514" s="30" t="n">
        <v>43136</v>
      </c>
      <c r="C1514" s="29" t="s">
        <v>37</v>
      </c>
      <c r="D1514" s="62" t="n">
        <v>32</v>
      </c>
      <c r="E1514" s="62" t="n">
        <v>688.58</v>
      </c>
      <c r="F1514" s="62" t="s">
        <v>3</v>
      </c>
      <c r="G1514" s="29" t="s">
        <v>29</v>
      </c>
      <c r="H1514" s="29" t="s">
        <v>36</v>
      </c>
    </row>
    <row r="1515" customFormat="false" ht="14.25" hidden="false" customHeight="false" outlineLevel="0" collapsed="false">
      <c r="A1515" s="1" t="n">
        <v>2518</v>
      </c>
      <c r="B1515" s="30" t="n">
        <v>43305</v>
      </c>
      <c r="C1515" s="29" t="s">
        <v>21</v>
      </c>
      <c r="D1515" s="62" t="n">
        <v>42</v>
      </c>
      <c r="E1515" s="62" t="n">
        <v>1050.45</v>
      </c>
      <c r="F1515" s="62" t="s">
        <v>3</v>
      </c>
      <c r="G1515" s="29" t="s">
        <v>22</v>
      </c>
      <c r="H1515" s="29" t="s">
        <v>23</v>
      </c>
    </row>
    <row r="1516" customFormat="false" ht="14.25" hidden="false" customHeight="false" outlineLevel="0" collapsed="false">
      <c r="A1516" s="1" t="n">
        <v>2519</v>
      </c>
      <c r="B1516" s="30" t="n">
        <v>43305</v>
      </c>
      <c r="C1516" s="29" t="s">
        <v>21</v>
      </c>
      <c r="D1516" s="62" t="n">
        <v>42</v>
      </c>
      <c r="E1516" s="62" t="n">
        <v>1331.09</v>
      </c>
      <c r="F1516" s="62" t="s">
        <v>3</v>
      </c>
      <c r="G1516" s="29" t="s">
        <v>24</v>
      </c>
      <c r="H1516" s="29" t="s">
        <v>26</v>
      </c>
    </row>
    <row r="1517" customFormat="false" ht="14.25" hidden="false" customHeight="false" outlineLevel="0" collapsed="false">
      <c r="A1517" s="1" t="n">
        <v>2520</v>
      </c>
      <c r="B1517" s="30" t="n">
        <v>43305</v>
      </c>
      <c r="C1517" s="29" t="s">
        <v>21</v>
      </c>
      <c r="D1517" s="62" t="n">
        <v>44</v>
      </c>
      <c r="E1517" s="62" t="n">
        <v>323.21</v>
      </c>
      <c r="F1517" s="62" t="s">
        <v>3</v>
      </c>
      <c r="G1517" s="29" t="s">
        <v>29</v>
      </c>
      <c r="H1517" s="29" t="s">
        <v>36</v>
      </c>
    </row>
    <row r="1518" customFormat="false" ht="14.25" hidden="false" customHeight="false" outlineLevel="0" collapsed="false">
      <c r="A1518" s="1" t="n">
        <v>2521</v>
      </c>
      <c r="B1518" s="30" t="n">
        <v>43309</v>
      </c>
      <c r="C1518" s="29" t="s">
        <v>21</v>
      </c>
      <c r="D1518" s="62" t="n">
        <v>31</v>
      </c>
      <c r="E1518" s="62" t="n">
        <v>153.92</v>
      </c>
      <c r="F1518" s="62" t="s">
        <v>3</v>
      </c>
      <c r="G1518" s="29" t="s">
        <v>29</v>
      </c>
      <c r="H1518" s="29" t="s">
        <v>30</v>
      </c>
    </row>
    <row r="1519" customFormat="false" ht="14.25" hidden="false" customHeight="false" outlineLevel="0" collapsed="false">
      <c r="A1519" s="1" t="n">
        <v>2522</v>
      </c>
      <c r="B1519" s="30" t="n">
        <v>43156</v>
      </c>
      <c r="C1519" s="29" t="s">
        <v>21</v>
      </c>
      <c r="D1519" s="62" t="n">
        <v>7</v>
      </c>
      <c r="E1519" s="62" t="n">
        <v>401.86</v>
      </c>
      <c r="F1519" s="62" t="s">
        <v>3</v>
      </c>
      <c r="G1519" s="29" t="s">
        <v>29</v>
      </c>
      <c r="H1519" s="29" t="s">
        <v>34</v>
      </c>
    </row>
    <row r="1520" customFormat="false" ht="14.25" hidden="false" customHeight="false" outlineLevel="0" collapsed="false">
      <c r="A1520" s="1" t="n">
        <v>2523</v>
      </c>
      <c r="B1520" s="30" t="n">
        <v>43156</v>
      </c>
      <c r="C1520" s="29" t="s">
        <v>21</v>
      </c>
      <c r="D1520" s="62" t="n">
        <v>15</v>
      </c>
      <c r="E1520" s="62" t="n">
        <v>87.71</v>
      </c>
      <c r="F1520" s="62" t="s">
        <v>3</v>
      </c>
      <c r="G1520" s="29" t="s">
        <v>29</v>
      </c>
      <c r="H1520" s="29" t="s">
        <v>36</v>
      </c>
    </row>
    <row r="1521" customFormat="false" ht="14.25" hidden="false" customHeight="false" outlineLevel="0" collapsed="false">
      <c r="A1521" s="1" t="n">
        <v>2524</v>
      </c>
      <c r="B1521" s="30" t="n">
        <v>43107</v>
      </c>
      <c r="C1521" s="29" t="s">
        <v>37</v>
      </c>
      <c r="D1521" s="62" t="n">
        <v>12</v>
      </c>
      <c r="E1521" s="62" t="n">
        <v>1304.49</v>
      </c>
      <c r="F1521" s="62" t="s">
        <v>3</v>
      </c>
      <c r="G1521" s="29" t="s">
        <v>24</v>
      </c>
      <c r="H1521" s="29" t="s">
        <v>25</v>
      </c>
    </row>
    <row r="1522" customFormat="false" ht="14.25" hidden="false" customHeight="false" outlineLevel="0" collapsed="false">
      <c r="A1522" s="1" t="n">
        <v>2525</v>
      </c>
      <c r="B1522" s="30" t="n">
        <v>43107</v>
      </c>
      <c r="C1522" s="29" t="s">
        <v>37</v>
      </c>
      <c r="D1522" s="62" t="n">
        <v>27</v>
      </c>
      <c r="E1522" s="62" t="n">
        <v>884.11</v>
      </c>
      <c r="F1522" s="62" t="s">
        <v>3</v>
      </c>
      <c r="G1522" s="29" t="s">
        <v>22</v>
      </c>
      <c r="H1522" s="29" t="s">
        <v>23</v>
      </c>
    </row>
    <row r="1523" customFormat="false" ht="14.25" hidden="false" customHeight="false" outlineLevel="0" collapsed="false">
      <c r="A1523" s="1" t="n">
        <v>2526</v>
      </c>
      <c r="B1523" s="30" t="n">
        <v>43107</v>
      </c>
      <c r="C1523" s="29" t="s">
        <v>37</v>
      </c>
      <c r="D1523" s="62" t="n">
        <v>29</v>
      </c>
      <c r="E1523" s="62" t="n">
        <v>1901.89</v>
      </c>
      <c r="F1523" s="62" t="s">
        <v>3</v>
      </c>
      <c r="G1523" s="29" t="s">
        <v>24</v>
      </c>
      <c r="H1523" s="29" t="s">
        <v>25</v>
      </c>
    </row>
    <row r="1524" customFormat="false" ht="14.25" hidden="false" customHeight="false" outlineLevel="0" collapsed="false">
      <c r="A1524" s="1" t="n">
        <v>2527</v>
      </c>
      <c r="B1524" s="30" t="n">
        <v>43110</v>
      </c>
      <c r="C1524" s="29" t="s">
        <v>31</v>
      </c>
      <c r="D1524" s="62" t="n">
        <v>1</v>
      </c>
      <c r="E1524" s="62" t="n">
        <v>12.7</v>
      </c>
      <c r="F1524" s="62" t="s">
        <v>5</v>
      </c>
      <c r="G1524" s="29" t="s">
        <v>29</v>
      </c>
      <c r="H1524" s="29" t="s">
        <v>36</v>
      </c>
    </row>
    <row r="1525" customFormat="false" ht="14.25" hidden="false" customHeight="false" outlineLevel="0" collapsed="false">
      <c r="A1525" s="1" t="n">
        <v>2528</v>
      </c>
      <c r="B1525" s="30" t="n">
        <v>43110</v>
      </c>
      <c r="C1525" s="29" t="s">
        <v>31</v>
      </c>
      <c r="D1525" s="62" t="n">
        <v>46</v>
      </c>
      <c r="E1525" s="62" t="n">
        <v>8063.48</v>
      </c>
      <c r="F1525" s="62" t="s">
        <v>5</v>
      </c>
      <c r="G1525" s="29" t="s">
        <v>29</v>
      </c>
      <c r="H1525" s="29" t="s">
        <v>34</v>
      </c>
    </row>
    <row r="1526" customFormat="false" ht="14.25" hidden="false" customHeight="false" outlineLevel="0" collapsed="false">
      <c r="A1526" s="1" t="n">
        <v>2529</v>
      </c>
      <c r="B1526" s="30" t="n">
        <v>43110</v>
      </c>
      <c r="C1526" s="29" t="s">
        <v>31</v>
      </c>
      <c r="D1526" s="62" t="n">
        <v>41</v>
      </c>
      <c r="E1526" s="62" t="n">
        <v>1731.59</v>
      </c>
      <c r="F1526" s="62" t="s">
        <v>5</v>
      </c>
      <c r="G1526" s="29" t="s">
        <v>24</v>
      </c>
      <c r="H1526" s="29" t="s">
        <v>26</v>
      </c>
    </row>
    <row r="1527" customFormat="false" ht="14.25" hidden="false" customHeight="false" outlineLevel="0" collapsed="false">
      <c r="A1527" s="1" t="n">
        <v>2530</v>
      </c>
      <c r="B1527" s="30" t="n">
        <v>43409</v>
      </c>
      <c r="C1527" s="29" t="s">
        <v>28</v>
      </c>
      <c r="D1527" s="62" t="n">
        <v>26</v>
      </c>
      <c r="E1527" s="62" t="n">
        <v>1280.57</v>
      </c>
      <c r="F1527" s="62" t="s">
        <v>6</v>
      </c>
      <c r="G1527" s="29" t="s">
        <v>24</v>
      </c>
      <c r="H1527" s="29" t="s">
        <v>25</v>
      </c>
    </row>
    <row r="1528" customFormat="false" ht="14.25" hidden="false" customHeight="false" outlineLevel="0" collapsed="false">
      <c r="A1528" s="1" t="n">
        <v>2531</v>
      </c>
      <c r="B1528" s="30" t="n">
        <v>43332</v>
      </c>
      <c r="C1528" s="29" t="s">
        <v>39</v>
      </c>
      <c r="D1528" s="62" t="n">
        <v>39</v>
      </c>
      <c r="E1528" s="62" t="n">
        <v>4505.77</v>
      </c>
      <c r="F1528" s="62" t="s">
        <v>3</v>
      </c>
      <c r="G1528" s="29" t="s">
        <v>22</v>
      </c>
      <c r="H1528" s="29" t="s">
        <v>27</v>
      </c>
    </row>
    <row r="1529" customFormat="false" ht="14.25" hidden="false" customHeight="false" outlineLevel="0" collapsed="false">
      <c r="A1529" s="1" t="n">
        <v>2532</v>
      </c>
      <c r="B1529" s="30" t="n">
        <v>43332</v>
      </c>
      <c r="C1529" s="29" t="s">
        <v>39</v>
      </c>
      <c r="D1529" s="62" t="n">
        <v>17</v>
      </c>
      <c r="E1529" s="62" t="n">
        <v>3279.18</v>
      </c>
      <c r="F1529" s="62" t="s">
        <v>3</v>
      </c>
      <c r="G1529" s="29" t="s">
        <v>24</v>
      </c>
      <c r="H1529" s="29" t="s">
        <v>25</v>
      </c>
    </row>
    <row r="1530" customFormat="false" ht="14.25" hidden="false" customHeight="false" outlineLevel="0" collapsed="false">
      <c r="A1530" s="1" t="n">
        <v>2533</v>
      </c>
      <c r="B1530" s="30" t="n">
        <v>43332</v>
      </c>
      <c r="C1530" s="29" t="s">
        <v>39</v>
      </c>
      <c r="D1530" s="62" t="n">
        <v>23</v>
      </c>
      <c r="E1530" s="62" t="n">
        <v>90.38</v>
      </c>
      <c r="F1530" s="62" t="s">
        <v>3</v>
      </c>
      <c r="G1530" s="29" t="s">
        <v>29</v>
      </c>
      <c r="H1530" s="29" t="s">
        <v>34</v>
      </c>
    </row>
    <row r="1531" customFormat="false" ht="14.25" hidden="false" customHeight="false" outlineLevel="0" collapsed="false">
      <c r="A1531" s="1" t="n">
        <v>2534</v>
      </c>
      <c r="B1531" s="30" t="n">
        <v>43332</v>
      </c>
      <c r="C1531" s="29" t="s">
        <v>39</v>
      </c>
      <c r="D1531" s="62" t="n">
        <v>2</v>
      </c>
      <c r="E1531" s="62" t="n">
        <v>20.69</v>
      </c>
      <c r="F1531" s="62" t="s">
        <v>3</v>
      </c>
      <c r="G1531" s="29" t="s">
        <v>29</v>
      </c>
      <c r="H1531" s="29" t="s">
        <v>34</v>
      </c>
    </row>
    <row r="1532" customFormat="false" ht="14.25" hidden="false" customHeight="false" outlineLevel="0" collapsed="false">
      <c r="A1532" s="1" t="n">
        <v>2535</v>
      </c>
      <c r="B1532" s="30" t="n">
        <v>43142</v>
      </c>
      <c r="C1532" s="29" t="s">
        <v>28</v>
      </c>
      <c r="D1532" s="62" t="n">
        <v>35</v>
      </c>
      <c r="E1532" s="62" t="n">
        <v>5786.45</v>
      </c>
      <c r="F1532" s="62" t="s">
        <v>5</v>
      </c>
      <c r="G1532" s="29" t="s">
        <v>22</v>
      </c>
      <c r="H1532" s="29" t="s">
        <v>27</v>
      </c>
    </row>
    <row r="1533" customFormat="false" ht="14.25" hidden="false" customHeight="false" outlineLevel="0" collapsed="false">
      <c r="A1533" s="1" t="n">
        <v>2536</v>
      </c>
      <c r="B1533" s="30" t="n">
        <v>43272</v>
      </c>
      <c r="C1533" s="29" t="s">
        <v>28</v>
      </c>
      <c r="D1533" s="62" t="n">
        <v>16</v>
      </c>
      <c r="E1533" s="62" t="n">
        <v>5019.66</v>
      </c>
      <c r="F1533" s="62" t="s">
        <v>5</v>
      </c>
      <c r="G1533" s="29" t="s">
        <v>29</v>
      </c>
      <c r="H1533" s="29" t="s">
        <v>41</v>
      </c>
    </row>
    <row r="1534" customFormat="false" ht="14.25" hidden="false" customHeight="false" outlineLevel="0" collapsed="false">
      <c r="A1534" s="1" t="n">
        <v>2537</v>
      </c>
      <c r="B1534" s="30" t="n">
        <v>43272</v>
      </c>
      <c r="C1534" s="29" t="s">
        <v>28</v>
      </c>
      <c r="D1534" s="62" t="n">
        <v>8</v>
      </c>
      <c r="E1534" s="62" t="n">
        <v>607.24</v>
      </c>
      <c r="F1534" s="62" t="s">
        <v>5</v>
      </c>
      <c r="G1534" s="29" t="s">
        <v>29</v>
      </c>
      <c r="H1534" s="29" t="s">
        <v>38</v>
      </c>
    </row>
    <row r="1535" customFormat="false" ht="14.25" hidden="false" customHeight="false" outlineLevel="0" collapsed="false">
      <c r="A1535" s="1" t="n">
        <v>2538</v>
      </c>
      <c r="B1535" s="30" t="n">
        <v>43272</v>
      </c>
      <c r="C1535" s="29" t="s">
        <v>28</v>
      </c>
      <c r="D1535" s="62" t="n">
        <v>50</v>
      </c>
      <c r="E1535" s="62" t="n">
        <v>860.43</v>
      </c>
      <c r="F1535" s="62" t="s">
        <v>5</v>
      </c>
      <c r="G1535" s="29" t="s">
        <v>22</v>
      </c>
      <c r="H1535" s="29" t="s">
        <v>23</v>
      </c>
    </row>
    <row r="1536" customFormat="false" ht="14.25" hidden="false" customHeight="false" outlineLevel="0" collapsed="false">
      <c r="A1536" s="1" t="n">
        <v>2539</v>
      </c>
      <c r="B1536" s="30" t="n">
        <v>43462</v>
      </c>
      <c r="C1536" s="29" t="s">
        <v>31</v>
      </c>
      <c r="D1536" s="62" t="n">
        <v>33</v>
      </c>
      <c r="E1536" s="62" t="n">
        <v>173.34</v>
      </c>
      <c r="F1536" s="62" t="s">
        <v>5</v>
      </c>
      <c r="G1536" s="29" t="s">
        <v>29</v>
      </c>
      <c r="H1536" s="29" t="s">
        <v>30</v>
      </c>
    </row>
    <row r="1537" customFormat="false" ht="14.25" hidden="false" customHeight="false" outlineLevel="0" collapsed="false">
      <c r="A1537" s="1" t="n">
        <v>2540</v>
      </c>
      <c r="B1537" s="30" t="n">
        <v>43462</v>
      </c>
      <c r="C1537" s="29" t="s">
        <v>31</v>
      </c>
      <c r="D1537" s="62" t="n">
        <v>8</v>
      </c>
      <c r="E1537" s="62" t="n">
        <v>61.23</v>
      </c>
      <c r="F1537" s="62" t="s">
        <v>5</v>
      </c>
      <c r="G1537" s="29" t="s">
        <v>29</v>
      </c>
      <c r="H1537" s="29" t="s">
        <v>36</v>
      </c>
    </row>
    <row r="1538" customFormat="false" ht="14.25" hidden="false" customHeight="false" outlineLevel="0" collapsed="false">
      <c r="A1538" s="1" t="n">
        <v>2541</v>
      </c>
      <c r="B1538" s="30" t="n">
        <v>43462</v>
      </c>
      <c r="C1538" s="29" t="s">
        <v>31</v>
      </c>
      <c r="D1538" s="62" t="n">
        <v>48</v>
      </c>
      <c r="E1538" s="62" t="n">
        <v>3648.87</v>
      </c>
      <c r="F1538" s="62" t="s">
        <v>5</v>
      </c>
      <c r="G1538" s="29" t="s">
        <v>24</v>
      </c>
      <c r="H1538" s="29" t="s">
        <v>25</v>
      </c>
    </row>
    <row r="1539" customFormat="false" ht="14.25" hidden="false" customHeight="false" outlineLevel="0" collapsed="false">
      <c r="A1539" s="1" t="n">
        <v>2542</v>
      </c>
      <c r="B1539" s="30" t="n">
        <v>43257</v>
      </c>
      <c r="C1539" s="29" t="s">
        <v>39</v>
      </c>
      <c r="D1539" s="62" t="n">
        <v>48</v>
      </c>
      <c r="E1539" s="62" t="n">
        <v>97.33</v>
      </c>
      <c r="F1539" s="62" t="s">
        <v>4</v>
      </c>
      <c r="G1539" s="29" t="s">
        <v>29</v>
      </c>
      <c r="H1539" s="29" t="s">
        <v>33</v>
      </c>
    </row>
    <row r="1540" customFormat="false" ht="14.25" hidden="false" customHeight="false" outlineLevel="0" collapsed="false">
      <c r="A1540" s="1" t="n">
        <v>2543</v>
      </c>
      <c r="B1540" s="30" t="n">
        <v>43257</v>
      </c>
      <c r="C1540" s="29" t="s">
        <v>39</v>
      </c>
      <c r="D1540" s="62" t="n">
        <v>27</v>
      </c>
      <c r="E1540" s="62" t="n">
        <v>676.83</v>
      </c>
      <c r="F1540" s="62" t="s">
        <v>4</v>
      </c>
      <c r="G1540" s="29" t="s">
        <v>22</v>
      </c>
      <c r="H1540" s="29" t="s">
        <v>23</v>
      </c>
    </row>
    <row r="1541" customFormat="false" ht="14.25" hidden="false" customHeight="false" outlineLevel="0" collapsed="false">
      <c r="A1541" s="1" t="n">
        <v>2544</v>
      </c>
      <c r="B1541" s="30" t="n">
        <v>43257</v>
      </c>
      <c r="C1541" s="29" t="s">
        <v>39</v>
      </c>
      <c r="D1541" s="62" t="n">
        <v>32</v>
      </c>
      <c r="E1541" s="62" t="n">
        <v>2136.93</v>
      </c>
      <c r="F1541" s="62" t="s">
        <v>4</v>
      </c>
      <c r="G1541" s="29" t="s">
        <v>22</v>
      </c>
      <c r="H1541" s="29" t="s">
        <v>23</v>
      </c>
    </row>
    <row r="1542" customFormat="false" ht="14.25" hidden="false" customHeight="false" outlineLevel="0" collapsed="false">
      <c r="A1542" s="1" t="n">
        <v>2545</v>
      </c>
      <c r="B1542" s="30" t="n">
        <v>43375</v>
      </c>
      <c r="C1542" s="29" t="s">
        <v>21</v>
      </c>
      <c r="D1542" s="62" t="n">
        <v>40</v>
      </c>
      <c r="E1542" s="62" t="n">
        <v>123.6</v>
      </c>
      <c r="F1542" s="62" t="s">
        <v>5</v>
      </c>
      <c r="G1542" s="29" t="s">
        <v>29</v>
      </c>
      <c r="H1542" s="29" t="s">
        <v>30</v>
      </c>
    </row>
    <row r="1543" customFormat="false" ht="14.25" hidden="false" customHeight="false" outlineLevel="0" collapsed="false">
      <c r="A1543" s="1" t="n">
        <v>2546</v>
      </c>
      <c r="B1543" s="30" t="n">
        <v>43375</v>
      </c>
      <c r="C1543" s="29" t="s">
        <v>21</v>
      </c>
      <c r="D1543" s="62" t="n">
        <v>40</v>
      </c>
      <c r="E1543" s="62" t="n">
        <v>2255.78</v>
      </c>
      <c r="F1543" s="62" t="s">
        <v>5</v>
      </c>
      <c r="G1543" s="29" t="s">
        <v>22</v>
      </c>
      <c r="H1543" s="29" t="s">
        <v>23</v>
      </c>
    </row>
    <row r="1544" customFormat="false" ht="14.25" hidden="false" customHeight="false" outlineLevel="0" collapsed="false">
      <c r="A1544" s="1" t="n">
        <v>2547</v>
      </c>
      <c r="B1544" s="30" t="n">
        <v>43375</v>
      </c>
      <c r="C1544" s="29" t="s">
        <v>21</v>
      </c>
      <c r="D1544" s="62" t="n">
        <v>40</v>
      </c>
      <c r="E1544" s="62" t="n">
        <v>111.06</v>
      </c>
      <c r="F1544" s="62" t="s">
        <v>5</v>
      </c>
      <c r="G1544" s="29" t="s">
        <v>29</v>
      </c>
      <c r="H1544" s="29" t="s">
        <v>35</v>
      </c>
    </row>
    <row r="1545" customFormat="false" ht="14.25" hidden="false" customHeight="false" outlineLevel="0" collapsed="false">
      <c r="A1545" s="1" t="n">
        <v>2548</v>
      </c>
      <c r="B1545" s="30" t="n">
        <v>43420</v>
      </c>
      <c r="C1545" s="29" t="s">
        <v>31</v>
      </c>
      <c r="D1545" s="62" t="n">
        <v>26</v>
      </c>
      <c r="E1545" s="62" t="n">
        <v>2545.88</v>
      </c>
      <c r="F1545" s="62" t="s">
        <v>4</v>
      </c>
      <c r="G1545" s="29" t="s">
        <v>24</v>
      </c>
      <c r="H1545" s="29" t="s">
        <v>25</v>
      </c>
    </row>
    <row r="1546" customFormat="false" ht="14.25" hidden="false" customHeight="false" outlineLevel="0" collapsed="false">
      <c r="A1546" s="1" t="n">
        <v>2549</v>
      </c>
      <c r="B1546" s="30" t="n">
        <v>43116</v>
      </c>
      <c r="C1546" s="29" t="s">
        <v>31</v>
      </c>
      <c r="D1546" s="62" t="n">
        <v>34</v>
      </c>
      <c r="E1546" s="62" t="n">
        <v>231.44</v>
      </c>
      <c r="F1546" s="62" t="s">
        <v>4</v>
      </c>
      <c r="G1546" s="29" t="s">
        <v>29</v>
      </c>
      <c r="H1546" s="29" t="s">
        <v>35</v>
      </c>
    </row>
    <row r="1547" customFormat="false" ht="14.25" hidden="false" customHeight="false" outlineLevel="0" collapsed="false">
      <c r="A1547" s="1" t="n">
        <v>2550</v>
      </c>
      <c r="B1547" s="30" t="n">
        <v>43375</v>
      </c>
      <c r="C1547" s="29" t="s">
        <v>31</v>
      </c>
      <c r="D1547" s="62" t="n">
        <v>11</v>
      </c>
      <c r="E1547" s="62" t="n">
        <v>1582.68</v>
      </c>
      <c r="F1547" s="62" t="s">
        <v>4</v>
      </c>
      <c r="G1547" s="29" t="s">
        <v>22</v>
      </c>
      <c r="H1547" s="29" t="s">
        <v>40</v>
      </c>
    </row>
    <row r="1548" customFormat="false" ht="14.25" hidden="false" customHeight="false" outlineLevel="0" collapsed="false">
      <c r="A1548" s="1" t="n">
        <v>2551</v>
      </c>
      <c r="B1548" s="30" t="n">
        <v>43143</v>
      </c>
      <c r="C1548" s="29" t="s">
        <v>28</v>
      </c>
      <c r="D1548" s="62" t="n">
        <v>19</v>
      </c>
      <c r="E1548" s="62" t="n">
        <v>5821.93</v>
      </c>
      <c r="F1548" s="62" t="s">
        <v>4</v>
      </c>
      <c r="G1548" s="29" t="s">
        <v>22</v>
      </c>
      <c r="H1548" s="29" t="s">
        <v>27</v>
      </c>
    </row>
    <row r="1549" customFormat="false" ht="14.25" hidden="false" customHeight="false" outlineLevel="0" collapsed="false">
      <c r="A1549" s="1" t="n">
        <v>2552</v>
      </c>
      <c r="B1549" s="30" t="n">
        <v>43389</v>
      </c>
      <c r="C1549" s="29" t="s">
        <v>37</v>
      </c>
      <c r="D1549" s="62" t="n">
        <v>42</v>
      </c>
      <c r="E1549" s="62" t="n">
        <v>4651.27</v>
      </c>
      <c r="F1549" s="62" t="s">
        <v>5</v>
      </c>
      <c r="G1549" s="29" t="s">
        <v>22</v>
      </c>
      <c r="H1549" s="29" t="s">
        <v>44</v>
      </c>
    </row>
    <row r="1550" customFormat="false" ht="14.25" hidden="false" customHeight="false" outlineLevel="0" collapsed="false">
      <c r="A1550" s="1" t="n">
        <v>2553</v>
      </c>
      <c r="B1550" s="30" t="n">
        <v>43449</v>
      </c>
      <c r="C1550" s="29" t="s">
        <v>31</v>
      </c>
      <c r="D1550" s="62" t="n">
        <v>34</v>
      </c>
      <c r="E1550" s="62" t="n">
        <v>1144.74</v>
      </c>
      <c r="F1550" s="62" t="s">
        <v>5</v>
      </c>
      <c r="G1550" s="29" t="s">
        <v>22</v>
      </c>
      <c r="H1550" s="29" t="s">
        <v>27</v>
      </c>
    </row>
    <row r="1551" customFormat="false" ht="14.25" hidden="false" customHeight="false" outlineLevel="0" collapsed="false">
      <c r="A1551" s="1" t="n">
        <v>2554</v>
      </c>
      <c r="B1551" s="30" t="n">
        <v>43397</v>
      </c>
      <c r="C1551" s="29" t="s">
        <v>37</v>
      </c>
      <c r="D1551" s="62" t="n">
        <v>40</v>
      </c>
      <c r="E1551" s="62" t="n">
        <v>7081.75</v>
      </c>
      <c r="F1551" s="62" t="s">
        <v>5</v>
      </c>
      <c r="G1551" s="29" t="s">
        <v>24</v>
      </c>
      <c r="H1551" s="29" t="s">
        <v>25</v>
      </c>
    </row>
    <row r="1552" customFormat="false" ht="14.25" hidden="false" customHeight="false" outlineLevel="0" collapsed="false">
      <c r="A1552" s="1" t="n">
        <v>2555</v>
      </c>
      <c r="B1552" s="30" t="n">
        <v>43397</v>
      </c>
      <c r="C1552" s="29" t="s">
        <v>37</v>
      </c>
      <c r="D1552" s="62" t="n">
        <v>37</v>
      </c>
      <c r="E1552" s="62" t="n">
        <v>2346.11</v>
      </c>
      <c r="F1552" s="62" t="s">
        <v>5</v>
      </c>
      <c r="G1552" s="29" t="s">
        <v>29</v>
      </c>
      <c r="H1552" s="29" t="s">
        <v>41</v>
      </c>
    </row>
    <row r="1553" customFormat="false" ht="14.25" hidden="false" customHeight="false" outlineLevel="0" collapsed="false">
      <c r="A1553" s="1" t="n">
        <v>2556</v>
      </c>
      <c r="B1553" s="30" t="n">
        <v>43353</v>
      </c>
      <c r="C1553" s="29" t="s">
        <v>21</v>
      </c>
      <c r="D1553" s="62" t="n">
        <v>47</v>
      </c>
      <c r="E1553" s="62" t="n">
        <v>6560.75</v>
      </c>
      <c r="F1553" s="62" t="s">
        <v>6</v>
      </c>
      <c r="G1553" s="29" t="s">
        <v>22</v>
      </c>
      <c r="H1553" s="29" t="s">
        <v>40</v>
      </c>
    </row>
    <row r="1554" customFormat="false" ht="14.25" hidden="false" customHeight="false" outlineLevel="0" collapsed="false">
      <c r="A1554" s="1" t="n">
        <v>2557</v>
      </c>
      <c r="B1554" s="30" t="n">
        <v>43123</v>
      </c>
      <c r="C1554" s="29" t="s">
        <v>37</v>
      </c>
      <c r="D1554" s="62" t="n">
        <v>18</v>
      </c>
      <c r="E1554" s="62" t="n">
        <v>96.29</v>
      </c>
      <c r="F1554" s="62" t="s">
        <v>6</v>
      </c>
      <c r="G1554" s="29" t="s">
        <v>29</v>
      </c>
      <c r="H1554" s="29" t="s">
        <v>34</v>
      </c>
    </row>
    <row r="1555" customFormat="false" ht="14.25" hidden="false" customHeight="false" outlineLevel="0" collapsed="false">
      <c r="A1555" s="1" t="n">
        <v>2558</v>
      </c>
      <c r="B1555" s="30" t="n">
        <v>43358</v>
      </c>
      <c r="C1555" s="29" t="s">
        <v>31</v>
      </c>
      <c r="D1555" s="62" t="n">
        <v>42</v>
      </c>
      <c r="E1555" s="62" t="n">
        <v>687.05</v>
      </c>
      <c r="F1555" s="62" t="s">
        <v>4</v>
      </c>
      <c r="G1555" s="29" t="s">
        <v>24</v>
      </c>
      <c r="H1555" s="29" t="s">
        <v>42</v>
      </c>
    </row>
    <row r="1556" customFormat="false" ht="14.25" hidden="false" customHeight="false" outlineLevel="0" collapsed="false">
      <c r="A1556" s="1" t="n">
        <v>2559</v>
      </c>
      <c r="B1556" s="30" t="n">
        <v>43374</v>
      </c>
      <c r="C1556" s="29" t="s">
        <v>21</v>
      </c>
      <c r="D1556" s="62" t="n">
        <v>1</v>
      </c>
      <c r="E1556" s="62" t="n">
        <v>75.87</v>
      </c>
      <c r="F1556" s="62" t="s">
        <v>5</v>
      </c>
      <c r="G1556" s="29" t="s">
        <v>29</v>
      </c>
      <c r="H1556" s="29" t="s">
        <v>41</v>
      </c>
    </row>
    <row r="1557" customFormat="false" ht="14.25" hidden="false" customHeight="false" outlineLevel="0" collapsed="false">
      <c r="A1557" s="1" t="n">
        <v>2560</v>
      </c>
      <c r="B1557" s="30" t="n">
        <v>43443</v>
      </c>
      <c r="C1557" s="29" t="s">
        <v>31</v>
      </c>
      <c r="D1557" s="62" t="n">
        <v>31</v>
      </c>
      <c r="E1557" s="62" t="n">
        <v>200.23</v>
      </c>
      <c r="F1557" s="62" t="s">
        <v>5</v>
      </c>
      <c r="G1557" s="29" t="s">
        <v>29</v>
      </c>
      <c r="H1557" s="29" t="s">
        <v>36</v>
      </c>
    </row>
    <row r="1558" customFormat="false" ht="14.25" hidden="false" customHeight="false" outlineLevel="0" collapsed="false">
      <c r="A1558" s="1" t="n">
        <v>2561</v>
      </c>
      <c r="B1558" s="30" t="n">
        <v>43308</v>
      </c>
      <c r="C1558" s="29" t="s">
        <v>37</v>
      </c>
      <c r="D1558" s="62" t="n">
        <v>44</v>
      </c>
      <c r="E1558" s="62" t="n">
        <v>236.92</v>
      </c>
      <c r="F1558" s="62" t="s">
        <v>4</v>
      </c>
      <c r="G1558" s="29" t="s">
        <v>24</v>
      </c>
      <c r="H1558" s="29" t="s">
        <v>26</v>
      </c>
    </row>
    <row r="1559" customFormat="false" ht="14.25" hidden="false" customHeight="false" outlineLevel="0" collapsed="false">
      <c r="A1559" s="1" t="n">
        <v>2562</v>
      </c>
      <c r="B1559" s="30" t="n">
        <v>43297</v>
      </c>
      <c r="C1559" s="29" t="s">
        <v>39</v>
      </c>
      <c r="D1559" s="62" t="n">
        <v>6</v>
      </c>
      <c r="E1559" s="62" t="n">
        <v>492.96</v>
      </c>
      <c r="F1559" s="62" t="s">
        <v>3</v>
      </c>
      <c r="G1559" s="29" t="s">
        <v>29</v>
      </c>
      <c r="H1559" s="29" t="s">
        <v>38</v>
      </c>
    </row>
    <row r="1560" customFormat="false" ht="14.25" hidden="false" customHeight="false" outlineLevel="0" collapsed="false">
      <c r="A1560" s="1" t="n">
        <v>2563</v>
      </c>
      <c r="B1560" s="30" t="n">
        <v>43438</v>
      </c>
      <c r="C1560" s="29" t="s">
        <v>37</v>
      </c>
      <c r="D1560" s="62" t="n">
        <v>45</v>
      </c>
      <c r="E1560" s="62" t="n">
        <v>330.54</v>
      </c>
      <c r="F1560" s="62" t="s">
        <v>4</v>
      </c>
      <c r="G1560" s="29" t="s">
        <v>29</v>
      </c>
      <c r="H1560" s="29" t="s">
        <v>36</v>
      </c>
    </row>
    <row r="1561" customFormat="false" ht="14.25" hidden="false" customHeight="false" outlineLevel="0" collapsed="false">
      <c r="A1561" s="1" t="n">
        <v>2564</v>
      </c>
      <c r="B1561" s="30" t="n">
        <v>43438</v>
      </c>
      <c r="C1561" s="29" t="s">
        <v>37</v>
      </c>
      <c r="D1561" s="62" t="n">
        <v>7</v>
      </c>
      <c r="E1561" s="62" t="n">
        <v>60.88</v>
      </c>
      <c r="F1561" s="62" t="s">
        <v>4</v>
      </c>
      <c r="G1561" s="29" t="s">
        <v>29</v>
      </c>
      <c r="H1561" s="29" t="s">
        <v>45</v>
      </c>
    </row>
    <row r="1562" customFormat="false" ht="14.25" hidden="false" customHeight="false" outlineLevel="0" collapsed="false">
      <c r="A1562" s="1" t="n">
        <v>2565</v>
      </c>
      <c r="B1562" s="30" t="n">
        <v>43438</v>
      </c>
      <c r="C1562" s="29" t="s">
        <v>37</v>
      </c>
      <c r="D1562" s="62" t="n">
        <v>47</v>
      </c>
      <c r="E1562" s="62" t="n">
        <v>1512.79</v>
      </c>
      <c r="F1562" s="62" t="s">
        <v>4</v>
      </c>
      <c r="G1562" s="29" t="s">
        <v>29</v>
      </c>
      <c r="H1562" s="29" t="s">
        <v>34</v>
      </c>
    </row>
    <row r="1563" customFormat="false" ht="14.25" hidden="false" customHeight="false" outlineLevel="0" collapsed="false">
      <c r="A1563" s="1" t="n">
        <v>2566</v>
      </c>
      <c r="B1563" s="30" t="n">
        <v>43349</v>
      </c>
      <c r="C1563" s="29" t="s">
        <v>31</v>
      </c>
      <c r="D1563" s="62" t="n">
        <v>16</v>
      </c>
      <c r="E1563" s="62" t="n">
        <v>813.47</v>
      </c>
      <c r="F1563" s="62" t="s">
        <v>5</v>
      </c>
      <c r="G1563" s="29" t="s">
        <v>24</v>
      </c>
      <c r="H1563" s="29" t="s">
        <v>25</v>
      </c>
    </row>
    <row r="1564" customFormat="false" ht="14.25" hidden="false" customHeight="false" outlineLevel="0" collapsed="false">
      <c r="A1564" s="1" t="n">
        <v>2567</v>
      </c>
      <c r="B1564" s="30" t="n">
        <v>43205</v>
      </c>
      <c r="C1564" s="29" t="s">
        <v>37</v>
      </c>
      <c r="D1564" s="62" t="n">
        <v>6</v>
      </c>
      <c r="E1564" s="62" t="n">
        <v>22.54</v>
      </c>
      <c r="F1564" s="62" t="s">
        <v>4</v>
      </c>
      <c r="G1564" s="29" t="s">
        <v>29</v>
      </c>
      <c r="H1564" s="29" t="s">
        <v>35</v>
      </c>
    </row>
    <row r="1565" customFormat="false" ht="14.25" hidden="false" customHeight="false" outlineLevel="0" collapsed="false">
      <c r="A1565" s="1" t="n">
        <v>2568</v>
      </c>
      <c r="B1565" s="30" t="n">
        <v>43205</v>
      </c>
      <c r="C1565" s="29" t="s">
        <v>37</v>
      </c>
      <c r="D1565" s="62" t="n">
        <v>7</v>
      </c>
      <c r="E1565" s="62" t="n">
        <v>29.95</v>
      </c>
      <c r="F1565" s="62" t="s">
        <v>4</v>
      </c>
      <c r="G1565" s="29" t="s">
        <v>29</v>
      </c>
      <c r="H1565" s="29" t="s">
        <v>34</v>
      </c>
    </row>
    <row r="1566" customFormat="false" ht="14.25" hidden="false" customHeight="false" outlineLevel="0" collapsed="false">
      <c r="A1566" s="1" t="n">
        <v>2569</v>
      </c>
      <c r="B1566" s="30" t="n">
        <v>43267</v>
      </c>
      <c r="C1566" s="29" t="s">
        <v>37</v>
      </c>
      <c r="D1566" s="62" t="n">
        <v>6</v>
      </c>
      <c r="E1566" s="62" t="n">
        <v>1398.69</v>
      </c>
      <c r="F1566" s="62" t="s">
        <v>4</v>
      </c>
      <c r="G1566" s="29" t="s">
        <v>22</v>
      </c>
      <c r="H1566" s="29" t="s">
        <v>27</v>
      </c>
    </row>
    <row r="1567" customFormat="false" ht="14.25" hidden="false" customHeight="false" outlineLevel="0" collapsed="false">
      <c r="A1567" s="1" t="n">
        <v>2570</v>
      </c>
      <c r="B1567" s="30" t="n">
        <v>43328</v>
      </c>
      <c r="C1567" s="29" t="s">
        <v>28</v>
      </c>
      <c r="D1567" s="62" t="n">
        <v>10</v>
      </c>
      <c r="E1567" s="62" t="n">
        <v>211.01</v>
      </c>
      <c r="F1567" s="62" t="s">
        <v>5</v>
      </c>
      <c r="G1567" s="29" t="s">
        <v>29</v>
      </c>
      <c r="H1567" s="29" t="s">
        <v>34</v>
      </c>
    </row>
    <row r="1568" customFormat="false" ht="14.25" hidden="false" customHeight="false" outlineLevel="0" collapsed="false">
      <c r="A1568" s="1" t="n">
        <v>2571</v>
      </c>
      <c r="B1568" s="30" t="n">
        <v>43259</v>
      </c>
      <c r="C1568" s="29" t="s">
        <v>21</v>
      </c>
      <c r="D1568" s="62" t="n">
        <v>43</v>
      </c>
      <c r="E1568" s="62" t="n">
        <v>164.97</v>
      </c>
      <c r="F1568" s="62" t="s">
        <v>4</v>
      </c>
      <c r="G1568" s="29" t="s">
        <v>29</v>
      </c>
      <c r="H1568" s="29" t="s">
        <v>34</v>
      </c>
    </row>
    <row r="1569" customFormat="false" ht="14.25" hidden="false" customHeight="false" outlineLevel="0" collapsed="false">
      <c r="A1569" s="1" t="n">
        <v>2572</v>
      </c>
      <c r="B1569" s="30" t="n">
        <v>43259</v>
      </c>
      <c r="C1569" s="29" t="s">
        <v>21</v>
      </c>
      <c r="D1569" s="62" t="n">
        <v>18</v>
      </c>
      <c r="E1569" s="62" t="n">
        <v>118.03</v>
      </c>
      <c r="F1569" s="62" t="s">
        <v>4</v>
      </c>
      <c r="G1569" s="29" t="s">
        <v>29</v>
      </c>
      <c r="H1569" s="29" t="s">
        <v>30</v>
      </c>
    </row>
    <row r="1570" customFormat="false" ht="14.25" hidden="false" customHeight="false" outlineLevel="0" collapsed="false">
      <c r="A1570" s="1" t="n">
        <v>2573</v>
      </c>
      <c r="B1570" s="30" t="n">
        <v>43259</v>
      </c>
      <c r="C1570" s="29" t="s">
        <v>21</v>
      </c>
      <c r="D1570" s="62" t="n">
        <v>41</v>
      </c>
      <c r="E1570" s="62" t="n">
        <v>147.14</v>
      </c>
      <c r="F1570" s="62" t="s">
        <v>4</v>
      </c>
      <c r="G1570" s="29" t="s">
        <v>29</v>
      </c>
      <c r="H1570" s="29" t="s">
        <v>33</v>
      </c>
    </row>
    <row r="1571" customFormat="false" ht="14.25" hidden="false" customHeight="false" outlineLevel="0" collapsed="false">
      <c r="A1571" s="1" t="n">
        <v>2574</v>
      </c>
      <c r="B1571" s="30" t="n">
        <v>43303</v>
      </c>
      <c r="C1571" s="29" t="s">
        <v>21</v>
      </c>
      <c r="D1571" s="62" t="n">
        <v>22</v>
      </c>
      <c r="E1571" s="62" t="n">
        <v>695.19</v>
      </c>
      <c r="F1571" s="62" t="s">
        <v>4</v>
      </c>
      <c r="G1571" s="29" t="s">
        <v>24</v>
      </c>
      <c r="H1571" s="29" t="s">
        <v>26</v>
      </c>
    </row>
    <row r="1572" customFormat="false" ht="14.25" hidden="false" customHeight="false" outlineLevel="0" collapsed="false">
      <c r="A1572" s="1" t="n">
        <v>2575</v>
      </c>
      <c r="B1572" s="30" t="n">
        <v>43161</v>
      </c>
      <c r="C1572" s="29" t="s">
        <v>37</v>
      </c>
      <c r="D1572" s="62" t="n">
        <v>40</v>
      </c>
      <c r="E1572" s="62" t="n">
        <v>694.92</v>
      </c>
      <c r="F1572" s="62" t="s">
        <v>6</v>
      </c>
      <c r="G1572" s="29" t="s">
        <v>24</v>
      </c>
      <c r="H1572" s="29" t="s">
        <v>26</v>
      </c>
    </row>
    <row r="1573" customFormat="false" ht="14.25" hidden="false" customHeight="false" outlineLevel="0" collapsed="false">
      <c r="A1573" s="1" t="n">
        <v>2576</v>
      </c>
      <c r="B1573" s="30" t="n">
        <v>43241</v>
      </c>
      <c r="C1573" s="29" t="s">
        <v>37</v>
      </c>
      <c r="D1573" s="62" t="n">
        <v>49</v>
      </c>
      <c r="E1573" s="62" t="n">
        <v>22151.06</v>
      </c>
      <c r="F1573" s="62" t="s">
        <v>4</v>
      </c>
      <c r="G1573" s="29" t="s">
        <v>22</v>
      </c>
      <c r="H1573" s="29" t="s">
        <v>27</v>
      </c>
    </row>
    <row r="1574" customFormat="false" ht="14.25" hidden="false" customHeight="false" outlineLevel="0" collapsed="false">
      <c r="A1574" s="1" t="n">
        <v>2577</v>
      </c>
      <c r="B1574" s="30" t="n">
        <v>43168</v>
      </c>
      <c r="C1574" s="29" t="s">
        <v>37</v>
      </c>
      <c r="D1574" s="62" t="n">
        <v>30</v>
      </c>
      <c r="E1574" s="62" t="n">
        <v>188.48</v>
      </c>
      <c r="F1574" s="62" t="s">
        <v>4</v>
      </c>
      <c r="G1574" s="29" t="s">
        <v>29</v>
      </c>
      <c r="H1574" s="29" t="s">
        <v>34</v>
      </c>
    </row>
    <row r="1575" customFormat="false" ht="14.25" hidden="false" customHeight="false" outlineLevel="0" collapsed="false">
      <c r="A1575" s="1" t="n">
        <v>2578</v>
      </c>
      <c r="B1575" s="30" t="n">
        <v>43168</v>
      </c>
      <c r="C1575" s="29" t="s">
        <v>37</v>
      </c>
      <c r="D1575" s="62" t="n">
        <v>29</v>
      </c>
      <c r="E1575" s="62" t="n">
        <v>3152.27</v>
      </c>
      <c r="F1575" s="62" t="s">
        <v>4</v>
      </c>
      <c r="G1575" s="29" t="s">
        <v>22</v>
      </c>
      <c r="H1575" s="29" t="s">
        <v>27</v>
      </c>
    </row>
    <row r="1576" customFormat="false" ht="14.25" hidden="false" customHeight="false" outlineLevel="0" collapsed="false">
      <c r="A1576" s="1" t="n">
        <v>2579</v>
      </c>
      <c r="B1576" s="30" t="n">
        <v>43450</v>
      </c>
      <c r="C1576" s="29" t="s">
        <v>28</v>
      </c>
      <c r="D1576" s="62" t="n">
        <v>35</v>
      </c>
      <c r="E1576" s="62" t="n">
        <v>185.35</v>
      </c>
      <c r="F1576" s="62" t="s">
        <v>3</v>
      </c>
      <c r="G1576" s="29" t="s">
        <v>29</v>
      </c>
      <c r="H1576" s="29" t="s">
        <v>35</v>
      </c>
    </row>
    <row r="1577" customFormat="false" ht="14.25" hidden="false" customHeight="false" outlineLevel="0" collapsed="false">
      <c r="A1577" s="1" t="n">
        <v>2580</v>
      </c>
      <c r="B1577" s="30" t="n">
        <v>43424</v>
      </c>
      <c r="C1577" s="29" t="s">
        <v>21</v>
      </c>
      <c r="D1577" s="62" t="n">
        <v>40</v>
      </c>
      <c r="E1577" s="62" t="n">
        <v>109.3</v>
      </c>
      <c r="F1577" s="62" t="s">
        <v>3</v>
      </c>
      <c r="G1577" s="29" t="s">
        <v>22</v>
      </c>
      <c r="H1577" s="29" t="s">
        <v>23</v>
      </c>
    </row>
    <row r="1578" customFormat="false" ht="14.25" hidden="false" customHeight="false" outlineLevel="0" collapsed="false">
      <c r="A1578" s="1" t="n">
        <v>2581</v>
      </c>
      <c r="B1578" s="30" t="n">
        <v>43325</v>
      </c>
      <c r="C1578" s="29" t="s">
        <v>31</v>
      </c>
      <c r="D1578" s="62" t="n">
        <v>3</v>
      </c>
      <c r="E1578" s="62" t="n">
        <v>20.94</v>
      </c>
      <c r="F1578" s="62" t="s">
        <v>5</v>
      </c>
      <c r="G1578" s="29" t="s">
        <v>29</v>
      </c>
      <c r="H1578" s="29" t="s">
        <v>30</v>
      </c>
    </row>
    <row r="1579" customFormat="false" ht="14.25" hidden="false" customHeight="false" outlineLevel="0" collapsed="false">
      <c r="A1579" s="1" t="n">
        <v>2582</v>
      </c>
      <c r="B1579" s="30" t="n">
        <v>43161</v>
      </c>
      <c r="C1579" s="29" t="s">
        <v>39</v>
      </c>
      <c r="D1579" s="62" t="n">
        <v>1</v>
      </c>
      <c r="E1579" s="62" t="n">
        <v>24.33</v>
      </c>
      <c r="F1579" s="62" t="s">
        <v>5</v>
      </c>
      <c r="G1579" s="29" t="s">
        <v>22</v>
      </c>
      <c r="H1579" s="29" t="s">
        <v>23</v>
      </c>
    </row>
    <row r="1580" customFormat="false" ht="14.25" hidden="false" customHeight="false" outlineLevel="0" collapsed="false">
      <c r="A1580" s="1" t="n">
        <v>2583</v>
      </c>
      <c r="B1580" s="30" t="n">
        <v>43354</v>
      </c>
      <c r="C1580" s="29" t="s">
        <v>21</v>
      </c>
      <c r="D1580" s="62" t="n">
        <v>4</v>
      </c>
      <c r="E1580" s="62" t="n">
        <v>116.49</v>
      </c>
      <c r="F1580" s="62" t="s">
        <v>5</v>
      </c>
      <c r="G1580" s="29" t="s">
        <v>29</v>
      </c>
      <c r="H1580" s="29" t="s">
        <v>36</v>
      </c>
    </row>
    <row r="1581" customFormat="false" ht="14.25" hidden="false" customHeight="false" outlineLevel="0" collapsed="false">
      <c r="A1581" s="1" t="n">
        <v>2584</v>
      </c>
      <c r="B1581" s="30" t="n">
        <v>43242</v>
      </c>
      <c r="C1581" s="29" t="s">
        <v>28</v>
      </c>
      <c r="D1581" s="62" t="n">
        <v>16</v>
      </c>
      <c r="E1581" s="62" t="n">
        <v>149.47</v>
      </c>
      <c r="F1581" s="62" t="s">
        <v>5</v>
      </c>
      <c r="G1581" s="29" t="s">
        <v>29</v>
      </c>
      <c r="H1581" s="29" t="s">
        <v>41</v>
      </c>
    </row>
    <row r="1582" customFormat="false" ht="14.25" hidden="false" customHeight="false" outlineLevel="0" collapsed="false">
      <c r="A1582" s="1" t="n">
        <v>2585</v>
      </c>
      <c r="B1582" s="30" t="n">
        <v>43242</v>
      </c>
      <c r="C1582" s="29" t="s">
        <v>28</v>
      </c>
      <c r="D1582" s="62" t="n">
        <v>39</v>
      </c>
      <c r="E1582" s="62" t="n">
        <v>6452.72</v>
      </c>
      <c r="F1582" s="62" t="s">
        <v>5</v>
      </c>
      <c r="G1582" s="29" t="s">
        <v>24</v>
      </c>
      <c r="H1582" s="29" t="s">
        <v>25</v>
      </c>
    </row>
    <row r="1583" customFormat="false" ht="14.25" hidden="false" customHeight="false" outlineLevel="0" collapsed="false">
      <c r="A1583" s="1" t="n">
        <v>2586</v>
      </c>
      <c r="B1583" s="30" t="n">
        <v>43401</v>
      </c>
      <c r="C1583" s="29" t="s">
        <v>21</v>
      </c>
      <c r="D1583" s="62" t="n">
        <v>33</v>
      </c>
      <c r="E1583" s="62" t="n">
        <v>101</v>
      </c>
      <c r="F1583" s="62" t="s">
        <v>6</v>
      </c>
      <c r="G1583" s="29" t="s">
        <v>29</v>
      </c>
      <c r="H1583" s="29" t="s">
        <v>30</v>
      </c>
    </row>
    <row r="1584" customFormat="false" ht="14.25" hidden="false" customHeight="false" outlineLevel="0" collapsed="false">
      <c r="A1584" s="1" t="n">
        <v>2587</v>
      </c>
      <c r="B1584" s="30" t="n">
        <v>43176</v>
      </c>
      <c r="C1584" s="29" t="s">
        <v>37</v>
      </c>
      <c r="D1584" s="62" t="n">
        <v>15</v>
      </c>
      <c r="E1584" s="62" t="n">
        <v>2279.81</v>
      </c>
      <c r="F1584" s="62" t="s">
        <v>5</v>
      </c>
      <c r="G1584" s="29" t="s">
        <v>22</v>
      </c>
      <c r="H1584" s="29" t="s">
        <v>40</v>
      </c>
    </row>
    <row r="1585" customFormat="false" ht="14.25" hidden="false" customHeight="false" outlineLevel="0" collapsed="false">
      <c r="A1585" s="1" t="n">
        <v>2588</v>
      </c>
      <c r="B1585" s="30" t="n">
        <v>43302</v>
      </c>
      <c r="C1585" s="29" t="s">
        <v>37</v>
      </c>
      <c r="D1585" s="62" t="n">
        <v>25</v>
      </c>
      <c r="E1585" s="62" t="n">
        <v>3539.86</v>
      </c>
      <c r="F1585" s="62" t="s">
        <v>3</v>
      </c>
      <c r="G1585" s="29" t="s">
        <v>22</v>
      </c>
      <c r="H1585" s="29" t="s">
        <v>44</v>
      </c>
    </row>
    <row r="1586" customFormat="false" ht="14.25" hidden="false" customHeight="false" outlineLevel="0" collapsed="false">
      <c r="A1586" s="1" t="n">
        <v>2589</v>
      </c>
      <c r="B1586" s="30" t="n">
        <v>43209</v>
      </c>
      <c r="C1586" s="29" t="s">
        <v>37</v>
      </c>
      <c r="D1586" s="62" t="n">
        <v>25</v>
      </c>
      <c r="E1586" s="62" t="n">
        <v>1484.4</v>
      </c>
      <c r="F1586" s="62" t="s">
        <v>5</v>
      </c>
      <c r="G1586" s="29" t="s">
        <v>29</v>
      </c>
      <c r="H1586" s="29" t="s">
        <v>36</v>
      </c>
    </row>
    <row r="1587" customFormat="false" ht="14.25" hidden="false" customHeight="false" outlineLevel="0" collapsed="false">
      <c r="A1587" s="1" t="n">
        <v>2590</v>
      </c>
      <c r="B1587" s="30" t="n">
        <v>43231</v>
      </c>
      <c r="C1587" s="29" t="s">
        <v>21</v>
      </c>
      <c r="D1587" s="62" t="n">
        <v>42</v>
      </c>
      <c r="E1587" s="62" t="n">
        <v>290.12</v>
      </c>
      <c r="F1587" s="62" t="s">
        <v>4</v>
      </c>
      <c r="G1587" s="29" t="s">
        <v>29</v>
      </c>
      <c r="H1587" s="29" t="s">
        <v>36</v>
      </c>
    </row>
    <row r="1588" customFormat="false" ht="14.25" hidden="false" customHeight="false" outlineLevel="0" collapsed="false">
      <c r="A1588" s="1" t="n">
        <v>2591</v>
      </c>
      <c r="B1588" s="30" t="n">
        <v>43314</v>
      </c>
      <c r="C1588" s="29" t="s">
        <v>28</v>
      </c>
      <c r="D1588" s="62" t="n">
        <v>47</v>
      </c>
      <c r="E1588" s="62" t="n">
        <v>158.64</v>
      </c>
      <c r="F1588" s="62" t="s">
        <v>3</v>
      </c>
      <c r="G1588" s="29" t="s">
        <v>29</v>
      </c>
      <c r="H1588" s="29" t="s">
        <v>30</v>
      </c>
    </row>
    <row r="1589" customFormat="false" ht="14.25" hidden="false" customHeight="false" outlineLevel="0" collapsed="false">
      <c r="A1589" s="1" t="n">
        <v>2592</v>
      </c>
      <c r="B1589" s="30" t="n">
        <v>43314</v>
      </c>
      <c r="C1589" s="29" t="s">
        <v>28</v>
      </c>
      <c r="D1589" s="62" t="n">
        <v>48</v>
      </c>
      <c r="E1589" s="62" t="n">
        <v>255.51</v>
      </c>
      <c r="F1589" s="62" t="s">
        <v>3</v>
      </c>
      <c r="G1589" s="29" t="s">
        <v>29</v>
      </c>
      <c r="H1589" s="29" t="s">
        <v>36</v>
      </c>
    </row>
    <row r="1590" customFormat="false" ht="14.25" hidden="false" customHeight="false" outlineLevel="0" collapsed="false">
      <c r="A1590" s="1" t="n">
        <v>2593</v>
      </c>
      <c r="B1590" s="30" t="n">
        <v>43453</v>
      </c>
      <c r="C1590" s="29" t="s">
        <v>31</v>
      </c>
      <c r="D1590" s="62" t="n">
        <v>47</v>
      </c>
      <c r="E1590" s="62" t="n">
        <v>776.61</v>
      </c>
      <c r="F1590" s="62" t="s">
        <v>3</v>
      </c>
      <c r="G1590" s="29" t="s">
        <v>29</v>
      </c>
      <c r="H1590" s="29" t="s">
        <v>36</v>
      </c>
    </row>
    <row r="1591" customFormat="false" ht="14.25" hidden="false" customHeight="false" outlineLevel="0" collapsed="false">
      <c r="A1591" s="1" t="n">
        <v>2594</v>
      </c>
      <c r="B1591" s="30" t="n">
        <v>43235</v>
      </c>
      <c r="C1591" s="29" t="s">
        <v>21</v>
      </c>
      <c r="D1591" s="62" t="n">
        <v>44</v>
      </c>
      <c r="E1591" s="62" t="n">
        <v>889.79</v>
      </c>
      <c r="F1591" s="62" t="s">
        <v>6</v>
      </c>
      <c r="G1591" s="29" t="s">
        <v>24</v>
      </c>
      <c r="H1591" s="29" t="s">
        <v>25</v>
      </c>
    </row>
    <row r="1592" customFormat="false" ht="14.25" hidden="false" customHeight="false" outlineLevel="0" collapsed="false">
      <c r="A1592" s="1" t="n">
        <v>2595</v>
      </c>
      <c r="B1592" s="30" t="n">
        <v>43184</v>
      </c>
      <c r="C1592" s="29" t="s">
        <v>31</v>
      </c>
      <c r="D1592" s="62" t="n">
        <v>3</v>
      </c>
      <c r="E1592" s="62" t="n">
        <v>14.67</v>
      </c>
      <c r="F1592" s="62" t="s">
        <v>4</v>
      </c>
      <c r="G1592" s="29" t="s">
        <v>29</v>
      </c>
      <c r="H1592" s="29" t="s">
        <v>30</v>
      </c>
    </row>
    <row r="1593" customFormat="false" ht="14.25" hidden="false" customHeight="false" outlineLevel="0" collapsed="false">
      <c r="A1593" s="1" t="n">
        <v>2596</v>
      </c>
      <c r="B1593" s="30" t="n">
        <v>43438</v>
      </c>
      <c r="C1593" s="29" t="s">
        <v>21</v>
      </c>
      <c r="D1593" s="62" t="n">
        <v>13</v>
      </c>
      <c r="E1593" s="62" t="n">
        <v>71.51</v>
      </c>
      <c r="F1593" s="62" t="s">
        <v>6</v>
      </c>
      <c r="G1593" s="29" t="s">
        <v>29</v>
      </c>
      <c r="H1593" s="29" t="s">
        <v>36</v>
      </c>
    </row>
    <row r="1594" customFormat="false" ht="14.25" hidden="false" customHeight="false" outlineLevel="0" collapsed="false">
      <c r="A1594" s="1" t="n">
        <v>2597</v>
      </c>
      <c r="B1594" s="30" t="n">
        <v>43339</v>
      </c>
      <c r="C1594" s="29" t="s">
        <v>21</v>
      </c>
      <c r="D1594" s="62" t="n">
        <v>17</v>
      </c>
      <c r="E1594" s="62" t="n">
        <v>50.42</v>
      </c>
      <c r="F1594" s="62" t="s">
        <v>4</v>
      </c>
      <c r="G1594" s="29" t="s">
        <v>29</v>
      </c>
      <c r="H1594" s="29" t="s">
        <v>30</v>
      </c>
    </row>
    <row r="1595" customFormat="false" ht="14.25" hidden="false" customHeight="false" outlineLevel="0" collapsed="false">
      <c r="A1595" s="1" t="n">
        <v>2598</v>
      </c>
      <c r="B1595" s="30" t="n">
        <v>43298</v>
      </c>
      <c r="C1595" s="29" t="s">
        <v>28</v>
      </c>
      <c r="D1595" s="62" t="n">
        <v>39</v>
      </c>
      <c r="E1595" s="62" t="n">
        <v>5135.77</v>
      </c>
      <c r="F1595" s="62" t="s">
        <v>4</v>
      </c>
      <c r="G1595" s="29" t="s">
        <v>24</v>
      </c>
      <c r="H1595" s="29" t="s">
        <v>25</v>
      </c>
    </row>
    <row r="1596" customFormat="false" ht="14.25" hidden="false" customHeight="false" outlineLevel="0" collapsed="false">
      <c r="A1596" s="1" t="n">
        <v>2599</v>
      </c>
      <c r="B1596" s="30" t="n">
        <v>43165</v>
      </c>
      <c r="C1596" s="29" t="s">
        <v>39</v>
      </c>
      <c r="D1596" s="62" t="n">
        <v>36</v>
      </c>
      <c r="E1596" s="62" t="n">
        <v>440.57</v>
      </c>
      <c r="F1596" s="62" t="s">
        <v>4</v>
      </c>
      <c r="G1596" s="29" t="s">
        <v>29</v>
      </c>
      <c r="H1596" s="29" t="s">
        <v>30</v>
      </c>
    </row>
    <row r="1597" customFormat="false" ht="14.25" hidden="false" customHeight="false" outlineLevel="0" collapsed="false">
      <c r="A1597" s="1" t="n">
        <v>2600</v>
      </c>
      <c r="B1597" s="30" t="n">
        <v>43200</v>
      </c>
      <c r="C1597" s="29" t="s">
        <v>21</v>
      </c>
      <c r="D1597" s="62" t="n">
        <v>41</v>
      </c>
      <c r="E1597" s="62" t="n">
        <v>758.45</v>
      </c>
      <c r="F1597" s="62" t="s">
        <v>5</v>
      </c>
      <c r="G1597" s="29" t="s">
        <v>22</v>
      </c>
      <c r="H1597" s="29" t="s">
        <v>23</v>
      </c>
    </row>
    <row r="1598" customFormat="false" ht="14.25" hidden="false" customHeight="false" outlineLevel="0" collapsed="false">
      <c r="A1598" s="1" t="n">
        <v>2601</v>
      </c>
      <c r="B1598" s="30" t="n">
        <v>43290</v>
      </c>
      <c r="C1598" s="29" t="s">
        <v>39</v>
      </c>
      <c r="D1598" s="62" t="n">
        <v>33</v>
      </c>
      <c r="E1598" s="62" t="n">
        <v>6057.36</v>
      </c>
      <c r="F1598" s="62" t="s">
        <v>4</v>
      </c>
      <c r="G1598" s="29" t="s">
        <v>22</v>
      </c>
      <c r="H1598" s="29" t="s">
        <v>40</v>
      </c>
    </row>
    <row r="1599" customFormat="false" ht="14.25" hidden="false" customHeight="false" outlineLevel="0" collapsed="false">
      <c r="A1599" s="1" t="n">
        <v>2602</v>
      </c>
      <c r="B1599" s="30" t="n">
        <v>43114</v>
      </c>
      <c r="C1599" s="29" t="s">
        <v>31</v>
      </c>
      <c r="D1599" s="62" t="n">
        <v>32</v>
      </c>
      <c r="E1599" s="62" t="n">
        <v>267.06</v>
      </c>
      <c r="F1599" s="62" t="s">
        <v>5</v>
      </c>
      <c r="G1599" s="29" t="s">
        <v>29</v>
      </c>
      <c r="H1599" s="29" t="s">
        <v>45</v>
      </c>
    </row>
    <row r="1600" customFormat="false" ht="14.25" hidden="false" customHeight="false" outlineLevel="0" collapsed="false">
      <c r="A1600" s="1" t="n">
        <v>2603</v>
      </c>
      <c r="B1600" s="30" t="n">
        <v>43324</v>
      </c>
      <c r="C1600" s="29" t="s">
        <v>31</v>
      </c>
      <c r="D1600" s="62" t="n">
        <v>13</v>
      </c>
      <c r="E1600" s="62" t="n">
        <v>438.67</v>
      </c>
      <c r="F1600" s="62" t="s">
        <v>4</v>
      </c>
      <c r="G1600" s="29" t="s">
        <v>29</v>
      </c>
      <c r="H1600" s="29" t="s">
        <v>41</v>
      </c>
    </row>
    <row r="1601" customFormat="false" ht="14.25" hidden="false" customHeight="false" outlineLevel="0" collapsed="false">
      <c r="A1601" s="1" t="n">
        <v>2604</v>
      </c>
      <c r="B1601" s="30" t="n">
        <v>43374</v>
      </c>
      <c r="C1601" s="29" t="s">
        <v>37</v>
      </c>
      <c r="D1601" s="62" t="n">
        <v>24</v>
      </c>
      <c r="E1601" s="62" t="n">
        <v>254.93</v>
      </c>
      <c r="F1601" s="62" t="s">
        <v>4</v>
      </c>
      <c r="G1601" s="29" t="s">
        <v>29</v>
      </c>
      <c r="H1601" s="29" t="s">
        <v>38</v>
      </c>
    </row>
    <row r="1602" customFormat="false" ht="14.25" hidden="false" customHeight="false" outlineLevel="0" collapsed="false">
      <c r="A1602" s="1" t="n">
        <v>2605</v>
      </c>
      <c r="B1602" s="30" t="n">
        <v>43151</v>
      </c>
      <c r="C1602" s="29" t="s">
        <v>31</v>
      </c>
      <c r="D1602" s="62" t="n">
        <v>30</v>
      </c>
      <c r="E1602" s="62" t="n">
        <v>175.92</v>
      </c>
      <c r="F1602" s="62" t="s">
        <v>4</v>
      </c>
      <c r="G1602" s="29" t="s">
        <v>29</v>
      </c>
      <c r="H1602" s="29" t="s">
        <v>36</v>
      </c>
    </row>
    <row r="1603" customFormat="false" ht="14.25" hidden="false" customHeight="false" outlineLevel="0" collapsed="false">
      <c r="A1603" s="1" t="n">
        <v>2606</v>
      </c>
      <c r="B1603" s="30" t="n">
        <v>43151</v>
      </c>
      <c r="C1603" s="29" t="s">
        <v>31</v>
      </c>
      <c r="D1603" s="62" t="n">
        <v>19</v>
      </c>
      <c r="E1603" s="62" t="n">
        <v>2013.93</v>
      </c>
      <c r="F1603" s="62" t="s">
        <v>4</v>
      </c>
      <c r="G1603" s="29" t="s">
        <v>22</v>
      </c>
      <c r="H1603" s="29" t="s">
        <v>23</v>
      </c>
    </row>
    <row r="1604" customFormat="false" ht="14.25" hidden="false" customHeight="false" outlineLevel="0" collapsed="false">
      <c r="A1604" s="1" t="n">
        <v>2607</v>
      </c>
      <c r="B1604" s="30" t="n">
        <v>43336</v>
      </c>
      <c r="C1604" s="29" t="s">
        <v>39</v>
      </c>
      <c r="D1604" s="62" t="n">
        <v>40</v>
      </c>
      <c r="E1604" s="62" t="n">
        <v>309.43</v>
      </c>
      <c r="F1604" s="62" t="s">
        <v>4</v>
      </c>
      <c r="G1604" s="29" t="s">
        <v>29</v>
      </c>
      <c r="H1604" s="29" t="s">
        <v>36</v>
      </c>
    </row>
    <row r="1605" customFormat="false" ht="14.25" hidden="false" customHeight="false" outlineLevel="0" collapsed="false">
      <c r="A1605" s="1" t="n">
        <v>2608</v>
      </c>
      <c r="B1605" s="30" t="n">
        <v>43336</v>
      </c>
      <c r="C1605" s="29" t="s">
        <v>39</v>
      </c>
      <c r="D1605" s="62" t="n">
        <v>13</v>
      </c>
      <c r="E1605" s="62" t="n">
        <v>105.74</v>
      </c>
      <c r="F1605" s="62" t="s">
        <v>4</v>
      </c>
      <c r="G1605" s="29" t="s">
        <v>24</v>
      </c>
      <c r="H1605" s="29" t="s">
        <v>26</v>
      </c>
    </row>
    <row r="1606" customFormat="false" ht="14.25" hidden="false" customHeight="false" outlineLevel="0" collapsed="false">
      <c r="A1606" s="1" t="n">
        <v>2609</v>
      </c>
      <c r="B1606" s="30" t="n">
        <v>43224</v>
      </c>
      <c r="C1606" s="29" t="s">
        <v>28</v>
      </c>
      <c r="D1606" s="62" t="n">
        <v>8</v>
      </c>
      <c r="E1606" s="62" t="n">
        <v>100.95</v>
      </c>
      <c r="F1606" s="62" t="s">
        <v>4</v>
      </c>
      <c r="G1606" s="29" t="s">
        <v>22</v>
      </c>
      <c r="H1606" s="29" t="s">
        <v>23</v>
      </c>
    </row>
    <row r="1607" customFormat="false" ht="14.25" hidden="false" customHeight="false" outlineLevel="0" collapsed="false">
      <c r="A1607" s="1" t="n">
        <v>2610</v>
      </c>
      <c r="B1607" s="30" t="n">
        <v>43224</v>
      </c>
      <c r="C1607" s="29" t="s">
        <v>28</v>
      </c>
      <c r="D1607" s="62" t="n">
        <v>50</v>
      </c>
      <c r="E1607" s="62" t="n">
        <v>296.12</v>
      </c>
      <c r="F1607" s="62" t="s">
        <v>4</v>
      </c>
      <c r="G1607" s="29" t="s">
        <v>29</v>
      </c>
      <c r="H1607" s="29" t="s">
        <v>36</v>
      </c>
    </row>
    <row r="1608" customFormat="false" ht="14.25" hidden="false" customHeight="false" outlineLevel="0" collapsed="false">
      <c r="A1608" s="1" t="n">
        <v>2611</v>
      </c>
      <c r="B1608" s="30" t="n">
        <v>43251</v>
      </c>
      <c r="C1608" s="29" t="s">
        <v>21</v>
      </c>
      <c r="D1608" s="62" t="n">
        <v>11</v>
      </c>
      <c r="E1608" s="62" t="n">
        <v>131.97</v>
      </c>
      <c r="F1608" s="62" t="s">
        <v>5</v>
      </c>
      <c r="G1608" s="29" t="s">
        <v>29</v>
      </c>
      <c r="H1608" s="29" t="s">
        <v>36</v>
      </c>
    </row>
    <row r="1609" customFormat="false" ht="14.25" hidden="false" customHeight="false" outlineLevel="0" collapsed="false">
      <c r="A1609" s="1" t="n">
        <v>2612</v>
      </c>
      <c r="B1609" s="30" t="n">
        <v>43251</v>
      </c>
      <c r="C1609" s="29" t="s">
        <v>21</v>
      </c>
      <c r="D1609" s="62" t="n">
        <v>23</v>
      </c>
      <c r="E1609" s="62" t="n">
        <v>1757.44</v>
      </c>
      <c r="F1609" s="62" t="s">
        <v>5</v>
      </c>
      <c r="G1609" s="29" t="s">
        <v>29</v>
      </c>
      <c r="H1609" s="29" t="s">
        <v>41</v>
      </c>
    </row>
    <row r="1610" customFormat="false" ht="14.25" hidden="false" customHeight="false" outlineLevel="0" collapsed="false">
      <c r="A1610" s="1" t="n">
        <v>2613</v>
      </c>
      <c r="B1610" s="30" t="n">
        <v>43327</v>
      </c>
      <c r="C1610" s="29" t="s">
        <v>21</v>
      </c>
      <c r="D1610" s="62" t="n">
        <v>28</v>
      </c>
      <c r="E1610" s="62" t="n">
        <v>1559.82</v>
      </c>
      <c r="F1610" s="62" t="s">
        <v>3</v>
      </c>
      <c r="G1610" s="29" t="s">
        <v>24</v>
      </c>
      <c r="H1610" s="29" t="s">
        <v>26</v>
      </c>
    </row>
    <row r="1611" customFormat="false" ht="14.25" hidden="false" customHeight="false" outlineLevel="0" collapsed="false">
      <c r="A1611" s="1" t="n">
        <v>2614</v>
      </c>
      <c r="B1611" s="30" t="n">
        <v>43122</v>
      </c>
      <c r="C1611" s="29" t="s">
        <v>21</v>
      </c>
      <c r="D1611" s="62" t="n">
        <v>41</v>
      </c>
      <c r="E1611" s="62" t="n">
        <v>423.88</v>
      </c>
      <c r="F1611" s="62" t="s">
        <v>5</v>
      </c>
      <c r="G1611" s="29" t="s">
        <v>29</v>
      </c>
      <c r="H1611" s="29" t="s">
        <v>30</v>
      </c>
    </row>
    <row r="1612" customFormat="false" ht="14.25" hidden="false" customHeight="false" outlineLevel="0" collapsed="false">
      <c r="A1612" s="1" t="n">
        <v>2615</v>
      </c>
      <c r="B1612" s="30" t="n">
        <v>43432</v>
      </c>
      <c r="C1612" s="29" t="s">
        <v>37</v>
      </c>
      <c r="D1612" s="62" t="n">
        <v>9</v>
      </c>
      <c r="E1612" s="62" t="n">
        <v>81.26</v>
      </c>
      <c r="F1612" s="62" t="s">
        <v>4</v>
      </c>
      <c r="G1612" s="29" t="s">
        <v>29</v>
      </c>
      <c r="H1612" s="29" t="s">
        <v>36</v>
      </c>
    </row>
    <row r="1613" customFormat="false" ht="14.25" hidden="false" customHeight="false" outlineLevel="0" collapsed="false">
      <c r="A1613" s="1" t="n">
        <v>2616</v>
      </c>
      <c r="B1613" s="30" t="n">
        <v>43307</v>
      </c>
      <c r="C1613" s="29" t="s">
        <v>37</v>
      </c>
      <c r="D1613" s="62" t="n">
        <v>46</v>
      </c>
      <c r="E1613" s="62" t="n">
        <v>6008.48</v>
      </c>
      <c r="F1613" s="62" t="s">
        <v>3</v>
      </c>
      <c r="G1613" s="29" t="s">
        <v>24</v>
      </c>
      <c r="H1613" s="29" t="s">
        <v>42</v>
      </c>
    </row>
    <row r="1614" customFormat="false" ht="14.25" hidden="false" customHeight="false" outlineLevel="0" collapsed="false">
      <c r="A1614" s="1" t="n">
        <v>2617</v>
      </c>
      <c r="B1614" s="30" t="n">
        <v>43165</v>
      </c>
      <c r="C1614" s="29" t="s">
        <v>39</v>
      </c>
      <c r="D1614" s="62" t="n">
        <v>33</v>
      </c>
      <c r="E1614" s="62" t="n">
        <v>1810.47</v>
      </c>
      <c r="F1614" s="62" t="s">
        <v>5</v>
      </c>
      <c r="G1614" s="29" t="s">
        <v>29</v>
      </c>
      <c r="H1614" s="29" t="s">
        <v>36</v>
      </c>
    </row>
    <row r="1615" customFormat="false" ht="14.25" hidden="false" customHeight="false" outlineLevel="0" collapsed="false">
      <c r="A1615" s="1" t="n">
        <v>2618</v>
      </c>
      <c r="B1615" s="30" t="n">
        <v>43125</v>
      </c>
      <c r="C1615" s="29" t="s">
        <v>39</v>
      </c>
      <c r="D1615" s="62" t="n">
        <v>15</v>
      </c>
      <c r="E1615" s="62" t="n">
        <v>1879.41</v>
      </c>
      <c r="F1615" s="62" t="s">
        <v>5</v>
      </c>
      <c r="G1615" s="29" t="s">
        <v>22</v>
      </c>
      <c r="H1615" s="29" t="s">
        <v>40</v>
      </c>
    </row>
    <row r="1616" customFormat="false" ht="14.25" hidden="false" customHeight="false" outlineLevel="0" collapsed="false">
      <c r="A1616" s="1" t="n">
        <v>2619</v>
      </c>
      <c r="B1616" s="30" t="n">
        <v>43373</v>
      </c>
      <c r="C1616" s="29" t="s">
        <v>37</v>
      </c>
      <c r="D1616" s="62" t="n">
        <v>3</v>
      </c>
      <c r="E1616" s="62" t="n">
        <v>47.98</v>
      </c>
      <c r="F1616" s="62" t="s">
        <v>5</v>
      </c>
      <c r="G1616" s="29" t="s">
        <v>22</v>
      </c>
      <c r="H1616" s="29" t="s">
        <v>23</v>
      </c>
    </row>
    <row r="1617" customFormat="false" ht="14.25" hidden="false" customHeight="false" outlineLevel="0" collapsed="false">
      <c r="A1617" s="1" t="n">
        <v>2620</v>
      </c>
      <c r="B1617" s="30" t="n">
        <v>43373</v>
      </c>
      <c r="C1617" s="29" t="s">
        <v>37</v>
      </c>
      <c r="D1617" s="62" t="n">
        <v>38</v>
      </c>
      <c r="E1617" s="62" t="n">
        <v>760.05</v>
      </c>
      <c r="F1617" s="62" t="s">
        <v>5</v>
      </c>
      <c r="G1617" s="29" t="s">
        <v>29</v>
      </c>
      <c r="H1617" s="29" t="s">
        <v>36</v>
      </c>
    </row>
    <row r="1618" customFormat="false" ht="14.25" hidden="false" customHeight="false" outlineLevel="0" collapsed="false">
      <c r="A1618" s="1" t="n">
        <v>2621</v>
      </c>
      <c r="B1618" s="30" t="n">
        <v>43373</v>
      </c>
      <c r="C1618" s="29" t="s">
        <v>37</v>
      </c>
      <c r="D1618" s="62" t="n">
        <v>13</v>
      </c>
      <c r="E1618" s="62" t="n">
        <v>1370.86</v>
      </c>
      <c r="F1618" s="62" t="s">
        <v>5</v>
      </c>
      <c r="G1618" s="29" t="s">
        <v>24</v>
      </c>
      <c r="H1618" s="29" t="s">
        <v>25</v>
      </c>
    </row>
    <row r="1619" customFormat="false" ht="14.25" hidden="false" customHeight="false" outlineLevel="0" collapsed="false">
      <c r="A1619" s="1" t="n">
        <v>2622</v>
      </c>
      <c r="B1619" s="30" t="n">
        <v>43123</v>
      </c>
      <c r="C1619" s="29" t="s">
        <v>28</v>
      </c>
      <c r="D1619" s="62" t="n">
        <v>45</v>
      </c>
      <c r="E1619" s="62" t="n">
        <v>1166.94</v>
      </c>
      <c r="F1619" s="62" t="s">
        <v>4</v>
      </c>
      <c r="G1619" s="29" t="s">
        <v>24</v>
      </c>
      <c r="H1619" s="29" t="s">
        <v>42</v>
      </c>
    </row>
    <row r="1620" customFormat="false" ht="14.25" hidden="false" customHeight="false" outlineLevel="0" collapsed="false">
      <c r="A1620" s="1" t="n">
        <v>2623</v>
      </c>
      <c r="B1620" s="30" t="n">
        <v>43265</v>
      </c>
      <c r="C1620" s="29" t="s">
        <v>21</v>
      </c>
      <c r="D1620" s="62" t="n">
        <v>35</v>
      </c>
      <c r="E1620" s="62" t="n">
        <v>106.07</v>
      </c>
      <c r="F1620" s="62" t="s">
        <v>4</v>
      </c>
      <c r="G1620" s="29" t="s">
        <v>29</v>
      </c>
      <c r="H1620" s="29" t="s">
        <v>30</v>
      </c>
    </row>
    <row r="1621" customFormat="false" ht="14.25" hidden="false" customHeight="false" outlineLevel="0" collapsed="false">
      <c r="A1621" s="1" t="n">
        <v>2624</v>
      </c>
      <c r="B1621" s="30" t="n">
        <v>43143</v>
      </c>
      <c r="C1621" s="29" t="s">
        <v>31</v>
      </c>
      <c r="D1621" s="62" t="n">
        <v>6</v>
      </c>
      <c r="E1621" s="62" t="n">
        <v>2482.77</v>
      </c>
      <c r="F1621" s="62" t="s">
        <v>4</v>
      </c>
      <c r="G1621" s="29" t="s">
        <v>22</v>
      </c>
      <c r="H1621" s="29" t="s">
        <v>27</v>
      </c>
    </row>
    <row r="1622" customFormat="false" ht="14.25" hidden="false" customHeight="false" outlineLevel="0" collapsed="false">
      <c r="A1622" s="1" t="n">
        <v>2625</v>
      </c>
      <c r="B1622" s="30" t="n">
        <v>43143</v>
      </c>
      <c r="C1622" s="29" t="s">
        <v>31</v>
      </c>
      <c r="D1622" s="62" t="n">
        <v>8</v>
      </c>
      <c r="E1622" s="62" t="n">
        <v>52.47</v>
      </c>
      <c r="F1622" s="62" t="s">
        <v>4</v>
      </c>
      <c r="G1622" s="29" t="s">
        <v>29</v>
      </c>
      <c r="H1622" s="29" t="s">
        <v>45</v>
      </c>
    </row>
    <row r="1623" customFormat="false" ht="14.25" hidden="false" customHeight="false" outlineLevel="0" collapsed="false">
      <c r="A1623" s="1" t="n">
        <v>2626</v>
      </c>
      <c r="B1623" s="30" t="n">
        <v>43166</v>
      </c>
      <c r="C1623" s="29" t="s">
        <v>28</v>
      </c>
      <c r="D1623" s="62" t="n">
        <v>27</v>
      </c>
      <c r="E1623" s="62" t="n">
        <v>364.98</v>
      </c>
      <c r="F1623" s="62" t="s">
        <v>6</v>
      </c>
      <c r="G1623" s="29" t="s">
        <v>29</v>
      </c>
      <c r="H1623" s="29" t="s">
        <v>41</v>
      </c>
    </row>
    <row r="1624" customFormat="false" ht="14.25" hidden="false" customHeight="false" outlineLevel="0" collapsed="false">
      <c r="A1624" s="1" t="n">
        <v>2627</v>
      </c>
      <c r="B1624" s="30" t="n">
        <v>43166</v>
      </c>
      <c r="C1624" s="29" t="s">
        <v>28</v>
      </c>
      <c r="D1624" s="62" t="n">
        <v>26</v>
      </c>
      <c r="E1624" s="62" t="n">
        <v>183.7</v>
      </c>
      <c r="F1624" s="62" t="s">
        <v>6</v>
      </c>
      <c r="G1624" s="29" t="s">
        <v>29</v>
      </c>
      <c r="H1624" s="29" t="s">
        <v>36</v>
      </c>
    </row>
    <row r="1625" customFormat="false" ht="14.25" hidden="false" customHeight="false" outlineLevel="0" collapsed="false">
      <c r="A1625" s="1" t="n">
        <v>2628</v>
      </c>
      <c r="B1625" s="30" t="n">
        <v>43180</v>
      </c>
      <c r="C1625" s="29" t="s">
        <v>21</v>
      </c>
      <c r="D1625" s="62" t="n">
        <v>33</v>
      </c>
      <c r="E1625" s="62" t="n">
        <v>2033.24</v>
      </c>
      <c r="F1625" s="62" t="s">
        <v>6</v>
      </c>
      <c r="G1625" s="29" t="s">
        <v>24</v>
      </c>
      <c r="H1625" s="29" t="s">
        <v>25</v>
      </c>
    </row>
    <row r="1626" customFormat="false" ht="14.25" hidden="false" customHeight="false" outlineLevel="0" collapsed="false">
      <c r="A1626" s="1" t="n">
        <v>2629</v>
      </c>
      <c r="B1626" s="30" t="n">
        <v>43341</v>
      </c>
      <c r="C1626" s="29" t="s">
        <v>37</v>
      </c>
      <c r="D1626" s="62" t="n">
        <v>39</v>
      </c>
      <c r="E1626" s="62" t="n">
        <v>291.46</v>
      </c>
      <c r="F1626" s="62" t="s">
        <v>3</v>
      </c>
      <c r="G1626" s="29" t="s">
        <v>29</v>
      </c>
      <c r="H1626" s="29" t="s">
        <v>36</v>
      </c>
    </row>
    <row r="1627" customFormat="false" ht="14.25" hidden="false" customHeight="false" outlineLevel="0" collapsed="false">
      <c r="A1627" s="1" t="n">
        <v>2630</v>
      </c>
      <c r="B1627" s="30" t="n">
        <v>43140</v>
      </c>
      <c r="C1627" s="29" t="s">
        <v>39</v>
      </c>
      <c r="D1627" s="62" t="n">
        <v>26</v>
      </c>
      <c r="E1627" s="62" t="n">
        <v>183.12</v>
      </c>
      <c r="F1627" s="62" t="s">
        <v>4</v>
      </c>
      <c r="G1627" s="29" t="s">
        <v>29</v>
      </c>
      <c r="H1627" s="29" t="s">
        <v>41</v>
      </c>
    </row>
    <row r="1628" customFormat="false" ht="14.25" hidden="false" customHeight="false" outlineLevel="0" collapsed="false">
      <c r="A1628" s="1" t="n">
        <v>2631</v>
      </c>
      <c r="B1628" s="30" t="n">
        <v>43147</v>
      </c>
      <c r="C1628" s="29" t="s">
        <v>39</v>
      </c>
      <c r="D1628" s="62" t="n">
        <v>5</v>
      </c>
      <c r="E1628" s="62" t="n">
        <v>809.08</v>
      </c>
      <c r="F1628" s="62" t="s">
        <v>6</v>
      </c>
      <c r="G1628" s="29" t="s">
        <v>24</v>
      </c>
      <c r="H1628" s="29" t="s">
        <v>42</v>
      </c>
    </row>
    <row r="1629" customFormat="false" ht="14.25" hidden="false" customHeight="false" outlineLevel="0" collapsed="false">
      <c r="A1629" s="1" t="n">
        <v>2632</v>
      </c>
      <c r="B1629" s="30" t="n">
        <v>43147</v>
      </c>
      <c r="C1629" s="29" t="s">
        <v>39</v>
      </c>
      <c r="D1629" s="62" t="n">
        <v>1</v>
      </c>
      <c r="E1629" s="62" t="n">
        <v>19.42</v>
      </c>
      <c r="F1629" s="62" t="s">
        <v>6</v>
      </c>
      <c r="G1629" s="29" t="s">
        <v>29</v>
      </c>
      <c r="H1629" s="29" t="s">
        <v>38</v>
      </c>
    </row>
    <row r="1630" customFormat="false" ht="14.25" hidden="false" customHeight="false" outlineLevel="0" collapsed="false">
      <c r="A1630" s="1" t="n">
        <v>2633</v>
      </c>
      <c r="B1630" s="30" t="n">
        <v>43244</v>
      </c>
      <c r="C1630" s="29" t="s">
        <v>31</v>
      </c>
      <c r="D1630" s="62" t="n">
        <v>48</v>
      </c>
      <c r="E1630" s="62" t="n">
        <v>218.44</v>
      </c>
      <c r="F1630" s="62" t="s">
        <v>5</v>
      </c>
      <c r="G1630" s="29" t="s">
        <v>29</v>
      </c>
      <c r="H1630" s="29" t="s">
        <v>34</v>
      </c>
    </row>
    <row r="1631" customFormat="false" ht="14.25" hidden="false" customHeight="false" outlineLevel="0" collapsed="false">
      <c r="A1631" s="1" t="n">
        <v>2634</v>
      </c>
      <c r="B1631" s="30" t="n">
        <v>43244</v>
      </c>
      <c r="C1631" s="29" t="s">
        <v>31</v>
      </c>
      <c r="D1631" s="62" t="n">
        <v>13</v>
      </c>
      <c r="E1631" s="62" t="n">
        <v>35.43</v>
      </c>
      <c r="F1631" s="62" t="s">
        <v>5</v>
      </c>
      <c r="G1631" s="29" t="s">
        <v>22</v>
      </c>
      <c r="H1631" s="29" t="s">
        <v>23</v>
      </c>
    </row>
    <row r="1632" customFormat="false" ht="14.25" hidden="false" customHeight="false" outlineLevel="0" collapsed="false">
      <c r="A1632" s="1" t="n">
        <v>2635</v>
      </c>
      <c r="B1632" s="30" t="n">
        <v>43422</v>
      </c>
      <c r="C1632" s="29" t="s">
        <v>21</v>
      </c>
      <c r="D1632" s="62" t="n">
        <v>12</v>
      </c>
      <c r="E1632" s="62" t="n">
        <v>1416.33</v>
      </c>
      <c r="F1632" s="62" t="s">
        <v>4</v>
      </c>
      <c r="G1632" s="29" t="s">
        <v>22</v>
      </c>
      <c r="H1632" s="29" t="s">
        <v>23</v>
      </c>
    </row>
    <row r="1633" customFormat="false" ht="14.25" hidden="false" customHeight="false" outlineLevel="0" collapsed="false">
      <c r="A1633" s="1" t="n">
        <v>2636</v>
      </c>
      <c r="B1633" s="30" t="n">
        <v>43118</v>
      </c>
      <c r="C1633" s="29" t="s">
        <v>21</v>
      </c>
      <c r="D1633" s="62" t="n">
        <v>15</v>
      </c>
      <c r="E1633" s="62" t="n">
        <v>1921.17</v>
      </c>
      <c r="F1633" s="62" t="s">
        <v>3</v>
      </c>
      <c r="G1633" s="29" t="s">
        <v>22</v>
      </c>
      <c r="H1633" s="29" t="s">
        <v>44</v>
      </c>
    </row>
    <row r="1634" customFormat="false" ht="14.25" hidden="false" customHeight="false" outlineLevel="0" collapsed="false">
      <c r="A1634" s="1" t="n">
        <v>2637</v>
      </c>
      <c r="B1634" s="30" t="n">
        <v>43118</v>
      </c>
      <c r="C1634" s="29" t="s">
        <v>21</v>
      </c>
      <c r="D1634" s="62" t="n">
        <v>14</v>
      </c>
      <c r="E1634" s="62" t="n">
        <v>259.24</v>
      </c>
      <c r="F1634" s="62" t="s">
        <v>3</v>
      </c>
      <c r="G1634" s="29" t="s">
        <v>24</v>
      </c>
      <c r="H1634" s="29" t="s">
        <v>25</v>
      </c>
    </row>
    <row r="1635" customFormat="false" ht="14.25" hidden="false" customHeight="false" outlineLevel="0" collapsed="false">
      <c r="A1635" s="1" t="n">
        <v>2638</v>
      </c>
      <c r="B1635" s="30" t="n">
        <v>43118</v>
      </c>
      <c r="C1635" s="29" t="s">
        <v>21</v>
      </c>
      <c r="D1635" s="62" t="n">
        <v>4</v>
      </c>
      <c r="E1635" s="62" t="n">
        <v>991.44</v>
      </c>
      <c r="F1635" s="62" t="s">
        <v>3</v>
      </c>
      <c r="G1635" s="29" t="s">
        <v>22</v>
      </c>
      <c r="H1635" s="29" t="s">
        <v>27</v>
      </c>
    </row>
    <row r="1636" customFormat="false" ht="14.25" hidden="false" customHeight="false" outlineLevel="0" collapsed="false">
      <c r="A1636" s="1" t="n">
        <v>2639</v>
      </c>
      <c r="B1636" s="30" t="n">
        <v>43197</v>
      </c>
      <c r="C1636" s="29" t="s">
        <v>28</v>
      </c>
      <c r="D1636" s="62" t="n">
        <v>33</v>
      </c>
      <c r="E1636" s="62" t="n">
        <v>14628.98</v>
      </c>
      <c r="F1636" s="62" t="s">
        <v>6</v>
      </c>
      <c r="G1636" s="29" t="s">
        <v>24</v>
      </c>
      <c r="H1636" s="29" t="s">
        <v>42</v>
      </c>
    </row>
    <row r="1637" customFormat="false" ht="14.25" hidden="false" customHeight="false" outlineLevel="0" collapsed="false">
      <c r="A1637" s="1" t="n">
        <v>2640</v>
      </c>
      <c r="B1637" s="30" t="n">
        <v>43253</v>
      </c>
      <c r="C1637" s="29" t="s">
        <v>31</v>
      </c>
      <c r="D1637" s="62" t="n">
        <v>17</v>
      </c>
      <c r="E1637" s="62" t="n">
        <v>50.76</v>
      </c>
      <c r="F1637" s="62" t="s">
        <v>6</v>
      </c>
      <c r="G1637" s="29" t="s">
        <v>29</v>
      </c>
      <c r="H1637" s="29" t="s">
        <v>35</v>
      </c>
    </row>
    <row r="1638" customFormat="false" ht="14.25" hidden="false" customHeight="false" outlineLevel="0" collapsed="false">
      <c r="A1638" s="1" t="n">
        <v>2641</v>
      </c>
      <c r="B1638" s="30" t="n">
        <v>43156</v>
      </c>
      <c r="C1638" s="29" t="s">
        <v>21</v>
      </c>
      <c r="D1638" s="62" t="n">
        <v>9</v>
      </c>
      <c r="E1638" s="62" t="n">
        <v>490.92</v>
      </c>
      <c r="F1638" s="62" t="s">
        <v>4</v>
      </c>
      <c r="G1638" s="29" t="s">
        <v>22</v>
      </c>
      <c r="H1638" s="29" t="s">
        <v>23</v>
      </c>
    </row>
    <row r="1639" customFormat="false" ht="14.25" hidden="false" customHeight="false" outlineLevel="0" collapsed="false">
      <c r="A1639" s="1" t="n">
        <v>2642</v>
      </c>
      <c r="B1639" s="30" t="n">
        <v>43156</v>
      </c>
      <c r="C1639" s="29" t="s">
        <v>21</v>
      </c>
      <c r="D1639" s="62" t="n">
        <v>18</v>
      </c>
      <c r="E1639" s="62" t="n">
        <v>348.37</v>
      </c>
      <c r="F1639" s="62" t="s">
        <v>4</v>
      </c>
      <c r="G1639" s="29" t="s">
        <v>22</v>
      </c>
      <c r="H1639" s="29" t="s">
        <v>23</v>
      </c>
    </row>
    <row r="1640" customFormat="false" ht="14.25" hidden="false" customHeight="false" outlineLevel="0" collapsed="false">
      <c r="A1640" s="1" t="n">
        <v>2643</v>
      </c>
      <c r="B1640" s="30" t="n">
        <v>43121</v>
      </c>
      <c r="C1640" s="29" t="s">
        <v>37</v>
      </c>
      <c r="D1640" s="62" t="n">
        <v>4</v>
      </c>
      <c r="E1640" s="62" t="n">
        <v>41.47</v>
      </c>
      <c r="F1640" s="62" t="s">
        <v>4</v>
      </c>
      <c r="G1640" s="29" t="s">
        <v>29</v>
      </c>
      <c r="H1640" s="29" t="s">
        <v>34</v>
      </c>
    </row>
    <row r="1641" customFormat="false" ht="14.25" hidden="false" customHeight="false" outlineLevel="0" collapsed="false">
      <c r="A1641" s="1" t="n">
        <v>2644</v>
      </c>
      <c r="B1641" s="30" t="n">
        <v>43144</v>
      </c>
      <c r="C1641" s="29" t="s">
        <v>28</v>
      </c>
      <c r="D1641" s="62" t="n">
        <v>34</v>
      </c>
      <c r="E1641" s="62" t="n">
        <v>417.67</v>
      </c>
      <c r="F1641" s="62" t="s">
        <v>6</v>
      </c>
      <c r="G1641" s="29" t="s">
        <v>29</v>
      </c>
      <c r="H1641" s="29" t="s">
        <v>30</v>
      </c>
    </row>
    <row r="1642" customFormat="false" ht="14.25" hidden="false" customHeight="false" outlineLevel="0" collapsed="false">
      <c r="A1642" s="1" t="n">
        <v>2645</v>
      </c>
      <c r="B1642" s="30" t="n">
        <v>43239</v>
      </c>
      <c r="C1642" s="29" t="s">
        <v>37</v>
      </c>
      <c r="D1642" s="62" t="n">
        <v>34</v>
      </c>
      <c r="E1642" s="62" t="n">
        <v>2151.65</v>
      </c>
      <c r="F1642" s="62" t="s">
        <v>6</v>
      </c>
      <c r="G1642" s="29" t="s">
        <v>29</v>
      </c>
      <c r="H1642" s="29" t="s">
        <v>34</v>
      </c>
    </row>
    <row r="1643" customFormat="false" ht="14.25" hidden="false" customHeight="false" outlineLevel="0" collapsed="false">
      <c r="A1643" s="1" t="n">
        <v>2646</v>
      </c>
      <c r="B1643" s="30" t="n">
        <v>43173</v>
      </c>
      <c r="C1643" s="29" t="s">
        <v>39</v>
      </c>
      <c r="D1643" s="62" t="n">
        <v>36</v>
      </c>
      <c r="E1643" s="62" t="n">
        <v>260.2</v>
      </c>
      <c r="F1643" s="62" t="s">
        <v>6</v>
      </c>
      <c r="G1643" s="29" t="s">
        <v>29</v>
      </c>
      <c r="H1643" s="29" t="s">
        <v>38</v>
      </c>
    </row>
    <row r="1644" customFormat="false" ht="14.25" hidden="false" customHeight="false" outlineLevel="0" collapsed="false">
      <c r="A1644" s="1" t="n">
        <v>2647</v>
      </c>
      <c r="B1644" s="30" t="n">
        <v>43184</v>
      </c>
      <c r="C1644" s="29" t="s">
        <v>21</v>
      </c>
      <c r="D1644" s="62" t="n">
        <v>10</v>
      </c>
      <c r="E1644" s="62" t="n">
        <v>2099</v>
      </c>
      <c r="F1644" s="62" t="s">
        <v>4</v>
      </c>
      <c r="G1644" s="29" t="s">
        <v>22</v>
      </c>
      <c r="H1644" s="29" t="s">
        <v>27</v>
      </c>
    </row>
    <row r="1645" customFormat="false" ht="14.25" hidden="false" customHeight="false" outlineLevel="0" collapsed="false">
      <c r="A1645" s="1" t="n">
        <v>2648</v>
      </c>
      <c r="B1645" s="30" t="n">
        <v>43184</v>
      </c>
      <c r="C1645" s="29" t="s">
        <v>21</v>
      </c>
      <c r="D1645" s="62" t="n">
        <v>18</v>
      </c>
      <c r="E1645" s="62" t="n">
        <v>4045.06</v>
      </c>
      <c r="F1645" s="62" t="s">
        <v>4</v>
      </c>
      <c r="G1645" s="29" t="s">
        <v>29</v>
      </c>
      <c r="H1645" s="29" t="s">
        <v>38</v>
      </c>
    </row>
    <row r="1646" customFormat="false" ht="14.25" hidden="false" customHeight="false" outlineLevel="0" collapsed="false">
      <c r="A1646" s="1" t="n">
        <v>2649</v>
      </c>
      <c r="B1646" s="30" t="n">
        <v>43282</v>
      </c>
      <c r="C1646" s="29" t="s">
        <v>37</v>
      </c>
      <c r="D1646" s="62" t="n">
        <v>8</v>
      </c>
      <c r="E1646" s="62" t="n">
        <v>937.33</v>
      </c>
      <c r="F1646" s="62" t="s">
        <v>6</v>
      </c>
      <c r="G1646" s="29" t="s">
        <v>29</v>
      </c>
      <c r="H1646" s="29" t="s">
        <v>38</v>
      </c>
    </row>
    <row r="1647" customFormat="false" ht="14.25" hidden="false" customHeight="false" outlineLevel="0" collapsed="false">
      <c r="A1647" s="1" t="n">
        <v>2650</v>
      </c>
      <c r="B1647" s="30" t="n">
        <v>43369</v>
      </c>
      <c r="C1647" s="29" t="s">
        <v>31</v>
      </c>
      <c r="D1647" s="62" t="n">
        <v>7</v>
      </c>
      <c r="E1647" s="62" t="n">
        <v>113.36</v>
      </c>
      <c r="F1647" s="62" t="s">
        <v>4</v>
      </c>
      <c r="G1647" s="29" t="s">
        <v>29</v>
      </c>
      <c r="H1647" s="29" t="s">
        <v>34</v>
      </c>
    </row>
    <row r="1648" customFormat="false" ht="14.25" hidden="false" customHeight="false" outlineLevel="0" collapsed="false">
      <c r="A1648" s="1" t="n">
        <v>2651</v>
      </c>
      <c r="B1648" s="30" t="n">
        <v>43169</v>
      </c>
      <c r="C1648" s="29" t="s">
        <v>37</v>
      </c>
      <c r="D1648" s="62" t="n">
        <v>29</v>
      </c>
      <c r="E1648" s="62" t="n">
        <v>1430.68</v>
      </c>
      <c r="F1648" s="62" t="s">
        <v>6</v>
      </c>
      <c r="G1648" s="29" t="s">
        <v>29</v>
      </c>
      <c r="H1648" s="29" t="s">
        <v>38</v>
      </c>
    </row>
    <row r="1649" customFormat="false" ht="14.25" hidden="false" customHeight="false" outlineLevel="0" collapsed="false">
      <c r="A1649" s="1" t="n">
        <v>2652</v>
      </c>
      <c r="B1649" s="30" t="n">
        <v>43384</v>
      </c>
      <c r="C1649" s="29" t="s">
        <v>28</v>
      </c>
      <c r="D1649" s="62" t="n">
        <v>18</v>
      </c>
      <c r="E1649" s="62" t="n">
        <v>1881.5</v>
      </c>
      <c r="F1649" s="62" t="s">
        <v>6</v>
      </c>
      <c r="G1649" s="29" t="s">
        <v>29</v>
      </c>
      <c r="H1649" s="29" t="s">
        <v>41</v>
      </c>
    </row>
    <row r="1650" customFormat="false" ht="14.25" hidden="false" customHeight="false" outlineLevel="0" collapsed="false">
      <c r="A1650" s="1" t="n">
        <v>2653</v>
      </c>
      <c r="B1650" s="30" t="n">
        <v>43348</v>
      </c>
      <c r="C1650" s="29" t="s">
        <v>39</v>
      </c>
      <c r="D1650" s="62" t="n">
        <v>45</v>
      </c>
      <c r="E1650" s="62" t="n">
        <v>117.05</v>
      </c>
      <c r="F1650" s="62" t="s">
        <v>3</v>
      </c>
      <c r="G1650" s="29" t="s">
        <v>29</v>
      </c>
      <c r="H1650" s="29" t="s">
        <v>33</v>
      </c>
    </row>
    <row r="1651" customFormat="false" ht="14.25" hidden="false" customHeight="false" outlineLevel="0" collapsed="false">
      <c r="A1651" s="1" t="n">
        <v>2654</v>
      </c>
      <c r="B1651" s="30" t="n">
        <v>43348</v>
      </c>
      <c r="C1651" s="29" t="s">
        <v>39</v>
      </c>
      <c r="D1651" s="62" t="n">
        <v>11</v>
      </c>
      <c r="E1651" s="62" t="n">
        <v>69.4</v>
      </c>
      <c r="F1651" s="62" t="s">
        <v>3</v>
      </c>
      <c r="G1651" s="29" t="s">
        <v>29</v>
      </c>
      <c r="H1651" s="29" t="s">
        <v>36</v>
      </c>
    </row>
    <row r="1652" customFormat="false" ht="14.25" hidden="false" customHeight="false" outlineLevel="0" collapsed="false">
      <c r="A1652" s="1" t="n">
        <v>2655</v>
      </c>
      <c r="B1652" s="30" t="n">
        <v>43250</v>
      </c>
      <c r="C1652" s="29" t="s">
        <v>28</v>
      </c>
      <c r="D1652" s="62" t="n">
        <v>3</v>
      </c>
      <c r="E1652" s="62" t="n">
        <v>78.58</v>
      </c>
      <c r="F1652" s="62" t="s">
        <v>6</v>
      </c>
      <c r="G1652" s="29" t="s">
        <v>22</v>
      </c>
      <c r="H1652" s="29" t="s">
        <v>27</v>
      </c>
    </row>
    <row r="1653" customFormat="false" ht="14.25" hidden="false" customHeight="false" outlineLevel="0" collapsed="false">
      <c r="A1653" s="1" t="n">
        <v>2656</v>
      </c>
      <c r="B1653" s="30" t="n">
        <v>43250</v>
      </c>
      <c r="C1653" s="29" t="s">
        <v>28</v>
      </c>
      <c r="D1653" s="62" t="n">
        <v>32</v>
      </c>
      <c r="E1653" s="62" t="n">
        <v>2112.89</v>
      </c>
      <c r="F1653" s="62" t="s">
        <v>6</v>
      </c>
      <c r="G1653" s="29" t="s">
        <v>29</v>
      </c>
      <c r="H1653" s="29" t="s">
        <v>38</v>
      </c>
    </row>
    <row r="1654" customFormat="false" ht="14.25" hidden="false" customHeight="false" outlineLevel="0" collapsed="false">
      <c r="A1654" s="1" t="n">
        <v>2657</v>
      </c>
      <c r="B1654" s="30" t="n">
        <v>43296</v>
      </c>
      <c r="C1654" s="29" t="s">
        <v>21</v>
      </c>
      <c r="D1654" s="62" t="n">
        <v>2</v>
      </c>
      <c r="E1654" s="62" t="n">
        <v>452.65</v>
      </c>
      <c r="F1654" s="62" t="s">
        <v>6</v>
      </c>
      <c r="G1654" s="29" t="s">
        <v>29</v>
      </c>
      <c r="H1654" s="29" t="s">
        <v>38</v>
      </c>
    </row>
    <row r="1655" customFormat="false" ht="14.25" hidden="false" customHeight="false" outlineLevel="0" collapsed="false">
      <c r="A1655" s="1" t="n">
        <v>2658</v>
      </c>
      <c r="B1655" s="30" t="n">
        <v>43296</v>
      </c>
      <c r="C1655" s="29" t="s">
        <v>21</v>
      </c>
      <c r="D1655" s="62" t="n">
        <v>20</v>
      </c>
      <c r="E1655" s="62" t="n">
        <v>2351.23</v>
      </c>
      <c r="F1655" s="62" t="s">
        <v>6</v>
      </c>
      <c r="G1655" s="29" t="s">
        <v>24</v>
      </c>
      <c r="H1655" s="29" t="s">
        <v>25</v>
      </c>
    </row>
    <row r="1656" customFormat="false" ht="14.25" hidden="false" customHeight="false" outlineLevel="0" collapsed="false">
      <c r="A1656" s="1" t="n">
        <v>2659</v>
      </c>
      <c r="B1656" s="30" t="n">
        <v>43349</v>
      </c>
      <c r="C1656" s="29" t="s">
        <v>28</v>
      </c>
      <c r="D1656" s="62" t="n">
        <v>48</v>
      </c>
      <c r="E1656" s="62" t="n">
        <v>416.53</v>
      </c>
      <c r="F1656" s="62" t="s">
        <v>4</v>
      </c>
      <c r="G1656" s="29" t="s">
        <v>29</v>
      </c>
      <c r="H1656" s="29" t="s">
        <v>41</v>
      </c>
    </row>
    <row r="1657" customFormat="false" ht="14.25" hidden="false" customHeight="false" outlineLevel="0" collapsed="false">
      <c r="A1657" s="1" t="n">
        <v>2660</v>
      </c>
      <c r="B1657" s="30" t="n">
        <v>43451</v>
      </c>
      <c r="C1657" s="29" t="s">
        <v>21</v>
      </c>
      <c r="D1657" s="62" t="n">
        <v>40</v>
      </c>
      <c r="E1657" s="62" t="n">
        <v>337.53</v>
      </c>
      <c r="F1657" s="62" t="s">
        <v>4</v>
      </c>
      <c r="G1657" s="29" t="s">
        <v>29</v>
      </c>
      <c r="H1657" s="29" t="s">
        <v>34</v>
      </c>
    </row>
    <row r="1658" customFormat="false" ht="14.25" hidden="false" customHeight="false" outlineLevel="0" collapsed="false">
      <c r="A1658" s="1" t="n">
        <v>2661</v>
      </c>
      <c r="B1658" s="30" t="n">
        <v>43451</v>
      </c>
      <c r="C1658" s="29" t="s">
        <v>21</v>
      </c>
      <c r="D1658" s="62" t="n">
        <v>16</v>
      </c>
      <c r="E1658" s="62" t="n">
        <v>64.22</v>
      </c>
      <c r="F1658" s="62" t="s">
        <v>4</v>
      </c>
      <c r="G1658" s="29" t="s">
        <v>29</v>
      </c>
      <c r="H1658" s="29" t="s">
        <v>36</v>
      </c>
    </row>
    <row r="1659" customFormat="false" ht="14.25" hidden="false" customHeight="false" outlineLevel="0" collapsed="false">
      <c r="A1659" s="1" t="n">
        <v>2662</v>
      </c>
      <c r="B1659" s="30" t="n">
        <v>43451</v>
      </c>
      <c r="C1659" s="29" t="s">
        <v>21</v>
      </c>
      <c r="D1659" s="62" t="n">
        <v>49</v>
      </c>
      <c r="E1659" s="62" t="n">
        <v>7932.22</v>
      </c>
      <c r="F1659" s="62" t="s">
        <v>4</v>
      </c>
      <c r="G1659" s="29" t="s">
        <v>22</v>
      </c>
      <c r="H1659" s="29" t="s">
        <v>27</v>
      </c>
    </row>
    <row r="1660" customFormat="false" ht="14.25" hidden="false" customHeight="false" outlineLevel="0" collapsed="false">
      <c r="A1660" s="1" t="n">
        <v>2663</v>
      </c>
      <c r="B1660" s="30" t="n">
        <v>43449</v>
      </c>
      <c r="C1660" s="29" t="s">
        <v>31</v>
      </c>
      <c r="D1660" s="62" t="n">
        <v>50</v>
      </c>
      <c r="E1660" s="62" t="n">
        <v>642.24</v>
      </c>
      <c r="F1660" s="62" t="s">
        <v>5</v>
      </c>
      <c r="G1660" s="29" t="s">
        <v>29</v>
      </c>
      <c r="H1660" s="29" t="s">
        <v>32</v>
      </c>
    </row>
    <row r="1661" customFormat="false" ht="14.25" hidden="false" customHeight="false" outlineLevel="0" collapsed="false">
      <c r="A1661" s="1" t="n">
        <v>2664</v>
      </c>
      <c r="B1661" s="30" t="n">
        <v>43403</v>
      </c>
      <c r="C1661" s="29" t="s">
        <v>39</v>
      </c>
      <c r="D1661" s="62" t="n">
        <v>21</v>
      </c>
      <c r="E1661" s="62" t="n">
        <v>105.8</v>
      </c>
      <c r="F1661" s="62" t="s">
        <v>4</v>
      </c>
      <c r="G1661" s="29" t="s">
        <v>29</v>
      </c>
      <c r="H1661" s="29" t="s">
        <v>35</v>
      </c>
    </row>
    <row r="1662" customFormat="false" ht="14.25" hidden="false" customHeight="false" outlineLevel="0" collapsed="false">
      <c r="A1662" s="1" t="n">
        <v>2665</v>
      </c>
      <c r="B1662" s="30" t="n">
        <v>43403</v>
      </c>
      <c r="C1662" s="29" t="s">
        <v>39</v>
      </c>
      <c r="D1662" s="62" t="n">
        <v>45</v>
      </c>
      <c r="E1662" s="62" t="n">
        <v>9896.15</v>
      </c>
      <c r="F1662" s="62" t="s">
        <v>4</v>
      </c>
      <c r="G1662" s="29" t="s">
        <v>22</v>
      </c>
      <c r="H1662" s="29" t="s">
        <v>40</v>
      </c>
    </row>
    <row r="1663" customFormat="false" ht="14.25" hidden="false" customHeight="false" outlineLevel="0" collapsed="false">
      <c r="A1663" s="1" t="n">
        <v>2666</v>
      </c>
      <c r="B1663" s="30" t="n">
        <v>43170</v>
      </c>
      <c r="C1663" s="29" t="s">
        <v>28</v>
      </c>
      <c r="D1663" s="62" t="n">
        <v>23</v>
      </c>
      <c r="E1663" s="62" t="n">
        <v>9281.07</v>
      </c>
      <c r="F1663" s="62" t="s">
        <v>3</v>
      </c>
      <c r="G1663" s="29" t="s">
        <v>29</v>
      </c>
      <c r="H1663" s="29" t="s">
        <v>34</v>
      </c>
    </row>
    <row r="1664" customFormat="false" ht="14.25" hidden="false" customHeight="false" outlineLevel="0" collapsed="false">
      <c r="A1664" s="1" t="n">
        <v>2667</v>
      </c>
      <c r="B1664" s="30" t="n">
        <v>43296</v>
      </c>
      <c r="C1664" s="29" t="s">
        <v>31</v>
      </c>
      <c r="D1664" s="62" t="n">
        <v>47</v>
      </c>
      <c r="E1664" s="62" t="n">
        <v>273.55</v>
      </c>
      <c r="F1664" s="62" t="s">
        <v>5</v>
      </c>
      <c r="G1664" s="29" t="s">
        <v>22</v>
      </c>
      <c r="H1664" s="29" t="s">
        <v>23</v>
      </c>
    </row>
    <row r="1665" customFormat="false" ht="14.25" hidden="false" customHeight="false" outlineLevel="0" collapsed="false">
      <c r="A1665" s="1" t="n">
        <v>2668</v>
      </c>
      <c r="B1665" s="30" t="n">
        <v>43262</v>
      </c>
      <c r="C1665" s="29" t="s">
        <v>37</v>
      </c>
      <c r="D1665" s="62" t="n">
        <v>24</v>
      </c>
      <c r="E1665" s="62" t="n">
        <v>201.66</v>
      </c>
      <c r="F1665" s="62" t="s">
        <v>6</v>
      </c>
      <c r="G1665" s="29" t="s">
        <v>29</v>
      </c>
      <c r="H1665" s="29" t="s">
        <v>34</v>
      </c>
    </row>
    <row r="1666" customFormat="false" ht="14.25" hidden="false" customHeight="false" outlineLevel="0" collapsed="false">
      <c r="A1666" s="1" t="n">
        <v>2669</v>
      </c>
      <c r="B1666" s="30" t="n">
        <v>43450</v>
      </c>
      <c r="C1666" s="29" t="s">
        <v>31</v>
      </c>
      <c r="D1666" s="62" t="n">
        <v>12</v>
      </c>
      <c r="E1666" s="62" t="n">
        <v>6146.34</v>
      </c>
      <c r="F1666" s="62" t="s">
        <v>4</v>
      </c>
      <c r="G1666" s="29" t="s">
        <v>24</v>
      </c>
      <c r="H1666" s="29" t="s">
        <v>42</v>
      </c>
    </row>
    <row r="1667" customFormat="false" ht="14.25" hidden="false" customHeight="false" outlineLevel="0" collapsed="false">
      <c r="A1667" s="1" t="n">
        <v>2670</v>
      </c>
      <c r="B1667" s="30" t="n">
        <v>43450</v>
      </c>
      <c r="C1667" s="29" t="s">
        <v>31</v>
      </c>
      <c r="D1667" s="62" t="n">
        <v>42</v>
      </c>
      <c r="E1667" s="62" t="n">
        <v>483.8</v>
      </c>
      <c r="F1667" s="62" t="s">
        <v>4</v>
      </c>
      <c r="G1667" s="29" t="s">
        <v>29</v>
      </c>
      <c r="H1667" s="29" t="s">
        <v>32</v>
      </c>
    </row>
    <row r="1668" customFormat="false" ht="14.25" hidden="false" customHeight="false" outlineLevel="0" collapsed="false">
      <c r="A1668" s="1" t="n">
        <v>2671</v>
      </c>
      <c r="B1668" s="30" t="n">
        <v>43450</v>
      </c>
      <c r="C1668" s="29" t="s">
        <v>31</v>
      </c>
      <c r="D1668" s="62" t="n">
        <v>27</v>
      </c>
      <c r="E1668" s="62" t="n">
        <v>147.13</v>
      </c>
      <c r="F1668" s="62" t="s">
        <v>4</v>
      </c>
      <c r="G1668" s="29" t="s">
        <v>29</v>
      </c>
      <c r="H1668" s="29" t="s">
        <v>34</v>
      </c>
    </row>
    <row r="1669" customFormat="false" ht="14.25" hidden="false" customHeight="false" outlineLevel="0" collapsed="false">
      <c r="A1669" s="1" t="n">
        <v>2672</v>
      </c>
      <c r="B1669" s="30" t="n">
        <v>43106</v>
      </c>
      <c r="C1669" s="29" t="s">
        <v>31</v>
      </c>
      <c r="D1669" s="62" t="n">
        <v>27</v>
      </c>
      <c r="E1669" s="62" t="n">
        <v>892.45</v>
      </c>
      <c r="F1669" s="62" t="s">
        <v>5</v>
      </c>
      <c r="G1669" s="29" t="s">
        <v>24</v>
      </c>
      <c r="H1669" s="29" t="s">
        <v>25</v>
      </c>
    </row>
    <row r="1670" customFormat="false" ht="14.25" hidden="false" customHeight="false" outlineLevel="0" collapsed="false">
      <c r="A1670" s="1" t="n">
        <v>2673</v>
      </c>
      <c r="B1670" s="30" t="n">
        <v>43134</v>
      </c>
      <c r="C1670" s="29" t="s">
        <v>37</v>
      </c>
      <c r="D1670" s="62" t="n">
        <v>32</v>
      </c>
      <c r="E1670" s="62" t="n">
        <v>78.7</v>
      </c>
      <c r="F1670" s="62" t="s">
        <v>4</v>
      </c>
      <c r="G1670" s="29" t="s">
        <v>29</v>
      </c>
      <c r="H1670" s="29" t="s">
        <v>33</v>
      </c>
    </row>
    <row r="1671" customFormat="false" ht="14.25" hidden="false" customHeight="false" outlineLevel="0" collapsed="false">
      <c r="A1671" s="1" t="n">
        <v>2674</v>
      </c>
      <c r="B1671" s="30" t="n">
        <v>43134</v>
      </c>
      <c r="C1671" s="29" t="s">
        <v>37</v>
      </c>
      <c r="D1671" s="62" t="n">
        <v>46</v>
      </c>
      <c r="E1671" s="62" t="n">
        <v>5140.32</v>
      </c>
      <c r="F1671" s="62" t="s">
        <v>4</v>
      </c>
      <c r="G1671" s="29" t="s">
        <v>24</v>
      </c>
      <c r="H1671" s="29" t="s">
        <v>25</v>
      </c>
    </row>
    <row r="1672" customFormat="false" ht="14.25" hidden="false" customHeight="false" outlineLevel="0" collapsed="false">
      <c r="A1672" s="1" t="n">
        <v>2675</v>
      </c>
      <c r="B1672" s="30" t="n">
        <v>43278</v>
      </c>
      <c r="C1672" s="29" t="s">
        <v>31</v>
      </c>
      <c r="D1672" s="62" t="n">
        <v>39</v>
      </c>
      <c r="E1672" s="62" t="n">
        <v>3277.52</v>
      </c>
      <c r="F1672" s="62" t="s">
        <v>5</v>
      </c>
      <c r="G1672" s="29" t="s">
        <v>29</v>
      </c>
      <c r="H1672" s="29" t="s">
        <v>38</v>
      </c>
    </row>
    <row r="1673" customFormat="false" ht="14.25" hidden="false" customHeight="false" outlineLevel="0" collapsed="false">
      <c r="A1673" s="1" t="n">
        <v>2676</v>
      </c>
      <c r="B1673" s="30" t="n">
        <v>43278</v>
      </c>
      <c r="C1673" s="29" t="s">
        <v>31</v>
      </c>
      <c r="D1673" s="62" t="n">
        <v>15</v>
      </c>
      <c r="E1673" s="62" t="n">
        <v>245.06</v>
      </c>
      <c r="F1673" s="62" t="s">
        <v>5</v>
      </c>
      <c r="G1673" s="29" t="s">
        <v>29</v>
      </c>
      <c r="H1673" s="29" t="s">
        <v>38</v>
      </c>
    </row>
    <row r="1674" customFormat="false" ht="14.25" hidden="false" customHeight="false" outlineLevel="0" collapsed="false">
      <c r="A1674" s="1" t="n">
        <v>2677</v>
      </c>
      <c r="B1674" s="30" t="n">
        <v>43331</v>
      </c>
      <c r="C1674" s="29" t="s">
        <v>21</v>
      </c>
      <c r="D1674" s="62" t="n">
        <v>20</v>
      </c>
      <c r="E1674" s="62" t="n">
        <v>288.54</v>
      </c>
      <c r="F1674" s="62" t="s">
        <v>3</v>
      </c>
      <c r="G1674" s="29" t="s">
        <v>29</v>
      </c>
      <c r="H1674" s="29" t="s">
        <v>32</v>
      </c>
    </row>
    <row r="1675" customFormat="false" ht="14.25" hidden="false" customHeight="false" outlineLevel="0" collapsed="false">
      <c r="A1675" s="1" t="n">
        <v>2678</v>
      </c>
      <c r="B1675" s="30" t="n">
        <v>43408</v>
      </c>
      <c r="C1675" s="29" t="s">
        <v>28</v>
      </c>
      <c r="D1675" s="62" t="n">
        <v>10</v>
      </c>
      <c r="E1675" s="62" t="n">
        <v>51.36</v>
      </c>
      <c r="F1675" s="62" t="s">
        <v>4</v>
      </c>
      <c r="G1675" s="29" t="s">
        <v>22</v>
      </c>
      <c r="H1675" s="29" t="s">
        <v>23</v>
      </c>
    </row>
    <row r="1676" customFormat="false" ht="14.25" hidden="false" customHeight="false" outlineLevel="0" collapsed="false">
      <c r="A1676" s="1" t="n">
        <v>2679</v>
      </c>
      <c r="B1676" s="30" t="n">
        <v>43421</v>
      </c>
      <c r="C1676" s="29" t="s">
        <v>37</v>
      </c>
      <c r="D1676" s="62" t="n">
        <v>29</v>
      </c>
      <c r="E1676" s="62" t="n">
        <v>1731.13</v>
      </c>
      <c r="F1676" s="62" t="s">
        <v>6</v>
      </c>
      <c r="G1676" s="29" t="s">
        <v>24</v>
      </c>
      <c r="H1676" s="29" t="s">
        <v>26</v>
      </c>
    </row>
    <row r="1677" customFormat="false" ht="14.25" hidden="false" customHeight="false" outlineLevel="0" collapsed="false">
      <c r="A1677" s="1" t="n">
        <v>2680</v>
      </c>
      <c r="B1677" s="30" t="n">
        <v>43449</v>
      </c>
      <c r="C1677" s="29" t="s">
        <v>21</v>
      </c>
      <c r="D1677" s="62" t="n">
        <v>42</v>
      </c>
      <c r="E1677" s="62" t="n">
        <v>333.89</v>
      </c>
      <c r="F1677" s="62" t="s">
        <v>4</v>
      </c>
      <c r="G1677" s="29" t="s">
        <v>29</v>
      </c>
      <c r="H1677" s="29" t="s">
        <v>34</v>
      </c>
    </row>
    <row r="1678" customFormat="false" ht="14.25" hidden="false" customHeight="false" outlineLevel="0" collapsed="false">
      <c r="A1678" s="1" t="n">
        <v>2681</v>
      </c>
      <c r="B1678" s="30" t="n">
        <v>43454</v>
      </c>
      <c r="C1678" s="29" t="s">
        <v>21</v>
      </c>
      <c r="D1678" s="62" t="n">
        <v>49</v>
      </c>
      <c r="E1678" s="62" t="n">
        <v>28486.13</v>
      </c>
      <c r="F1678" s="62" t="s">
        <v>5</v>
      </c>
      <c r="G1678" s="29" t="s">
        <v>22</v>
      </c>
      <c r="H1678" s="29" t="s">
        <v>27</v>
      </c>
    </row>
    <row r="1679" customFormat="false" ht="14.25" hidden="false" customHeight="false" outlineLevel="0" collapsed="false">
      <c r="A1679" s="1" t="n">
        <v>2682</v>
      </c>
      <c r="B1679" s="30" t="n">
        <v>43387</v>
      </c>
      <c r="C1679" s="29" t="s">
        <v>37</v>
      </c>
      <c r="D1679" s="62" t="n">
        <v>43</v>
      </c>
      <c r="E1679" s="62" t="n">
        <v>368.34</v>
      </c>
      <c r="F1679" s="62" t="s">
        <v>5</v>
      </c>
      <c r="G1679" s="29" t="s">
        <v>24</v>
      </c>
      <c r="H1679" s="29" t="s">
        <v>26</v>
      </c>
    </row>
    <row r="1680" customFormat="false" ht="14.25" hidden="false" customHeight="false" outlineLevel="0" collapsed="false">
      <c r="A1680" s="1" t="n">
        <v>2683</v>
      </c>
      <c r="B1680" s="30" t="n">
        <v>43335</v>
      </c>
      <c r="C1680" s="29" t="s">
        <v>28</v>
      </c>
      <c r="D1680" s="62" t="n">
        <v>44</v>
      </c>
      <c r="E1680" s="62" t="n">
        <v>179.28</v>
      </c>
      <c r="F1680" s="62" t="s">
        <v>3</v>
      </c>
      <c r="G1680" s="29" t="s">
        <v>29</v>
      </c>
      <c r="H1680" s="29" t="s">
        <v>35</v>
      </c>
    </row>
    <row r="1681" customFormat="false" ht="14.25" hidden="false" customHeight="false" outlineLevel="0" collapsed="false">
      <c r="A1681" s="1" t="n">
        <v>2684</v>
      </c>
      <c r="B1681" s="30" t="n">
        <v>43270</v>
      </c>
      <c r="C1681" s="29" t="s">
        <v>37</v>
      </c>
      <c r="D1681" s="62" t="n">
        <v>12</v>
      </c>
      <c r="E1681" s="62" t="n">
        <v>49.81</v>
      </c>
      <c r="F1681" s="62" t="s">
        <v>3</v>
      </c>
      <c r="G1681" s="29" t="s">
        <v>29</v>
      </c>
      <c r="H1681" s="29" t="s">
        <v>35</v>
      </c>
    </row>
    <row r="1682" customFormat="false" ht="14.25" hidden="false" customHeight="false" outlineLevel="0" collapsed="false">
      <c r="A1682" s="1" t="n">
        <v>2685</v>
      </c>
      <c r="B1682" s="30" t="n">
        <v>43176</v>
      </c>
      <c r="C1682" s="29" t="s">
        <v>31</v>
      </c>
      <c r="D1682" s="62" t="n">
        <v>50</v>
      </c>
      <c r="E1682" s="62" t="n">
        <v>19320.65</v>
      </c>
      <c r="F1682" s="62" t="s">
        <v>4</v>
      </c>
      <c r="G1682" s="29" t="s">
        <v>22</v>
      </c>
      <c r="H1682" s="29" t="s">
        <v>27</v>
      </c>
    </row>
    <row r="1683" customFormat="false" ht="14.25" hidden="false" customHeight="false" outlineLevel="0" collapsed="false">
      <c r="A1683" s="1" t="n">
        <v>2686</v>
      </c>
      <c r="B1683" s="30" t="n">
        <v>43176</v>
      </c>
      <c r="C1683" s="29" t="s">
        <v>39</v>
      </c>
      <c r="D1683" s="62" t="n">
        <v>14</v>
      </c>
      <c r="E1683" s="62" t="n">
        <v>81.38</v>
      </c>
      <c r="F1683" s="62" t="s">
        <v>4</v>
      </c>
      <c r="G1683" s="29" t="s">
        <v>29</v>
      </c>
      <c r="H1683" s="29" t="s">
        <v>36</v>
      </c>
    </row>
    <row r="1684" customFormat="false" ht="14.25" hidden="false" customHeight="false" outlineLevel="0" collapsed="false">
      <c r="A1684" s="1" t="n">
        <v>2687</v>
      </c>
      <c r="B1684" s="30" t="n">
        <v>43140</v>
      </c>
      <c r="C1684" s="29" t="s">
        <v>28</v>
      </c>
      <c r="D1684" s="62" t="n">
        <v>43</v>
      </c>
      <c r="E1684" s="62" t="n">
        <v>918.63</v>
      </c>
      <c r="F1684" s="62" t="s">
        <v>4</v>
      </c>
      <c r="G1684" s="29" t="s">
        <v>22</v>
      </c>
      <c r="H1684" s="29" t="s">
        <v>23</v>
      </c>
    </row>
    <row r="1685" customFormat="false" ht="14.25" hidden="false" customHeight="false" outlineLevel="0" collapsed="false">
      <c r="A1685" s="1" t="n">
        <v>2688</v>
      </c>
      <c r="B1685" s="30" t="n">
        <v>43272</v>
      </c>
      <c r="C1685" s="29" t="s">
        <v>37</v>
      </c>
      <c r="D1685" s="62" t="n">
        <v>15</v>
      </c>
      <c r="E1685" s="62" t="n">
        <v>447.13</v>
      </c>
      <c r="F1685" s="62" t="s">
        <v>6</v>
      </c>
      <c r="G1685" s="29" t="s">
        <v>29</v>
      </c>
      <c r="H1685" s="29" t="s">
        <v>30</v>
      </c>
    </row>
    <row r="1686" customFormat="false" ht="14.25" hidden="false" customHeight="false" outlineLevel="0" collapsed="false">
      <c r="A1686" s="1" t="n">
        <v>2689</v>
      </c>
      <c r="B1686" s="30" t="n">
        <v>43450</v>
      </c>
      <c r="C1686" s="29" t="s">
        <v>39</v>
      </c>
      <c r="D1686" s="62" t="n">
        <v>7</v>
      </c>
      <c r="E1686" s="62" t="n">
        <v>433.71</v>
      </c>
      <c r="F1686" s="62" t="s">
        <v>4</v>
      </c>
      <c r="G1686" s="29" t="s">
        <v>24</v>
      </c>
      <c r="H1686" s="29" t="s">
        <v>25</v>
      </c>
    </row>
    <row r="1687" customFormat="false" ht="14.25" hidden="false" customHeight="false" outlineLevel="0" collapsed="false">
      <c r="A1687" s="1" t="n">
        <v>2690</v>
      </c>
      <c r="B1687" s="30" t="n">
        <v>43450</v>
      </c>
      <c r="C1687" s="29" t="s">
        <v>39</v>
      </c>
      <c r="D1687" s="62" t="n">
        <v>4</v>
      </c>
      <c r="E1687" s="62" t="n">
        <v>30.32</v>
      </c>
      <c r="F1687" s="62" t="s">
        <v>4</v>
      </c>
      <c r="G1687" s="29" t="s">
        <v>29</v>
      </c>
      <c r="H1687" s="29" t="s">
        <v>36</v>
      </c>
    </row>
    <row r="1688" customFormat="false" ht="14.25" hidden="false" customHeight="false" outlineLevel="0" collapsed="false">
      <c r="A1688" s="1" t="n">
        <v>2691</v>
      </c>
      <c r="B1688" s="30" t="n">
        <v>43286</v>
      </c>
      <c r="C1688" s="29" t="s">
        <v>39</v>
      </c>
      <c r="D1688" s="62" t="n">
        <v>31</v>
      </c>
      <c r="E1688" s="62" t="n">
        <v>306.3</v>
      </c>
      <c r="F1688" s="62" t="s">
        <v>4</v>
      </c>
      <c r="G1688" s="29" t="s">
        <v>29</v>
      </c>
      <c r="H1688" s="29" t="s">
        <v>36</v>
      </c>
    </row>
    <row r="1689" customFormat="false" ht="14.25" hidden="false" customHeight="false" outlineLevel="0" collapsed="false">
      <c r="A1689" s="1" t="n">
        <v>2692</v>
      </c>
      <c r="B1689" s="30" t="n">
        <v>43314</v>
      </c>
      <c r="C1689" s="29" t="s">
        <v>31</v>
      </c>
      <c r="D1689" s="62" t="n">
        <v>42</v>
      </c>
      <c r="E1689" s="62" t="n">
        <v>528.11</v>
      </c>
      <c r="F1689" s="62" t="s">
        <v>3</v>
      </c>
      <c r="G1689" s="29" t="s">
        <v>24</v>
      </c>
      <c r="H1689" s="29" t="s">
        <v>42</v>
      </c>
    </row>
    <row r="1690" customFormat="false" ht="14.25" hidden="false" customHeight="false" outlineLevel="0" collapsed="false">
      <c r="A1690" s="1" t="n">
        <v>2693</v>
      </c>
      <c r="B1690" s="30" t="n">
        <v>43410</v>
      </c>
      <c r="C1690" s="29" t="s">
        <v>31</v>
      </c>
      <c r="D1690" s="62" t="n">
        <v>18</v>
      </c>
      <c r="E1690" s="62" t="n">
        <v>385.46</v>
      </c>
      <c r="F1690" s="62" t="s">
        <v>5</v>
      </c>
      <c r="G1690" s="29" t="s">
        <v>24</v>
      </c>
      <c r="H1690" s="29" t="s">
        <v>26</v>
      </c>
    </row>
    <row r="1691" customFormat="false" ht="14.25" hidden="false" customHeight="false" outlineLevel="0" collapsed="false">
      <c r="A1691" s="1" t="n">
        <v>2694</v>
      </c>
      <c r="B1691" s="30" t="n">
        <v>43410</v>
      </c>
      <c r="C1691" s="29" t="s">
        <v>31</v>
      </c>
      <c r="D1691" s="62" t="n">
        <v>46</v>
      </c>
      <c r="E1691" s="62" t="n">
        <v>1565.7</v>
      </c>
      <c r="F1691" s="62" t="s">
        <v>5</v>
      </c>
      <c r="G1691" s="29" t="s">
        <v>29</v>
      </c>
      <c r="H1691" s="29" t="s">
        <v>38</v>
      </c>
    </row>
    <row r="1692" customFormat="false" ht="14.25" hidden="false" customHeight="false" outlineLevel="0" collapsed="false">
      <c r="A1692" s="1" t="n">
        <v>2695</v>
      </c>
      <c r="B1692" s="30" t="n">
        <v>43430</v>
      </c>
      <c r="C1692" s="29" t="s">
        <v>28</v>
      </c>
      <c r="D1692" s="62" t="n">
        <v>34</v>
      </c>
      <c r="E1692" s="62" t="n">
        <v>342.44</v>
      </c>
      <c r="F1692" s="62" t="s">
        <v>6</v>
      </c>
      <c r="G1692" s="29" t="s">
        <v>29</v>
      </c>
      <c r="H1692" s="29" t="s">
        <v>36</v>
      </c>
    </row>
    <row r="1693" customFormat="false" ht="14.25" hidden="false" customHeight="false" outlineLevel="0" collapsed="false">
      <c r="A1693" s="1" t="n">
        <v>2696</v>
      </c>
      <c r="B1693" s="30" t="n">
        <v>43430</v>
      </c>
      <c r="C1693" s="29" t="s">
        <v>28</v>
      </c>
      <c r="D1693" s="62" t="n">
        <v>12</v>
      </c>
      <c r="E1693" s="62" t="n">
        <v>94.77</v>
      </c>
      <c r="F1693" s="62" t="s">
        <v>6</v>
      </c>
      <c r="G1693" s="29" t="s">
        <v>29</v>
      </c>
      <c r="H1693" s="29" t="s">
        <v>36</v>
      </c>
    </row>
    <row r="1694" customFormat="false" ht="14.25" hidden="false" customHeight="false" outlineLevel="0" collapsed="false">
      <c r="A1694" s="1" t="n">
        <v>2697</v>
      </c>
      <c r="B1694" s="30" t="n">
        <v>43430</v>
      </c>
      <c r="C1694" s="29" t="s">
        <v>28</v>
      </c>
      <c r="D1694" s="62" t="n">
        <v>3</v>
      </c>
      <c r="E1694" s="62" t="n">
        <v>22862.17</v>
      </c>
      <c r="F1694" s="62" t="s">
        <v>6</v>
      </c>
      <c r="G1694" s="29" t="s">
        <v>24</v>
      </c>
      <c r="H1694" s="29" t="s">
        <v>42</v>
      </c>
    </row>
    <row r="1695" customFormat="false" ht="14.25" hidden="false" customHeight="false" outlineLevel="0" collapsed="false">
      <c r="A1695" s="1" t="n">
        <v>2698</v>
      </c>
      <c r="B1695" s="30" t="n">
        <v>43430</v>
      </c>
      <c r="C1695" s="29" t="s">
        <v>28</v>
      </c>
      <c r="D1695" s="62" t="n">
        <v>13</v>
      </c>
      <c r="E1695" s="62" t="n">
        <v>79.15</v>
      </c>
      <c r="F1695" s="62" t="s">
        <v>6</v>
      </c>
      <c r="G1695" s="29" t="s">
        <v>29</v>
      </c>
      <c r="H1695" s="29" t="s">
        <v>36</v>
      </c>
    </row>
    <row r="1696" customFormat="false" ht="14.25" hidden="false" customHeight="false" outlineLevel="0" collapsed="false">
      <c r="A1696" s="1" t="n">
        <v>2699</v>
      </c>
      <c r="B1696" s="30" t="n">
        <v>43403</v>
      </c>
      <c r="C1696" s="29" t="s">
        <v>21</v>
      </c>
      <c r="D1696" s="62" t="n">
        <v>36</v>
      </c>
      <c r="E1696" s="62" t="n">
        <v>1871.5</v>
      </c>
      <c r="F1696" s="62" t="s">
        <v>4</v>
      </c>
      <c r="G1696" s="29" t="s">
        <v>29</v>
      </c>
      <c r="H1696" s="29" t="s">
        <v>36</v>
      </c>
    </row>
    <row r="1697" customFormat="false" ht="14.25" hidden="false" customHeight="false" outlineLevel="0" collapsed="false">
      <c r="A1697" s="1" t="n">
        <v>2700</v>
      </c>
      <c r="B1697" s="30" t="n">
        <v>43403</v>
      </c>
      <c r="C1697" s="29" t="s">
        <v>21</v>
      </c>
      <c r="D1697" s="62" t="n">
        <v>14</v>
      </c>
      <c r="E1697" s="62" t="n">
        <v>40.55</v>
      </c>
      <c r="F1697" s="62" t="s">
        <v>4</v>
      </c>
      <c r="G1697" s="29" t="s">
        <v>29</v>
      </c>
      <c r="H1697" s="29" t="s">
        <v>30</v>
      </c>
    </row>
    <row r="1698" customFormat="false" ht="14.25" hidden="false" customHeight="false" outlineLevel="0" collapsed="false">
      <c r="A1698" s="1" t="n">
        <v>2701</v>
      </c>
      <c r="B1698" s="30" t="n">
        <v>43465</v>
      </c>
      <c r="C1698" s="29" t="s">
        <v>39</v>
      </c>
      <c r="D1698" s="62" t="n">
        <v>50</v>
      </c>
      <c r="E1698" s="62" t="n">
        <v>201.03</v>
      </c>
      <c r="F1698" s="62" t="s">
        <v>4</v>
      </c>
      <c r="G1698" s="29" t="s">
        <v>29</v>
      </c>
      <c r="H1698" s="29" t="s">
        <v>36</v>
      </c>
    </row>
    <row r="1699" customFormat="false" ht="14.25" hidden="false" customHeight="false" outlineLevel="0" collapsed="false">
      <c r="A1699" s="1" t="n">
        <v>2702</v>
      </c>
      <c r="B1699" s="30" t="n">
        <v>43465</v>
      </c>
      <c r="C1699" s="29" t="s">
        <v>39</v>
      </c>
      <c r="D1699" s="62" t="n">
        <v>45</v>
      </c>
      <c r="E1699" s="62" t="n">
        <v>2519.64</v>
      </c>
      <c r="F1699" s="62" t="s">
        <v>4</v>
      </c>
      <c r="G1699" s="29" t="s">
        <v>24</v>
      </c>
      <c r="H1699" s="29" t="s">
        <v>26</v>
      </c>
    </row>
    <row r="1700" customFormat="false" ht="14.25" hidden="false" customHeight="false" outlineLevel="0" collapsed="false">
      <c r="A1700" s="1" t="n">
        <v>2703</v>
      </c>
      <c r="B1700" s="30" t="n">
        <v>43251</v>
      </c>
      <c r="C1700" s="29" t="s">
        <v>21</v>
      </c>
      <c r="D1700" s="62" t="n">
        <v>43</v>
      </c>
      <c r="E1700" s="62" t="n">
        <v>11614.67</v>
      </c>
      <c r="F1700" s="62" t="s">
        <v>3</v>
      </c>
      <c r="G1700" s="29" t="s">
        <v>24</v>
      </c>
      <c r="H1700" s="29" t="s">
        <v>42</v>
      </c>
    </row>
    <row r="1701" customFormat="false" ht="14.25" hidden="false" customHeight="false" outlineLevel="0" collapsed="false">
      <c r="A1701" s="1" t="n">
        <v>2704</v>
      </c>
      <c r="B1701" s="30" t="n">
        <v>43251</v>
      </c>
      <c r="C1701" s="29" t="s">
        <v>21</v>
      </c>
      <c r="D1701" s="62" t="n">
        <v>19</v>
      </c>
      <c r="E1701" s="62" t="n">
        <v>54.82</v>
      </c>
      <c r="F1701" s="62" t="s">
        <v>3</v>
      </c>
      <c r="G1701" s="29" t="s">
        <v>29</v>
      </c>
      <c r="H1701" s="29" t="s">
        <v>30</v>
      </c>
    </row>
    <row r="1702" customFormat="false" ht="14.25" hidden="false" customHeight="false" outlineLevel="0" collapsed="false">
      <c r="A1702" s="1" t="n">
        <v>2705</v>
      </c>
      <c r="B1702" s="30" t="n">
        <v>43251</v>
      </c>
      <c r="C1702" s="29" t="s">
        <v>21</v>
      </c>
      <c r="D1702" s="62" t="n">
        <v>25</v>
      </c>
      <c r="E1702" s="62" t="n">
        <v>503.02</v>
      </c>
      <c r="F1702" s="62" t="s">
        <v>3</v>
      </c>
      <c r="G1702" s="29" t="s">
        <v>29</v>
      </c>
      <c r="H1702" s="29" t="s">
        <v>36</v>
      </c>
    </row>
    <row r="1703" customFormat="false" ht="14.25" hidden="false" customHeight="false" outlineLevel="0" collapsed="false">
      <c r="A1703" s="1" t="n">
        <v>2706</v>
      </c>
      <c r="B1703" s="30" t="n">
        <v>43198</v>
      </c>
      <c r="C1703" s="29" t="s">
        <v>28</v>
      </c>
      <c r="D1703" s="62" t="n">
        <v>37</v>
      </c>
      <c r="E1703" s="62" t="n">
        <v>209.2</v>
      </c>
      <c r="F1703" s="62" t="s">
        <v>5</v>
      </c>
      <c r="G1703" s="29" t="s">
        <v>29</v>
      </c>
      <c r="H1703" s="29" t="s">
        <v>35</v>
      </c>
    </row>
    <row r="1704" customFormat="false" ht="14.25" hidden="false" customHeight="false" outlineLevel="0" collapsed="false">
      <c r="A1704" s="1" t="n">
        <v>2707</v>
      </c>
      <c r="B1704" s="30" t="n">
        <v>43198</v>
      </c>
      <c r="C1704" s="29" t="s">
        <v>28</v>
      </c>
      <c r="D1704" s="62" t="n">
        <v>38</v>
      </c>
      <c r="E1704" s="62" t="n">
        <v>5342.11</v>
      </c>
      <c r="F1704" s="62" t="s">
        <v>5</v>
      </c>
      <c r="G1704" s="29" t="s">
        <v>29</v>
      </c>
      <c r="H1704" s="29" t="s">
        <v>38</v>
      </c>
    </row>
    <row r="1705" customFormat="false" ht="14.25" hidden="false" customHeight="false" outlineLevel="0" collapsed="false">
      <c r="A1705" s="1" t="n">
        <v>2708</v>
      </c>
      <c r="B1705" s="30" t="n">
        <v>43353</v>
      </c>
      <c r="C1705" s="29" t="s">
        <v>39</v>
      </c>
      <c r="D1705" s="62" t="n">
        <v>42</v>
      </c>
      <c r="E1705" s="62" t="n">
        <v>266.34</v>
      </c>
      <c r="F1705" s="62" t="s">
        <v>6</v>
      </c>
      <c r="G1705" s="29" t="s">
        <v>29</v>
      </c>
      <c r="H1705" s="29" t="s">
        <v>45</v>
      </c>
    </row>
    <row r="1706" customFormat="false" ht="14.25" hidden="false" customHeight="false" outlineLevel="0" collapsed="false">
      <c r="A1706" s="1" t="n">
        <v>2709</v>
      </c>
      <c r="B1706" s="30" t="n">
        <v>43177</v>
      </c>
      <c r="C1706" s="29" t="s">
        <v>28</v>
      </c>
      <c r="D1706" s="62" t="n">
        <v>35</v>
      </c>
      <c r="E1706" s="62" t="n">
        <v>142.38</v>
      </c>
      <c r="F1706" s="62" t="s">
        <v>4</v>
      </c>
      <c r="G1706" s="29" t="s">
        <v>29</v>
      </c>
      <c r="H1706" s="29" t="s">
        <v>33</v>
      </c>
    </row>
    <row r="1707" customFormat="false" ht="14.25" hidden="false" customHeight="false" outlineLevel="0" collapsed="false">
      <c r="A1707" s="1" t="n">
        <v>2710</v>
      </c>
      <c r="B1707" s="30" t="n">
        <v>43149</v>
      </c>
      <c r="C1707" s="29" t="s">
        <v>37</v>
      </c>
      <c r="D1707" s="62" t="n">
        <v>4</v>
      </c>
      <c r="E1707" s="62" t="n">
        <v>3708.59</v>
      </c>
      <c r="F1707" s="62" t="s">
        <v>6</v>
      </c>
      <c r="G1707" s="29" t="s">
        <v>29</v>
      </c>
      <c r="H1707" s="29" t="s">
        <v>34</v>
      </c>
    </row>
    <row r="1708" customFormat="false" ht="14.25" hidden="false" customHeight="false" outlineLevel="0" collapsed="false">
      <c r="A1708" s="1" t="n">
        <v>2711</v>
      </c>
      <c r="B1708" s="30" t="n">
        <v>43149</v>
      </c>
      <c r="C1708" s="29" t="s">
        <v>37</v>
      </c>
      <c r="D1708" s="62" t="n">
        <v>13</v>
      </c>
      <c r="E1708" s="62" t="n">
        <v>1399.43</v>
      </c>
      <c r="F1708" s="62" t="s">
        <v>6</v>
      </c>
      <c r="G1708" s="29" t="s">
        <v>24</v>
      </c>
      <c r="H1708" s="29" t="s">
        <v>26</v>
      </c>
    </row>
    <row r="1709" customFormat="false" ht="14.25" hidden="false" customHeight="false" outlineLevel="0" collapsed="false">
      <c r="A1709" s="1" t="n">
        <v>2712</v>
      </c>
      <c r="B1709" s="30" t="n">
        <v>43414</v>
      </c>
      <c r="C1709" s="29" t="s">
        <v>37</v>
      </c>
      <c r="D1709" s="62" t="n">
        <v>13</v>
      </c>
      <c r="E1709" s="62" t="n">
        <v>691.81</v>
      </c>
      <c r="F1709" s="62" t="s">
        <v>3</v>
      </c>
      <c r="G1709" s="29" t="s">
        <v>29</v>
      </c>
      <c r="H1709" s="29" t="s">
        <v>36</v>
      </c>
    </row>
    <row r="1710" customFormat="false" ht="14.25" hidden="false" customHeight="false" outlineLevel="0" collapsed="false">
      <c r="A1710" s="1" t="n">
        <v>2713</v>
      </c>
      <c r="B1710" s="30" t="n">
        <v>43414</v>
      </c>
      <c r="C1710" s="29" t="s">
        <v>37</v>
      </c>
      <c r="D1710" s="62" t="n">
        <v>10</v>
      </c>
      <c r="E1710" s="62" t="n">
        <v>2006.44</v>
      </c>
      <c r="F1710" s="62" t="s">
        <v>3</v>
      </c>
      <c r="G1710" s="29" t="s">
        <v>22</v>
      </c>
      <c r="H1710" s="29" t="s">
        <v>27</v>
      </c>
    </row>
    <row r="1711" customFormat="false" ht="14.25" hidden="false" customHeight="false" outlineLevel="0" collapsed="false">
      <c r="A1711" s="1" t="n">
        <v>2714</v>
      </c>
      <c r="B1711" s="30" t="n">
        <v>43414</v>
      </c>
      <c r="C1711" s="29" t="s">
        <v>37</v>
      </c>
      <c r="D1711" s="62" t="n">
        <v>47</v>
      </c>
      <c r="E1711" s="62" t="n">
        <v>3838.86</v>
      </c>
      <c r="F1711" s="62" t="s">
        <v>3</v>
      </c>
      <c r="G1711" s="29" t="s">
        <v>22</v>
      </c>
      <c r="H1711" s="29" t="s">
        <v>27</v>
      </c>
    </row>
    <row r="1712" customFormat="false" ht="14.25" hidden="false" customHeight="false" outlineLevel="0" collapsed="false">
      <c r="A1712" s="1" t="n">
        <v>2715</v>
      </c>
      <c r="B1712" s="30" t="n">
        <v>43431</v>
      </c>
      <c r="C1712" s="29" t="s">
        <v>39</v>
      </c>
      <c r="D1712" s="62" t="n">
        <v>1</v>
      </c>
      <c r="E1712" s="62" t="n">
        <v>58.02</v>
      </c>
      <c r="F1712" s="62" t="s">
        <v>4</v>
      </c>
      <c r="G1712" s="29" t="s">
        <v>29</v>
      </c>
      <c r="H1712" s="29" t="s">
        <v>36</v>
      </c>
    </row>
    <row r="1713" customFormat="false" ht="14.25" hidden="false" customHeight="false" outlineLevel="0" collapsed="false">
      <c r="A1713" s="1" t="n">
        <v>2716</v>
      </c>
      <c r="B1713" s="30" t="n">
        <v>43431</v>
      </c>
      <c r="C1713" s="29" t="s">
        <v>39</v>
      </c>
      <c r="D1713" s="62" t="n">
        <v>4</v>
      </c>
      <c r="E1713" s="62" t="n">
        <v>461.29</v>
      </c>
      <c r="F1713" s="62" t="s">
        <v>4</v>
      </c>
      <c r="G1713" s="29" t="s">
        <v>29</v>
      </c>
      <c r="H1713" s="29" t="s">
        <v>38</v>
      </c>
    </row>
    <row r="1714" customFormat="false" ht="14.25" hidden="false" customHeight="false" outlineLevel="0" collapsed="false">
      <c r="A1714" s="1" t="n">
        <v>2717</v>
      </c>
      <c r="B1714" s="30" t="n">
        <v>43343</v>
      </c>
      <c r="C1714" s="29" t="s">
        <v>21</v>
      </c>
      <c r="D1714" s="62" t="n">
        <v>24</v>
      </c>
      <c r="E1714" s="62" t="n">
        <v>220.78</v>
      </c>
      <c r="F1714" s="62" t="s">
        <v>5</v>
      </c>
      <c r="G1714" s="29" t="s">
        <v>24</v>
      </c>
      <c r="H1714" s="29" t="s">
        <v>26</v>
      </c>
    </row>
    <row r="1715" customFormat="false" ht="14.25" hidden="false" customHeight="false" outlineLevel="0" collapsed="false">
      <c r="A1715" s="1" t="n">
        <v>2718</v>
      </c>
      <c r="B1715" s="30" t="n">
        <v>43236</v>
      </c>
      <c r="C1715" s="29" t="s">
        <v>39</v>
      </c>
      <c r="D1715" s="62" t="n">
        <v>5</v>
      </c>
      <c r="E1715" s="62" t="n">
        <v>538.56</v>
      </c>
      <c r="F1715" s="62" t="s">
        <v>4</v>
      </c>
      <c r="G1715" s="29" t="s">
        <v>24</v>
      </c>
      <c r="H1715" s="29" t="s">
        <v>25</v>
      </c>
    </row>
    <row r="1716" customFormat="false" ht="14.25" hidden="false" customHeight="false" outlineLevel="0" collapsed="false">
      <c r="A1716" s="1" t="n">
        <v>2719</v>
      </c>
      <c r="B1716" s="30" t="n">
        <v>43346</v>
      </c>
      <c r="C1716" s="29" t="s">
        <v>21</v>
      </c>
      <c r="D1716" s="62" t="n">
        <v>33</v>
      </c>
      <c r="E1716" s="62" t="n">
        <v>1879.66</v>
      </c>
      <c r="F1716" s="62" t="s">
        <v>3</v>
      </c>
      <c r="G1716" s="29" t="s">
        <v>24</v>
      </c>
      <c r="H1716" s="29" t="s">
        <v>25</v>
      </c>
    </row>
    <row r="1717" customFormat="false" ht="14.25" hidden="false" customHeight="false" outlineLevel="0" collapsed="false">
      <c r="A1717" s="1" t="n">
        <v>2720</v>
      </c>
      <c r="B1717" s="30" t="n">
        <v>43346</v>
      </c>
      <c r="C1717" s="29" t="s">
        <v>21</v>
      </c>
      <c r="D1717" s="62" t="n">
        <v>16</v>
      </c>
      <c r="E1717" s="62" t="n">
        <v>210.77</v>
      </c>
      <c r="F1717" s="62" t="s">
        <v>3</v>
      </c>
      <c r="G1717" s="29" t="s">
        <v>29</v>
      </c>
      <c r="H1717" s="29" t="s">
        <v>36</v>
      </c>
    </row>
    <row r="1718" customFormat="false" ht="14.25" hidden="false" customHeight="false" outlineLevel="0" collapsed="false">
      <c r="A1718" s="1" t="n">
        <v>2721</v>
      </c>
      <c r="B1718" s="30" t="n">
        <v>43375</v>
      </c>
      <c r="C1718" s="29" t="s">
        <v>28</v>
      </c>
      <c r="D1718" s="62" t="n">
        <v>22</v>
      </c>
      <c r="E1718" s="62" t="n">
        <v>4153.62</v>
      </c>
      <c r="F1718" s="62" t="s">
        <v>5</v>
      </c>
      <c r="G1718" s="29" t="s">
        <v>22</v>
      </c>
      <c r="H1718" s="29" t="s">
        <v>27</v>
      </c>
    </row>
    <row r="1719" customFormat="false" ht="14.25" hidden="false" customHeight="false" outlineLevel="0" collapsed="false">
      <c r="A1719" s="1" t="n">
        <v>2722</v>
      </c>
      <c r="B1719" s="30" t="n">
        <v>43375</v>
      </c>
      <c r="C1719" s="29" t="s">
        <v>28</v>
      </c>
      <c r="D1719" s="62" t="n">
        <v>39</v>
      </c>
      <c r="E1719" s="62" t="n">
        <v>1418.86</v>
      </c>
      <c r="F1719" s="62" t="s">
        <v>5</v>
      </c>
      <c r="G1719" s="29" t="s">
        <v>29</v>
      </c>
      <c r="H1719" s="29" t="s">
        <v>38</v>
      </c>
    </row>
    <row r="1720" customFormat="false" ht="14.25" hidden="false" customHeight="false" outlineLevel="0" collapsed="false">
      <c r="A1720" s="1" t="n">
        <v>2723</v>
      </c>
      <c r="B1720" s="30" t="n">
        <v>43125</v>
      </c>
      <c r="C1720" s="29" t="s">
        <v>21</v>
      </c>
      <c r="D1720" s="62" t="n">
        <v>2</v>
      </c>
      <c r="E1720" s="62" t="n">
        <v>24.8</v>
      </c>
      <c r="F1720" s="62" t="s">
        <v>6</v>
      </c>
      <c r="G1720" s="29" t="s">
        <v>29</v>
      </c>
      <c r="H1720" s="29" t="s">
        <v>34</v>
      </c>
    </row>
    <row r="1721" customFormat="false" ht="14.25" hidden="false" customHeight="false" outlineLevel="0" collapsed="false">
      <c r="A1721" s="1" t="n">
        <v>2724</v>
      </c>
      <c r="B1721" s="30" t="n">
        <v>43125</v>
      </c>
      <c r="C1721" s="29" t="s">
        <v>21</v>
      </c>
      <c r="D1721" s="62" t="n">
        <v>10</v>
      </c>
      <c r="E1721" s="62" t="n">
        <v>1380.7</v>
      </c>
      <c r="F1721" s="62" t="s">
        <v>6</v>
      </c>
      <c r="G1721" s="29" t="s">
        <v>29</v>
      </c>
      <c r="H1721" s="29" t="s">
        <v>41</v>
      </c>
    </row>
    <row r="1722" customFormat="false" ht="14.25" hidden="false" customHeight="false" outlineLevel="0" collapsed="false">
      <c r="A1722" s="1" t="n">
        <v>2725</v>
      </c>
      <c r="B1722" s="30" t="n">
        <v>43430</v>
      </c>
      <c r="C1722" s="29" t="s">
        <v>28</v>
      </c>
      <c r="D1722" s="62" t="n">
        <v>14</v>
      </c>
      <c r="E1722" s="62" t="n">
        <v>146.43</v>
      </c>
      <c r="F1722" s="62" t="s">
        <v>3</v>
      </c>
      <c r="G1722" s="29" t="s">
        <v>29</v>
      </c>
      <c r="H1722" s="29" t="s">
        <v>34</v>
      </c>
    </row>
    <row r="1723" customFormat="false" ht="14.25" hidden="false" customHeight="false" outlineLevel="0" collapsed="false">
      <c r="A1723" s="1" t="n">
        <v>2726</v>
      </c>
      <c r="B1723" s="30" t="n">
        <v>43430</v>
      </c>
      <c r="C1723" s="29" t="s">
        <v>28</v>
      </c>
      <c r="D1723" s="62" t="n">
        <v>1</v>
      </c>
      <c r="E1723" s="62" t="n">
        <v>13.63</v>
      </c>
      <c r="F1723" s="62" t="s">
        <v>3</v>
      </c>
      <c r="G1723" s="29" t="s">
        <v>22</v>
      </c>
      <c r="H1723" s="29" t="s">
        <v>23</v>
      </c>
    </row>
    <row r="1724" customFormat="false" ht="14.25" hidden="false" customHeight="false" outlineLevel="0" collapsed="false">
      <c r="A1724" s="1" t="n">
        <v>2727</v>
      </c>
      <c r="B1724" s="30" t="n">
        <v>43283</v>
      </c>
      <c r="C1724" s="29" t="s">
        <v>31</v>
      </c>
      <c r="D1724" s="62" t="n">
        <v>5</v>
      </c>
      <c r="E1724" s="62" t="n">
        <v>16.69</v>
      </c>
      <c r="F1724" s="62" t="s">
        <v>4</v>
      </c>
      <c r="G1724" s="29" t="s">
        <v>29</v>
      </c>
      <c r="H1724" s="29" t="s">
        <v>33</v>
      </c>
    </row>
    <row r="1725" customFormat="false" ht="14.25" hidden="false" customHeight="false" outlineLevel="0" collapsed="false">
      <c r="A1725" s="1" t="n">
        <v>2728</v>
      </c>
      <c r="B1725" s="30" t="n">
        <v>43283</v>
      </c>
      <c r="C1725" s="29" t="s">
        <v>31</v>
      </c>
      <c r="D1725" s="62" t="n">
        <v>6</v>
      </c>
      <c r="E1725" s="62" t="n">
        <v>675.7</v>
      </c>
      <c r="F1725" s="62" t="s">
        <v>4</v>
      </c>
      <c r="G1725" s="29" t="s">
        <v>24</v>
      </c>
      <c r="H1725" s="29" t="s">
        <v>25</v>
      </c>
    </row>
    <row r="1726" customFormat="false" ht="14.25" hidden="false" customHeight="false" outlineLevel="0" collapsed="false">
      <c r="A1726" s="1" t="n">
        <v>2729</v>
      </c>
      <c r="B1726" s="30" t="n">
        <v>43404</v>
      </c>
      <c r="C1726" s="29" t="s">
        <v>28</v>
      </c>
      <c r="D1726" s="62" t="n">
        <v>47</v>
      </c>
      <c r="E1726" s="62" t="n">
        <v>166.09</v>
      </c>
      <c r="F1726" s="62" t="s">
        <v>5</v>
      </c>
      <c r="G1726" s="29" t="s">
        <v>22</v>
      </c>
      <c r="H1726" s="29" t="s">
        <v>40</v>
      </c>
    </row>
    <row r="1727" customFormat="false" ht="14.25" hidden="false" customHeight="false" outlineLevel="0" collapsed="false">
      <c r="A1727" s="1" t="n">
        <v>2730</v>
      </c>
      <c r="B1727" s="30" t="n">
        <v>43404</v>
      </c>
      <c r="C1727" s="29" t="s">
        <v>28</v>
      </c>
      <c r="D1727" s="62" t="n">
        <v>39</v>
      </c>
      <c r="E1727" s="62" t="n">
        <v>279.44</v>
      </c>
      <c r="F1727" s="62" t="s">
        <v>5</v>
      </c>
      <c r="G1727" s="29" t="s">
        <v>22</v>
      </c>
      <c r="H1727" s="29" t="s">
        <v>44</v>
      </c>
    </row>
    <row r="1728" customFormat="false" ht="14.25" hidden="false" customHeight="false" outlineLevel="0" collapsed="false">
      <c r="A1728" s="1" t="n">
        <v>2731</v>
      </c>
      <c r="B1728" s="30" t="n">
        <v>43398</v>
      </c>
      <c r="C1728" s="29" t="s">
        <v>28</v>
      </c>
      <c r="D1728" s="62" t="n">
        <v>19</v>
      </c>
      <c r="E1728" s="62" t="n">
        <v>285.69</v>
      </c>
      <c r="F1728" s="62" t="s">
        <v>6</v>
      </c>
      <c r="G1728" s="29" t="s">
        <v>29</v>
      </c>
      <c r="H1728" s="29" t="s">
        <v>34</v>
      </c>
    </row>
    <row r="1729" customFormat="false" ht="14.25" hidden="false" customHeight="false" outlineLevel="0" collapsed="false">
      <c r="A1729" s="1" t="n">
        <v>2732</v>
      </c>
      <c r="B1729" s="30" t="n">
        <v>43125</v>
      </c>
      <c r="C1729" s="29" t="s">
        <v>37</v>
      </c>
      <c r="D1729" s="62" t="n">
        <v>19</v>
      </c>
      <c r="E1729" s="62" t="n">
        <v>98.7</v>
      </c>
      <c r="F1729" s="62" t="s">
        <v>4</v>
      </c>
      <c r="G1729" s="29" t="s">
        <v>29</v>
      </c>
      <c r="H1729" s="29" t="s">
        <v>34</v>
      </c>
    </row>
    <row r="1730" customFormat="false" ht="14.25" hidden="false" customHeight="false" outlineLevel="0" collapsed="false">
      <c r="A1730" s="1" t="n">
        <v>2733</v>
      </c>
      <c r="B1730" s="30" t="n">
        <v>43210</v>
      </c>
      <c r="C1730" s="29" t="s">
        <v>28</v>
      </c>
      <c r="D1730" s="62" t="n">
        <v>49</v>
      </c>
      <c r="E1730" s="62" t="n">
        <v>10979.54</v>
      </c>
      <c r="F1730" s="62" t="s">
        <v>5</v>
      </c>
      <c r="G1730" s="29" t="s">
        <v>22</v>
      </c>
      <c r="H1730" s="29" t="s">
        <v>27</v>
      </c>
    </row>
    <row r="1731" customFormat="false" ht="14.25" hidden="false" customHeight="false" outlineLevel="0" collapsed="false">
      <c r="A1731" s="1" t="n">
        <v>2734</v>
      </c>
      <c r="B1731" s="30" t="n">
        <v>43321</v>
      </c>
      <c r="C1731" s="29" t="s">
        <v>21</v>
      </c>
      <c r="D1731" s="62" t="n">
        <v>19</v>
      </c>
      <c r="E1731" s="62" t="n">
        <v>1509.17</v>
      </c>
      <c r="F1731" s="62" t="s">
        <v>5</v>
      </c>
      <c r="G1731" s="29" t="s">
        <v>22</v>
      </c>
      <c r="H1731" s="29" t="s">
        <v>23</v>
      </c>
    </row>
    <row r="1732" customFormat="false" ht="14.25" hidden="false" customHeight="false" outlineLevel="0" collapsed="false">
      <c r="A1732" s="1" t="n">
        <v>2735</v>
      </c>
      <c r="B1732" s="30" t="n">
        <v>43204</v>
      </c>
      <c r="C1732" s="29" t="s">
        <v>21</v>
      </c>
      <c r="D1732" s="62" t="n">
        <v>4</v>
      </c>
      <c r="E1732" s="62" t="n">
        <v>33.32</v>
      </c>
      <c r="F1732" s="62" t="s">
        <v>3</v>
      </c>
      <c r="G1732" s="29" t="s">
        <v>29</v>
      </c>
      <c r="H1732" s="29" t="s">
        <v>36</v>
      </c>
    </row>
    <row r="1733" customFormat="false" ht="14.25" hidden="false" customHeight="false" outlineLevel="0" collapsed="false">
      <c r="A1733" s="1" t="n">
        <v>2736</v>
      </c>
      <c r="B1733" s="30" t="n">
        <v>43408</v>
      </c>
      <c r="C1733" s="29" t="s">
        <v>21</v>
      </c>
      <c r="D1733" s="62" t="n">
        <v>45</v>
      </c>
      <c r="E1733" s="62" t="n">
        <v>14022.34</v>
      </c>
      <c r="F1733" s="62" t="s">
        <v>6</v>
      </c>
      <c r="G1733" s="29" t="s">
        <v>22</v>
      </c>
      <c r="H1733" s="29" t="s">
        <v>27</v>
      </c>
    </row>
    <row r="1734" customFormat="false" ht="14.25" hidden="false" customHeight="false" outlineLevel="0" collapsed="false">
      <c r="A1734" s="1" t="n">
        <v>2737</v>
      </c>
      <c r="B1734" s="30" t="n">
        <v>43408</v>
      </c>
      <c r="C1734" s="29" t="s">
        <v>21</v>
      </c>
      <c r="D1734" s="62" t="n">
        <v>48</v>
      </c>
      <c r="E1734" s="62" t="n">
        <v>660.47</v>
      </c>
      <c r="F1734" s="62" t="s">
        <v>6</v>
      </c>
      <c r="G1734" s="29" t="s">
        <v>29</v>
      </c>
      <c r="H1734" s="29" t="s">
        <v>38</v>
      </c>
    </row>
    <row r="1735" customFormat="false" ht="14.25" hidden="false" customHeight="false" outlineLevel="0" collapsed="false">
      <c r="A1735" s="1" t="n">
        <v>2738</v>
      </c>
      <c r="B1735" s="30" t="n">
        <v>43453</v>
      </c>
      <c r="C1735" s="29" t="s">
        <v>37</v>
      </c>
      <c r="D1735" s="62" t="n">
        <v>27</v>
      </c>
      <c r="E1735" s="62" t="n">
        <v>4123.21</v>
      </c>
      <c r="F1735" s="62" t="s">
        <v>5</v>
      </c>
      <c r="G1735" s="29" t="s">
        <v>24</v>
      </c>
      <c r="H1735" s="29" t="s">
        <v>26</v>
      </c>
    </row>
    <row r="1736" customFormat="false" ht="14.25" hidden="false" customHeight="false" outlineLevel="0" collapsed="false">
      <c r="A1736" s="1" t="n">
        <v>2739</v>
      </c>
      <c r="B1736" s="30" t="n">
        <v>43453</v>
      </c>
      <c r="C1736" s="29" t="s">
        <v>37</v>
      </c>
      <c r="D1736" s="62" t="n">
        <v>5</v>
      </c>
      <c r="E1736" s="62" t="n">
        <v>30.21</v>
      </c>
      <c r="F1736" s="62" t="s">
        <v>5</v>
      </c>
      <c r="G1736" s="29" t="s">
        <v>29</v>
      </c>
      <c r="H1736" s="29" t="s">
        <v>36</v>
      </c>
    </row>
    <row r="1737" customFormat="false" ht="14.25" hidden="false" customHeight="false" outlineLevel="0" collapsed="false">
      <c r="A1737" s="1" t="n">
        <v>2740</v>
      </c>
      <c r="B1737" s="30" t="n">
        <v>43393</v>
      </c>
      <c r="C1737" s="29" t="s">
        <v>31</v>
      </c>
      <c r="D1737" s="62" t="n">
        <v>31</v>
      </c>
      <c r="E1737" s="62" t="n">
        <v>701.2</v>
      </c>
      <c r="F1737" s="62" t="s">
        <v>4</v>
      </c>
      <c r="G1737" s="29" t="s">
        <v>29</v>
      </c>
      <c r="H1737" s="29" t="s">
        <v>30</v>
      </c>
    </row>
    <row r="1738" customFormat="false" ht="14.25" hidden="false" customHeight="false" outlineLevel="0" collapsed="false">
      <c r="A1738" s="1" t="n">
        <v>2741</v>
      </c>
      <c r="B1738" s="30" t="n">
        <v>43200</v>
      </c>
      <c r="C1738" s="29" t="s">
        <v>31</v>
      </c>
      <c r="D1738" s="62" t="n">
        <v>49</v>
      </c>
      <c r="E1738" s="62" t="n">
        <v>1855.81</v>
      </c>
      <c r="F1738" s="62" t="s">
        <v>5</v>
      </c>
      <c r="G1738" s="29" t="s">
        <v>24</v>
      </c>
      <c r="H1738" s="29" t="s">
        <v>26</v>
      </c>
    </row>
    <row r="1739" customFormat="false" ht="14.25" hidden="false" customHeight="false" outlineLevel="0" collapsed="false">
      <c r="A1739" s="1" t="n">
        <v>2742</v>
      </c>
      <c r="B1739" s="30" t="n">
        <v>43200</v>
      </c>
      <c r="C1739" s="29" t="s">
        <v>31</v>
      </c>
      <c r="D1739" s="62" t="n">
        <v>25</v>
      </c>
      <c r="E1739" s="62" t="n">
        <v>1206.99</v>
      </c>
      <c r="F1739" s="62" t="s">
        <v>5</v>
      </c>
      <c r="G1739" s="29" t="s">
        <v>29</v>
      </c>
      <c r="H1739" s="29" t="s">
        <v>38</v>
      </c>
    </row>
    <row r="1740" customFormat="false" ht="14.25" hidden="false" customHeight="false" outlineLevel="0" collapsed="false">
      <c r="A1740" s="1" t="n">
        <v>2743</v>
      </c>
      <c r="B1740" s="30" t="n">
        <v>43130</v>
      </c>
      <c r="C1740" s="29" t="s">
        <v>31</v>
      </c>
      <c r="D1740" s="62" t="n">
        <v>30</v>
      </c>
      <c r="E1740" s="62" t="n">
        <v>767.41</v>
      </c>
      <c r="F1740" s="62" t="s">
        <v>4</v>
      </c>
      <c r="G1740" s="29" t="s">
        <v>22</v>
      </c>
      <c r="H1740" s="29" t="s">
        <v>23</v>
      </c>
    </row>
    <row r="1741" customFormat="false" ht="14.25" hidden="false" customHeight="false" outlineLevel="0" collapsed="false">
      <c r="A1741" s="1" t="n">
        <v>2744</v>
      </c>
      <c r="B1741" s="30" t="n">
        <v>43130</v>
      </c>
      <c r="C1741" s="29" t="s">
        <v>31</v>
      </c>
      <c r="D1741" s="62" t="n">
        <v>21</v>
      </c>
      <c r="E1741" s="62" t="n">
        <v>907.57</v>
      </c>
      <c r="F1741" s="62" t="s">
        <v>4</v>
      </c>
      <c r="G1741" s="29" t="s">
        <v>29</v>
      </c>
      <c r="H1741" s="29" t="s">
        <v>41</v>
      </c>
    </row>
    <row r="1742" customFormat="false" ht="14.25" hidden="false" customHeight="false" outlineLevel="0" collapsed="false">
      <c r="A1742" s="1" t="n">
        <v>2745</v>
      </c>
      <c r="B1742" s="30" t="n">
        <v>43103</v>
      </c>
      <c r="C1742" s="29" t="s">
        <v>28</v>
      </c>
      <c r="D1742" s="62" t="n">
        <v>41</v>
      </c>
      <c r="E1742" s="62" t="n">
        <v>12715.02</v>
      </c>
      <c r="F1742" s="62" t="s">
        <v>5</v>
      </c>
      <c r="G1742" s="29" t="s">
        <v>24</v>
      </c>
      <c r="H1742" s="29" t="s">
        <v>26</v>
      </c>
    </row>
    <row r="1743" customFormat="false" ht="14.25" hidden="false" customHeight="false" outlineLevel="0" collapsed="false">
      <c r="A1743" s="1" t="n">
        <v>2746</v>
      </c>
      <c r="B1743" s="30" t="n">
        <v>43287</v>
      </c>
      <c r="C1743" s="29" t="s">
        <v>21</v>
      </c>
      <c r="D1743" s="62" t="n">
        <v>4</v>
      </c>
      <c r="E1743" s="62" t="n">
        <v>53.35</v>
      </c>
      <c r="F1743" s="62" t="s">
        <v>3</v>
      </c>
      <c r="G1743" s="29" t="s">
        <v>29</v>
      </c>
      <c r="H1743" s="29" t="s">
        <v>41</v>
      </c>
    </row>
    <row r="1744" customFormat="false" ht="14.25" hidden="false" customHeight="false" outlineLevel="0" collapsed="false">
      <c r="A1744" s="1" t="n">
        <v>2747</v>
      </c>
      <c r="B1744" s="30" t="n">
        <v>43287</v>
      </c>
      <c r="C1744" s="29" t="s">
        <v>21</v>
      </c>
      <c r="D1744" s="62" t="n">
        <v>32</v>
      </c>
      <c r="E1744" s="62" t="n">
        <v>211.31</v>
      </c>
      <c r="F1744" s="62" t="s">
        <v>3</v>
      </c>
      <c r="G1744" s="29" t="s">
        <v>29</v>
      </c>
      <c r="H1744" s="29" t="s">
        <v>34</v>
      </c>
    </row>
    <row r="1745" customFormat="false" ht="14.25" hidden="false" customHeight="false" outlineLevel="0" collapsed="false">
      <c r="A1745" s="1" t="n">
        <v>2748</v>
      </c>
      <c r="B1745" s="30" t="n">
        <v>43165</v>
      </c>
      <c r="C1745" s="29" t="s">
        <v>31</v>
      </c>
      <c r="D1745" s="62" t="n">
        <v>38</v>
      </c>
      <c r="E1745" s="62" t="n">
        <v>6666.83</v>
      </c>
      <c r="F1745" s="62" t="s">
        <v>3</v>
      </c>
      <c r="G1745" s="29" t="s">
        <v>22</v>
      </c>
      <c r="H1745" s="29" t="s">
        <v>27</v>
      </c>
    </row>
    <row r="1746" customFormat="false" ht="14.25" hidden="false" customHeight="false" outlineLevel="0" collapsed="false">
      <c r="A1746" s="1" t="n">
        <v>2749</v>
      </c>
      <c r="B1746" s="30" t="n">
        <v>43165</v>
      </c>
      <c r="C1746" s="29" t="s">
        <v>31</v>
      </c>
      <c r="D1746" s="62" t="n">
        <v>8</v>
      </c>
      <c r="E1746" s="62" t="n">
        <v>1489.24</v>
      </c>
      <c r="F1746" s="62" t="s">
        <v>3</v>
      </c>
      <c r="G1746" s="29" t="s">
        <v>22</v>
      </c>
      <c r="H1746" s="29" t="s">
        <v>27</v>
      </c>
    </row>
    <row r="1747" customFormat="false" ht="14.25" hidden="false" customHeight="false" outlineLevel="0" collapsed="false">
      <c r="A1747" s="1" t="n">
        <v>2750</v>
      </c>
      <c r="B1747" s="30" t="n">
        <v>43214</v>
      </c>
      <c r="C1747" s="29" t="s">
        <v>37</v>
      </c>
      <c r="D1747" s="62" t="n">
        <v>11</v>
      </c>
      <c r="E1747" s="62" t="n">
        <v>26.7</v>
      </c>
      <c r="F1747" s="62" t="s">
        <v>4</v>
      </c>
      <c r="G1747" s="29" t="s">
        <v>29</v>
      </c>
      <c r="H1747" s="29" t="s">
        <v>33</v>
      </c>
    </row>
    <row r="1748" customFormat="false" ht="14.25" hidden="false" customHeight="false" outlineLevel="0" collapsed="false">
      <c r="A1748" s="1" t="n">
        <v>2751</v>
      </c>
      <c r="B1748" s="30" t="n">
        <v>43264</v>
      </c>
      <c r="C1748" s="29" t="s">
        <v>39</v>
      </c>
      <c r="D1748" s="62" t="n">
        <v>9</v>
      </c>
      <c r="E1748" s="62" t="n">
        <v>794.84</v>
      </c>
      <c r="F1748" s="62" t="s">
        <v>5</v>
      </c>
      <c r="G1748" s="29" t="s">
        <v>22</v>
      </c>
      <c r="H1748" s="29" t="s">
        <v>40</v>
      </c>
    </row>
    <row r="1749" customFormat="false" ht="14.25" hidden="false" customHeight="false" outlineLevel="0" collapsed="false">
      <c r="A1749" s="1" t="n">
        <v>2752</v>
      </c>
      <c r="B1749" s="30" t="n">
        <v>43264</v>
      </c>
      <c r="C1749" s="29" t="s">
        <v>39</v>
      </c>
      <c r="D1749" s="62" t="n">
        <v>14</v>
      </c>
      <c r="E1749" s="62" t="n">
        <v>2215.63</v>
      </c>
      <c r="F1749" s="62" t="s">
        <v>5</v>
      </c>
      <c r="G1749" s="29" t="s">
        <v>24</v>
      </c>
      <c r="H1749" s="29" t="s">
        <v>26</v>
      </c>
    </row>
    <row r="1750" customFormat="false" ht="14.25" hidden="false" customHeight="false" outlineLevel="0" collapsed="false">
      <c r="A1750" s="1" t="n">
        <v>2753</v>
      </c>
      <c r="B1750" s="30" t="n">
        <v>43264</v>
      </c>
      <c r="C1750" s="29" t="s">
        <v>39</v>
      </c>
      <c r="D1750" s="62" t="n">
        <v>15</v>
      </c>
      <c r="E1750" s="62" t="n">
        <v>817.62</v>
      </c>
      <c r="F1750" s="62" t="s">
        <v>5</v>
      </c>
      <c r="G1750" s="29" t="s">
        <v>29</v>
      </c>
      <c r="H1750" s="29" t="s">
        <v>36</v>
      </c>
    </row>
    <row r="1751" customFormat="false" ht="14.25" hidden="false" customHeight="false" outlineLevel="0" collapsed="false">
      <c r="A1751" s="1" t="n">
        <v>2754</v>
      </c>
      <c r="B1751" s="30" t="n">
        <v>43107</v>
      </c>
      <c r="C1751" s="29" t="s">
        <v>39</v>
      </c>
      <c r="D1751" s="62" t="n">
        <v>29</v>
      </c>
      <c r="E1751" s="62" t="n">
        <v>1604.49</v>
      </c>
      <c r="F1751" s="62" t="s">
        <v>5</v>
      </c>
      <c r="G1751" s="29" t="s">
        <v>24</v>
      </c>
      <c r="H1751" s="29" t="s">
        <v>25</v>
      </c>
    </row>
    <row r="1752" customFormat="false" ht="14.25" hidden="false" customHeight="false" outlineLevel="0" collapsed="false">
      <c r="A1752" s="1" t="n">
        <v>2755</v>
      </c>
      <c r="B1752" s="30" t="n">
        <v>43382</v>
      </c>
      <c r="C1752" s="29" t="s">
        <v>37</v>
      </c>
      <c r="D1752" s="62" t="n">
        <v>4</v>
      </c>
      <c r="E1752" s="62" t="n">
        <v>21.67</v>
      </c>
      <c r="F1752" s="62" t="s">
        <v>6</v>
      </c>
      <c r="G1752" s="29" t="s">
        <v>24</v>
      </c>
      <c r="H1752" s="29" t="s">
        <v>26</v>
      </c>
    </row>
    <row r="1753" customFormat="false" ht="14.25" hidden="false" customHeight="false" outlineLevel="0" collapsed="false">
      <c r="A1753" s="1" t="n">
        <v>2756</v>
      </c>
      <c r="B1753" s="30" t="n">
        <v>43382</v>
      </c>
      <c r="C1753" s="29" t="s">
        <v>37</v>
      </c>
      <c r="D1753" s="62" t="n">
        <v>22</v>
      </c>
      <c r="E1753" s="62" t="n">
        <v>56.3</v>
      </c>
      <c r="F1753" s="62" t="s">
        <v>6</v>
      </c>
      <c r="G1753" s="29" t="s">
        <v>29</v>
      </c>
      <c r="H1753" s="29" t="s">
        <v>30</v>
      </c>
    </row>
    <row r="1754" customFormat="false" ht="14.25" hidden="false" customHeight="false" outlineLevel="0" collapsed="false">
      <c r="A1754" s="1" t="n">
        <v>2757</v>
      </c>
      <c r="B1754" s="30" t="n">
        <v>43365</v>
      </c>
      <c r="C1754" s="29" t="s">
        <v>28</v>
      </c>
      <c r="D1754" s="62" t="n">
        <v>7</v>
      </c>
      <c r="E1754" s="62" t="n">
        <v>236.25</v>
      </c>
      <c r="F1754" s="62" t="s">
        <v>5</v>
      </c>
      <c r="G1754" s="29" t="s">
        <v>24</v>
      </c>
      <c r="H1754" s="29" t="s">
        <v>26</v>
      </c>
    </row>
    <row r="1755" customFormat="false" ht="14.25" hidden="false" customHeight="false" outlineLevel="0" collapsed="false">
      <c r="A1755" s="1" t="n">
        <v>2758</v>
      </c>
      <c r="B1755" s="30" t="n">
        <v>43365</v>
      </c>
      <c r="C1755" s="29" t="s">
        <v>28</v>
      </c>
      <c r="D1755" s="62" t="n">
        <v>37</v>
      </c>
      <c r="E1755" s="62" t="n">
        <v>215.22</v>
      </c>
      <c r="F1755" s="62" t="s">
        <v>5</v>
      </c>
      <c r="G1755" s="29" t="s">
        <v>29</v>
      </c>
      <c r="H1755" s="29" t="s">
        <v>33</v>
      </c>
    </row>
    <row r="1756" customFormat="false" ht="14.25" hidden="false" customHeight="false" outlineLevel="0" collapsed="false">
      <c r="A1756" s="1" t="n">
        <v>2759</v>
      </c>
      <c r="B1756" s="30" t="n">
        <v>43365</v>
      </c>
      <c r="C1756" s="29" t="s">
        <v>28</v>
      </c>
      <c r="D1756" s="62" t="n">
        <v>41</v>
      </c>
      <c r="E1756" s="62" t="n">
        <v>808.05</v>
      </c>
      <c r="F1756" s="62" t="s">
        <v>5</v>
      </c>
      <c r="G1756" s="29" t="s">
        <v>22</v>
      </c>
      <c r="H1756" s="29" t="s">
        <v>23</v>
      </c>
    </row>
    <row r="1757" customFormat="false" ht="14.25" hidden="false" customHeight="false" outlineLevel="0" collapsed="false">
      <c r="A1757" s="1" t="n">
        <v>2760</v>
      </c>
      <c r="B1757" s="30" t="n">
        <v>43370</v>
      </c>
      <c r="C1757" s="29" t="s">
        <v>21</v>
      </c>
      <c r="D1757" s="62" t="n">
        <v>20</v>
      </c>
      <c r="E1757" s="62" t="n">
        <v>638.32</v>
      </c>
      <c r="F1757" s="62" t="s">
        <v>4</v>
      </c>
      <c r="G1757" s="29" t="s">
        <v>24</v>
      </c>
      <c r="H1757" s="29" t="s">
        <v>26</v>
      </c>
    </row>
    <row r="1758" customFormat="false" ht="14.25" hidden="false" customHeight="false" outlineLevel="0" collapsed="false">
      <c r="A1758" s="1" t="n">
        <v>2761</v>
      </c>
      <c r="B1758" s="30" t="n">
        <v>43457</v>
      </c>
      <c r="C1758" s="29" t="s">
        <v>37</v>
      </c>
      <c r="D1758" s="62" t="n">
        <v>8</v>
      </c>
      <c r="E1758" s="62" t="n">
        <v>340.07</v>
      </c>
      <c r="F1758" s="62" t="s">
        <v>3</v>
      </c>
      <c r="G1758" s="29" t="s">
        <v>29</v>
      </c>
      <c r="H1758" s="29" t="s">
        <v>38</v>
      </c>
    </row>
    <row r="1759" customFormat="false" ht="14.25" hidden="false" customHeight="false" outlineLevel="0" collapsed="false">
      <c r="A1759" s="1" t="n">
        <v>2762</v>
      </c>
      <c r="B1759" s="30" t="n">
        <v>43146</v>
      </c>
      <c r="C1759" s="29" t="s">
        <v>39</v>
      </c>
      <c r="D1759" s="62" t="n">
        <v>19</v>
      </c>
      <c r="E1759" s="62" t="n">
        <v>147.71</v>
      </c>
      <c r="F1759" s="62" t="s">
        <v>4</v>
      </c>
      <c r="G1759" s="29" t="s">
        <v>24</v>
      </c>
      <c r="H1759" s="29" t="s">
        <v>26</v>
      </c>
    </row>
    <row r="1760" customFormat="false" ht="14.25" hidden="false" customHeight="false" outlineLevel="0" collapsed="false">
      <c r="A1760" s="1" t="n">
        <v>2763</v>
      </c>
      <c r="B1760" s="30" t="n">
        <v>43239</v>
      </c>
      <c r="C1760" s="29" t="s">
        <v>21</v>
      </c>
      <c r="D1760" s="62" t="n">
        <v>16</v>
      </c>
      <c r="E1760" s="62" t="n">
        <v>108.22</v>
      </c>
      <c r="F1760" s="62" t="s">
        <v>5</v>
      </c>
      <c r="G1760" s="29" t="s">
        <v>29</v>
      </c>
      <c r="H1760" s="29" t="s">
        <v>36</v>
      </c>
    </row>
    <row r="1761" customFormat="false" ht="14.25" hidden="false" customHeight="false" outlineLevel="0" collapsed="false">
      <c r="A1761" s="1" t="n">
        <v>2764</v>
      </c>
      <c r="B1761" s="30" t="n">
        <v>43197</v>
      </c>
      <c r="C1761" s="29" t="s">
        <v>21</v>
      </c>
      <c r="D1761" s="62" t="n">
        <v>20</v>
      </c>
      <c r="E1761" s="62" t="n">
        <v>83.45</v>
      </c>
      <c r="F1761" s="62" t="s">
        <v>6</v>
      </c>
      <c r="G1761" s="29" t="s">
        <v>29</v>
      </c>
      <c r="H1761" s="29" t="s">
        <v>33</v>
      </c>
    </row>
    <row r="1762" customFormat="false" ht="14.25" hidden="false" customHeight="false" outlineLevel="0" collapsed="false">
      <c r="A1762" s="1" t="n">
        <v>2765</v>
      </c>
      <c r="B1762" s="30" t="n">
        <v>43197</v>
      </c>
      <c r="C1762" s="29" t="s">
        <v>21</v>
      </c>
      <c r="D1762" s="62" t="n">
        <v>19</v>
      </c>
      <c r="E1762" s="62" t="n">
        <v>57.72</v>
      </c>
      <c r="F1762" s="62" t="s">
        <v>6</v>
      </c>
      <c r="G1762" s="29" t="s">
        <v>29</v>
      </c>
      <c r="H1762" s="29" t="s">
        <v>30</v>
      </c>
    </row>
    <row r="1763" customFormat="false" ht="14.25" hidden="false" customHeight="false" outlineLevel="0" collapsed="false">
      <c r="A1763" s="1" t="n">
        <v>2766</v>
      </c>
      <c r="B1763" s="30" t="n">
        <v>43197</v>
      </c>
      <c r="C1763" s="29" t="s">
        <v>21</v>
      </c>
      <c r="D1763" s="62" t="n">
        <v>7</v>
      </c>
      <c r="E1763" s="62" t="n">
        <v>50.23</v>
      </c>
      <c r="F1763" s="62" t="s">
        <v>6</v>
      </c>
      <c r="G1763" s="29" t="s">
        <v>29</v>
      </c>
      <c r="H1763" s="29" t="s">
        <v>30</v>
      </c>
    </row>
    <row r="1764" customFormat="false" ht="14.25" hidden="false" customHeight="false" outlineLevel="0" collapsed="false">
      <c r="A1764" s="1" t="n">
        <v>2767</v>
      </c>
      <c r="B1764" s="30" t="n">
        <v>43197</v>
      </c>
      <c r="C1764" s="29" t="s">
        <v>21</v>
      </c>
      <c r="D1764" s="62" t="n">
        <v>43</v>
      </c>
      <c r="E1764" s="62" t="n">
        <v>750.56</v>
      </c>
      <c r="F1764" s="62" t="s">
        <v>6</v>
      </c>
      <c r="G1764" s="29" t="s">
        <v>24</v>
      </c>
      <c r="H1764" s="29" t="s">
        <v>42</v>
      </c>
    </row>
    <row r="1765" customFormat="false" ht="14.25" hidden="false" customHeight="false" outlineLevel="0" collapsed="false">
      <c r="A1765" s="1" t="n">
        <v>2768</v>
      </c>
      <c r="B1765" s="30" t="n">
        <v>43411</v>
      </c>
      <c r="C1765" s="29" t="s">
        <v>39</v>
      </c>
      <c r="D1765" s="62" t="n">
        <v>40</v>
      </c>
      <c r="E1765" s="62" t="n">
        <v>1996.18</v>
      </c>
      <c r="F1765" s="62" t="s">
        <v>4</v>
      </c>
      <c r="G1765" s="29" t="s">
        <v>24</v>
      </c>
      <c r="H1765" s="29" t="s">
        <v>25</v>
      </c>
    </row>
    <row r="1766" customFormat="false" ht="14.25" hidden="false" customHeight="false" outlineLevel="0" collapsed="false">
      <c r="A1766" s="1" t="n">
        <v>2769</v>
      </c>
      <c r="B1766" s="30" t="n">
        <v>43411</v>
      </c>
      <c r="C1766" s="29" t="s">
        <v>39</v>
      </c>
      <c r="D1766" s="62" t="n">
        <v>39</v>
      </c>
      <c r="E1766" s="62" t="n">
        <v>240.93</v>
      </c>
      <c r="F1766" s="62" t="s">
        <v>4</v>
      </c>
      <c r="G1766" s="29" t="s">
        <v>29</v>
      </c>
      <c r="H1766" s="29" t="s">
        <v>36</v>
      </c>
    </row>
    <row r="1767" customFormat="false" ht="14.25" hidden="false" customHeight="false" outlineLevel="0" collapsed="false">
      <c r="A1767" s="1" t="n">
        <v>2770</v>
      </c>
      <c r="B1767" s="30" t="n">
        <v>43411</v>
      </c>
      <c r="C1767" s="29" t="s">
        <v>39</v>
      </c>
      <c r="D1767" s="62" t="n">
        <v>16</v>
      </c>
      <c r="E1767" s="62" t="n">
        <v>146.57</v>
      </c>
      <c r="F1767" s="62" t="s">
        <v>4</v>
      </c>
      <c r="G1767" s="29" t="s">
        <v>29</v>
      </c>
      <c r="H1767" s="29" t="s">
        <v>45</v>
      </c>
    </row>
    <row r="1768" customFormat="false" ht="14.25" hidden="false" customHeight="false" outlineLevel="0" collapsed="false">
      <c r="A1768" s="1" t="n">
        <v>2771</v>
      </c>
      <c r="B1768" s="30" t="n">
        <v>43411</v>
      </c>
      <c r="C1768" s="29" t="s">
        <v>39</v>
      </c>
      <c r="D1768" s="62" t="n">
        <v>24</v>
      </c>
      <c r="E1768" s="62" t="n">
        <v>1190.01</v>
      </c>
      <c r="F1768" s="62" t="s">
        <v>4</v>
      </c>
      <c r="G1768" s="29" t="s">
        <v>24</v>
      </c>
      <c r="H1768" s="29" t="s">
        <v>25</v>
      </c>
    </row>
    <row r="1769" customFormat="false" ht="14.25" hidden="false" customHeight="false" outlineLevel="0" collapsed="false">
      <c r="A1769" s="1" t="n">
        <v>2772</v>
      </c>
      <c r="B1769" s="30" t="n">
        <v>43307</v>
      </c>
      <c r="C1769" s="29" t="s">
        <v>31</v>
      </c>
      <c r="D1769" s="62" t="n">
        <v>20</v>
      </c>
      <c r="E1769" s="62" t="n">
        <v>98.6</v>
      </c>
      <c r="F1769" s="62" t="s">
        <v>4</v>
      </c>
      <c r="G1769" s="29" t="s">
        <v>29</v>
      </c>
      <c r="H1769" s="29" t="s">
        <v>35</v>
      </c>
    </row>
    <row r="1770" customFormat="false" ht="14.25" hidden="false" customHeight="false" outlineLevel="0" collapsed="false">
      <c r="A1770" s="1" t="n">
        <v>2773</v>
      </c>
      <c r="B1770" s="30" t="n">
        <v>43406</v>
      </c>
      <c r="C1770" s="29" t="s">
        <v>31</v>
      </c>
      <c r="D1770" s="62" t="n">
        <v>13</v>
      </c>
      <c r="E1770" s="62" t="n">
        <v>545.15</v>
      </c>
      <c r="F1770" s="62" t="s">
        <v>4</v>
      </c>
      <c r="G1770" s="29" t="s">
        <v>24</v>
      </c>
      <c r="H1770" s="29" t="s">
        <v>42</v>
      </c>
    </row>
    <row r="1771" customFormat="false" ht="14.25" hidden="false" customHeight="false" outlineLevel="0" collapsed="false">
      <c r="A1771" s="1" t="n">
        <v>2774</v>
      </c>
      <c r="B1771" s="30" t="n">
        <v>43230</v>
      </c>
      <c r="C1771" s="29" t="s">
        <v>21</v>
      </c>
      <c r="D1771" s="62" t="n">
        <v>49</v>
      </c>
      <c r="E1771" s="62" t="n">
        <v>2812.01</v>
      </c>
      <c r="F1771" s="62" t="s">
        <v>3</v>
      </c>
      <c r="G1771" s="29" t="s">
        <v>24</v>
      </c>
      <c r="H1771" s="29" t="s">
        <v>25</v>
      </c>
    </row>
    <row r="1772" customFormat="false" ht="14.25" hidden="false" customHeight="false" outlineLevel="0" collapsed="false">
      <c r="A1772" s="1" t="n">
        <v>2775</v>
      </c>
      <c r="B1772" s="30" t="n">
        <v>43230</v>
      </c>
      <c r="C1772" s="29" t="s">
        <v>21</v>
      </c>
      <c r="D1772" s="62" t="n">
        <v>50</v>
      </c>
      <c r="E1772" s="62" t="n">
        <v>2025.82</v>
      </c>
      <c r="F1772" s="62" t="s">
        <v>3</v>
      </c>
      <c r="G1772" s="29" t="s">
        <v>29</v>
      </c>
      <c r="H1772" s="29" t="s">
        <v>34</v>
      </c>
    </row>
    <row r="1773" customFormat="false" ht="14.25" hidden="false" customHeight="false" outlineLevel="0" collapsed="false">
      <c r="A1773" s="1" t="n">
        <v>2776</v>
      </c>
      <c r="B1773" s="30" t="n">
        <v>43334</v>
      </c>
      <c r="C1773" s="29" t="s">
        <v>31</v>
      </c>
      <c r="D1773" s="62" t="n">
        <v>29</v>
      </c>
      <c r="E1773" s="62" t="n">
        <v>229.18</v>
      </c>
      <c r="F1773" s="62" t="s">
        <v>4</v>
      </c>
      <c r="G1773" s="29" t="s">
        <v>29</v>
      </c>
      <c r="H1773" s="29" t="s">
        <v>36</v>
      </c>
    </row>
    <row r="1774" customFormat="false" ht="14.25" hidden="false" customHeight="false" outlineLevel="0" collapsed="false">
      <c r="A1774" s="1" t="n">
        <v>2777</v>
      </c>
      <c r="B1774" s="30" t="n">
        <v>43400</v>
      </c>
      <c r="C1774" s="29" t="s">
        <v>21</v>
      </c>
      <c r="D1774" s="62" t="n">
        <v>2</v>
      </c>
      <c r="E1774" s="62" t="n">
        <v>26.82</v>
      </c>
      <c r="F1774" s="62" t="s">
        <v>5</v>
      </c>
      <c r="G1774" s="29" t="s">
        <v>24</v>
      </c>
      <c r="H1774" s="29" t="s">
        <v>42</v>
      </c>
    </row>
    <row r="1775" customFormat="false" ht="14.25" hidden="false" customHeight="false" outlineLevel="0" collapsed="false">
      <c r="A1775" s="1" t="n">
        <v>2778</v>
      </c>
      <c r="B1775" s="30" t="n">
        <v>43432</v>
      </c>
      <c r="C1775" s="29" t="s">
        <v>31</v>
      </c>
      <c r="D1775" s="62" t="n">
        <v>25</v>
      </c>
      <c r="E1775" s="62" t="n">
        <v>714.37</v>
      </c>
      <c r="F1775" s="62" t="s">
        <v>6</v>
      </c>
      <c r="G1775" s="29" t="s">
        <v>24</v>
      </c>
      <c r="H1775" s="29" t="s">
        <v>26</v>
      </c>
    </row>
    <row r="1776" customFormat="false" ht="14.25" hidden="false" customHeight="false" outlineLevel="0" collapsed="false">
      <c r="A1776" s="1" t="n">
        <v>2779</v>
      </c>
      <c r="B1776" s="30" t="n">
        <v>43380</v>
      </c>
      <c r="C1776" s="29" t="s">
        <v>31</v>
      </c>
      <c r="D1776" s="62" t="n">
        <v>35</v>
      </c>
      <c r="E1776" s="62" t="n">
        <v>1581.06</v>
      </c>
      <c r="F1776" s="62" t="s">
        <v>3</v>
      </c>
      <c r="G1776" s="29" t="s">
        <v>29</v>
      </c>
      <c r="H1776" s="29" t="s">
        <v>41</v>
      </c>
    </row>
    <row r="1777" customFormat="false" ht="14.25" hidden="false" customHeight="false" outlineLevel="0" collapsed="false">
      <c r="A1777" s="1" t="n">
        <v>2780</v>
      </c>
      <c r="B1777" s="30" t="n">
        <v>43380</v>
      </c>
      <c r="C1777" s="29" t="s">
        <v>31</v>
      </c>
      <c r="D1777" s="62" t="n">
        <v>22</v>
      </c>
      <c r="E1777" s="62" t="n">
        <v>159.22</v>
      </c>
      <c r="F1777" s="62" t="s">
        <v>3</v>
      </c>
      <c r="G1777" s="29" t="s">
        <v>29</v>
      </c>
      <c r="H1777" s="29" t="s">
        <v>30</v>
      </c>
    </row>
    <row r="1778" customFormat="false" ht="14.25" hidden="false" customHeight="false" outlineLevel="0" collapsed="false">
      <c r="A1778" s="1" t="n">
        <v>2781</v>
      </c>
      <c r="B1778" s="30" t="n">
        <v>43380</v>
      </c>
      <c r="C1778" s="29" t="s">
        <v>31</v>
      </c>
      <c r="D1778" s="62" t="n">
        <v>3</v>
      </c>
      <c r="E1778" s="62" t="n">
        <v>20.82</v>
      </c>
      <c r="F1778" s="62" t="s">
        <v>3</v>
      </c>
      <c r="G1778" s="29" t="s">
        <v>29</v>
      </c>
      <c r="H1778" s="29" t="s">
        <v>35</v>
      </c>
    </row>
    <row r="1779" customFormat="false" ht="14.25" hidden="false" customHeight="false" outlineLevel="0" collapsed="false">
      <c r="A1779" s="1" t="n">
        <v>2782</v>
      </c>
      <c r="B1779" s="30" t="n">
        <v>43175</v>
      </c>
      <c r="C1779" s="29" t="s">
        <v>21</v>
      </c>
      <c r="D1779" s="62" t="n">
        <v>12</v>
      </c>
      <c r="E1779" s="62" t="n">
        <v>482.67</v>
      </c>
      <c r="F1779" s="62" t="s">
        <v>3</v>
      </c>
      <c r="G1779" s="29" t="s">
        <v>29</v>
      </c>
      <c r="H1779" s="29" t="s">
        <v>45</v>
      </c>
    </row>
    <row r="1780" customFormat="false" ht="14.25" hidden="false" customHeight="false" outlineLevel="0" collapsed="false">
      <c r="A1780" s="1" t="n">
        <v>2783</v>
      </c>
      <c r="B1780" s="30" t="n">
        <v>43260</v>
      </c>
      <c r="C1780" s="29" t="s">
        <v>37</v>
      </c>
      <c r="D1780" s="62" t="n">
        <v>39</v>
      </c>
      <c r="E1780" s="62" t="n">
        <v>659.66</v>
      </c>
      <c r="F1780" s="62" t="s">
        <v>6</v>
      </c>
      <c r="G1780" s="29" t="s">
        <v>29</v>
      </c>
      <c r="H1780" s="29" t="s">
        <v>34</v>
      </c>
    </row>
    <row r="1781" customFormat="false" ht="14.25" hidden="false" customHeight="false" outlineLevel="0" collapsed="false">
      <c r="A1781" s="1" t="n">
        <v>2784</v>
      </c>
      <c r="B1781" s="30" t="n">
        <v>43260</v>
      </c>
      <c r="C1781" s="29" t="s">
        <v>37</v>
      </c>
      <c r="D1781" s="62" t="n">
        <v>43</v>
      </c>
      <c r="E1781" s="62" t="n">
        <v>6693.72</v>
      </c>
      <c r="F1781" s="62" t="s">
        <v>6</v>
      </c>
      <c r="G1781" s="29" t="s">
        <v>29</v>
      </c>
      <c r="H1781" s="29" t="s">
        <v>38</v>
      </c>
    </row>
    <row r="1782" customFormat="false" ht="14.25" hidden="false" customHeight="false" outlineLevel="0" collapsed="false">
      <c r="A1782" s="1" t="n">
        <v>2785</v>
      </c>
      <c r="B1782" s="30" t="n">
        <v>43260</v>
      </c>
      <c r="C1782" s="29" t="s">
        <v>37</v>
      </c>
      <c r="D1782" s="62" t="n">
        <v>41</v>
      </c>
      <c r="E1782" s="62" t="n">
        <v>253.25</v>
      </c>
      <c r="F1782" s="62" t="s">
        <v>6</v>
      </c>
      <c r="G1782" s="29" t="s">
        <v>29</v>
      </c>
      <c r="H1782" s="29" t="s">
        <v>34</v>
      </c>
    </row>
    <row r="1783" customFormat="false" ht="14.25" hidden="false" customHeight="false" outlineLevel="0" collapsed="false">
      <c r="A1783" s="1" t="n">
        <v>2786</v>
      </c>
      <c r="B1783" s="30" t="n">
        <v>43394</v>
      </c>
      <c r="C1783" s="29" t="s">
        <v>21</v>
      </c>
      <c r="D1783" s="62" t="n">
        <v>27</v>
      </c>
      <c r="E1783" s="62" t="n">
        <v>1607.85</v>
      </c>
      <c r="F1783" s="62" t="s">
        <v>4</v>
      </c>
      <c r="G1783" s="29" t="s">
        <v>29</v>
      </c>
      <c r="H1783" s="29" t="s">
        <v>34</v>
      </c>
    </row>
    <row r="1784" customFormat="false" ht="14.25" hidden="false" customHeight="false" outlineLevel="0" collapsed="false">
      <c r="A1784" s="1" t="n">
        <v>2787</v>
      </c>
      <c r="B1784" s="30" t="n">
        <v>43337</v>
      </c>
      <c r="C1784" s="29" t="s">
        <v>28</v>
      </c>
      <c r="D1784" s="62" t="n">
        <v>35</v>
      </c>
      <c r="E1784" s="62" t="n">
        <v>1210.33</v>
      </c>
      <c r="F1784" s="62" t="s">
        <v>6</v>
      </c>
      <c r="G1784" s="29" t="s">
        <v>29</v>
      </c>
      <c r="H1784" s="29" t="s">
        <v>36</v>
      </c>
    </row>
    <row r="1785" customFormat="false" ht="14.25" hidden="false" customHeight="false" outlineLevel="0" collapsed="false">
      <c r="A1785" s="1" t="n">
        <v>2788</v>
      </c>
      <c r="B1785" s="30" t="n">
        <v>43198</v>
      </c>
      <c r="C1785" s="29" t="s">
        <v>39</v>
      </c>
      <c r="D1785" s="62" t="n">
        <v>36</v>
      </c>
      <c r="E1785" s="62" t="n">
        <v>1761.27</v>
      </c>
      <c r="F1785" s="62" t="s">
        <v>3</v>
      </c>
      <c r="G1785" s="29" t="s">
        <v>29</v>
      </c>
      <c r="H1785" s="29" t="s">
        <v>36</v>
      </c>
    </row>
    <row r="1786" customFormat="false" ht="14.25" hidden="false" customHeight="false" outlineLevel="0" collapsed="false">
      <c r="A1786" s="1" t="n">
        <v>2789</v>
      </c>
      <c r="B1786" s="30" t="n">
        <v>43346</v>
      </c>
      <c r="C1786" s="29" t="s">
        <v>28</v>
      </c>
      <c r="D1786" s="62" t="n">
        <v>21</v>
      </c>
      <c r="E1786" s="62" t="n">
        <v>8477.28</v>
      </c>
      <c r="F1786" s="62" t="s">
        <v>6</v>
      </c>
      <c r="G1786" s="29" t="s">
        <v>29</v>
      </c>
      <c r="H1786" s="29" t="s">
        <v>38</v>
      </c>
    </row>
    <row r="1787" customFormat="false" ht="14.25" hidden="false" customHeight="false" outlineLevel="0" collapsed="false">
      <c r="A1787" s="1" t="n">
        <v>2790</v>
      </c>
      <c r="B1787" s="30" t="n">
        <v>43162</v>
      </c>
      <c r="C1787" s="29" t="s">
        <v>31</v>
      </c>
      <c r="D1787" s="62" t="n">
        <v>43</v>
      </c>
      <c r="E1787" s="62" t="n">
        <v>5933.14</v>
      </c>
      <c r="F1787" s="62" t="s">
        <v>5</v>
      </c>
      <c r="G1787" s="29" t="s">
        <v>22</v>
      </c>
      <c r="H1787" s="29" t="s">
        <v>40</v>
      </c>
    </row>
    <row r="1788" customFormat="false" ht="14.25" hidden="false" customHeight="false" outlineLevel="0" collapsed="false">
      <c r="A1788" s="1" t="n">
        <v>2791</v>
      </c>
      <c r="B1788" s="30" t="n">
        <v>43319</v>
      </c>
      <c r="C1788" s="29" t="s">
        <v>21</v>
      </c>
      <c r="D1788" s="62" t="n">
        <v>43</v>
      </c>
      <c r="E1788" s="62" t="n">
        <v>1904.46</v>
      </c>
      <c r="F1788" s="62" t="s">
        <v>3</v>
      </c>
      <c r="G1788" s="29" t="s">
        <v>29</v>
      </c>
      <c r="H1788" s="29" t="s">
        <v>36</v>
      </c>
    </row>
    <row r="1789" customFormat="false" ht="14.25" hidden="false" customHeight="false" outlineLevel="0" collapsed="false">
      <c r="A1789" s="1" t="n">
        <v>2792</v>
      </c>
      <c r="B1789" s="30" t="n">
        <v>43322</v>
      </c>
      <c r="C1789" s="29" t="s">
        <v>37</v>
      </c>
      <c r="D1789" s="62" t="n">
        <v>23</v>
      </c>
      <c r="E1789" s="62" t="n">
        <v>3532.42</v>
      </c>
      <c r="F1789" s="62" t="s">
        <v>4</v>
      </c>
      <c r="G1789" s="29" t="s">
        <v>22</v>
      </c>
      <c r="H1789" s="29" t="s">
        <v>44</v>
      </c>
    </row>
    <row r="1790" customFormat="false" ht="14.25" hidden="false" customHeight="false" outlineLevel="0" collapsed="false">
      <c r="A1790" s="1" t="n">
        <v>2793</v>
      </c>
      <c r="B1790" s="30" t="n">
        <v>43322</v>
      </c>
      <c r="C1790" s="29" t="s">
        <v>37</v>
      </c>
      <c r="D1790" s="62" t="n">
        <v>28</v>
      </c>
      <c r="E1790" s="62" t="n">
        <v>135.84</v>
      </c>
      <c r="F1790" s="62" t="s">
        <v>4</v>
      </c>
      <c r="G1790" s="29" t="s">
        <v>29</v>
      </c>
      <c r="H1790" s="29" t="s">
        <v>35</v>
      </c>
    </row>
    <row r="1791" customFormat="false" ht="14.25" hidden="false" customHeight="false" outlineLevel="0" collapsed="false">
      <c r="A1791" s="1" t="n">
        <v>2794</v>
      </c>
      <c r="B1791" s="30" t="n">
        <v>43168</v>
      </c>
      <c r="C1791" s="29" t="s">
        <v>39</v>
      </c>
      <c r="D1791" s="62" t="n">
        <v>2</v>
      </c>
      <c r="E1791" s="62" t="n">
        <v>61.53</v>
      </c>
      <c r="F1791" s="62" t="s">
        <v>5</v>
      </c>
      <c r="G1791" s="29" t="s">
        <v>24</v>
      </c>
      <c r="H1791" s="29" t="s">
        <v>26</v>
      </c>
    </row>
    <row r="1792" customFormat="false" ht="14.25" hidden="false" customHeight="false" outlineLevel="0" collapsed="false">
      <c r="A1792" s="1" t="n">
        <v>2795</v>
      </c>
      <c r="B1792" s="30" t="n">
        <v>43301</v>
      </c>
      <c r="C1792" s="29" t="s">
        <v>21</v>
      </c>
      <c r="D1792" s="62" t="n">
        <v>10</v>
      </c>
      <c r="E1792" s="62" t="n">
        <v>2889.44</v>
      </c>
      <c r="F1792" s="62" t="s">
        <v>5</v>
      </c>
      <c r="G1792" s="29" t="s">
        <v>29</v>
      </c>
      <c r="H1792" s="29" t="s">
        <v>41</v>
      </c>
    </row>
    <row r="1793" customFormat="false" ht="14.25" hidden="false" customHeight="false" outlineLevel="0" collapsed="false">
      <c r="A1793" s="1" t="n">
        <v>2796</v>
      </c>
      <c r="B1793" s="30" t="n">
        <v>43352</v>
      </c>
      <c r="C1793" s="29" t="s">
        <v>31</v>
      </c>
      <c r="D1793" s="62" t="n">
        <v>3</v>
      </c>
      <c r="E1793" s="62" t="n">
        <v>171.76</v>
      </c>
      <c r="F1793" s="62" t="s">
        <v>4</v>
      </c>
      <c r="G1793" s="29" t="s">
        <v>22</v>
      </c>
      <c r="H1793" s="29" t="s">
        <v>40</v>
      </c>
    </row>
    <row r="1794" customFormat="false" ht="14.25" hidden="false" customHeight="false" outlineLevel="0" collapsed="false">
      <c r="A1794" s="1" t="n">
        <v>2797</v>
      </c>
      <c r="B1794" s="30" t="n">
        <v>43406</v>
      </c>
      <c r="C1794" s="29" t="s">
        <v>31</v>
      </c>
      <c r="D1794" s="62" t="n">
        <v>22</v>
      </c>
      <c r="E1794" s="62" t="n">
        <v>3562.32</v>
      </c>
      <c r="F1794" s="62" t="s">
        <v>6</v>
      </c>
      <c r="G1794" s="29" t="s">
        <v>22</v>
      </c>
      <c r="H1794" s="29" t="s">
        <v>27</v>
      </c>
    </row>
    <row r="1795" customFormat="false" ht="14.25" hidden="false" customHeight="false" outlineLevel="0" collapsed="false">
      <c r="A1795" s="1" t="n">
        <v>2798</v>
      </c>
      <c r="B1795" s="30" t="n">
        <v>43272</v>
      </c>
      <c r="C1795" s="29" t="s">
        <v>31</v>
      </c>
      <c r="D1795" s="62" t="n">
        <v>12</v>
      </c>
      <c r="E1795" s="62" t="n">
        <v>2152.45</v>
      </c>
      <c r="F1795" s="62" t="s">
        <v>4</v>
      </c>
      <c r="G1795" s="29" t="s">
        <v>24</v>
      </c>
      <c r="H1795" s="29" t="s">
        <v>25</v>
      </c>
    </row>
    <row r="1796" customFormat="false" ht="14.25" hidden="false" customHeight="false" outlineLevel="0" collapsed="false">
      <c r="A1796" s="1" t="n">
        <v>2799</v>
      </c>
      <c r="B1796" s="30" t="n">
        <v>43277</v>
      </c>
      <c r="C1796" s="29" t="s">
        <v>28</v>
      </c>
      <c r="D1796" s="62" t="n">
        <v>33</v>
      </c>
      <c r="E1796" s="62" t="n">
        <v>2667.48</v>
      </c>
      <c r="F1796" s="62" t="s">
        <v>3</v>
      </c>
      <c r="G1796" s="29" t="s">
        <v>24</v>
      </c>
      <c r="H1796" s="29" t="s">
        <v>26</v>
      </c>
    </row>
    <row r="1797" customFormat="false" ht="14.25" hidden="false" customHeight="false" outlineLevel="0" collapsed="false">
      <c r="A1797" s="1" t="n">
        <v>2800</v>
      </c>
      <c r="B1797" s="30" t="n">
        <v>43393</v>
      </c>
      <c r="C1797" s="29" t="s">
        <v>21</v>
      </c>
      <c r="D1797" s="62" t="n">
        <v>14</v>
      </c>
      <c r="E1797" s="62" t="n">
        <v>343.69</v>
      </c>
      <c r="F1797" s="62" t="s">
        <v>6</v>
      </c>
      <c r="G1797" s="29" t="s">
        <v>24</v>
      </c>
      <c r="H1797" s="29" t="s">
        <v>26</v>
      </c>
    </row>
    <row r="1798" customFormat="false" ht="14.25" hidden="false" customHeight="false" outlineLevel="0" collapsed="false">
      <c r="A1798" s="1" t="n">
        <v>2801</v>
      </c>
      <c r="B1798" s="30" t="n">
        <v>43182</v>
      </c>
      <c r="C1798" s="29" t="s">
        <v>37</v>
      </c>
      <c r="D1798" s="62" t="n">
        <v>5</v>
      </c>
      <c r="E1798" s="62" t="n">
        <v>89.13</v>
      </c>
      <c r="F1798" s="62" t="s">
        <v>4</v>
      </c>
      <c r="G1798" s="29" t="s">
        <v>24</v>
      </c>
      <c r="H1798" s="29" t="s">
        <v>25</v>
      </c>
    </row>
    <row r="1799" customFormat="false" ht="14.25" hidden="false" customHeight="false" outlineLevel="0" collapsed="false">
      <c r="A1799" s="1" t="n">
        <v>2802</v>
      </c>
      <c r="B1799" s="30" t="n">
        <v>43310</v>
      </c>
      <c r="C1799" s="29" t="s">
        <v>21</v>
      </c>
      <c r="D1799" s="62" t="n">
        <v>41</v>
      </c>
      <c r="E1799" s="62" t="n">
        <v>10776.07</v>
      </c>
      <c r="F1799" s="62" t="s">
        <v>4</v>
      </c>
      <c r="G1799" s="29" t="s">
        <v>24</v>
      </c>
      <c r="H1799" s="29" t="s">
        <v>42</v>
      </c>
    </row>
    <row r="1800" customFormat="false" ht="14.25" hidden="false" customHeight="false" outlineLevel="0" collapsed="false">
      <c r="A1800" s="1" t="n">
        <v>2803</v>
      </c>
      <c r="B1800" s="30" t="n">
        <v>43404</v>
      </c>
      <c r="C1800" s="29" t="s">
        <v>28</v>
      </c>
      <c r="D1800" s="62" t="n">
        <v>16</v>
      </c>
      <c r="E1800" s="62" t="n">
        <v>85.1</v>
      </c>
      <c r="F1800" s="62" t="s">
        <v>6</v>
      </c>
      <c r="G1800" s="29" t="s">
        <v>29</v>
      </c>
      <c r="H1800" s="29" t="s">
        <v>36</v>
      </c>
    </row>
    <row r="1801" customFormat="false" ht="14.25" hidden="false" customHeight="false" outlineLevel="0" collapsed="false">
      <c r="A1801" s="1" t="n">
        <v>2804</v>
      </c>
      <c r="B1801" s="30" t="n">
        <v>43404</v>
      </c>
      <c r="C1801" s="29" t="s">
        <v>28</v>
      </c>
      <c r="D1801" s="62" t="n">
        <v>31</v>
      </c>
      <c r="E1801" s="62" t="n">
        <v>249.52</v>
      </c>
      <c r="F1801" s="62" t="s">
        <v>6</v>
      </c>
      <c r="G1801" s="29" t="s">
        <v>29</v>
      </c>
      <c r="H1801" s="29" t="s">
        <v>36</v>
      </c>
    </row>
    <row r="1802" customFormat="false" ht="14.25" hidden="false" customHeight="false" outlineLevel="0" collapsed="false">
      <c r="A1802" s="1" t="n">
        <v>2805</v>
      </c>
      <c r="B1802" s="30" t="n">
        <v>43404</v>
      </c>
      <c r="C1802" s="29" t="s">
        <v>28</v>
      </c>
      <c r="D1802" s="62" t="n">
        <v>43</v>
      </c>
      <c r="E1802" s="62" t="n">
        <v>1798.65</v>
      </c>
      <c r="F1802" s="62" t="s">
        <v>6</v>
      </c>
      <c r="G1802" s="29" t="s">
        <v>24</v>
      </c>
      <c r="H1802" s="29" t="s">
        <v>25</v>
      </c>
    </row>
    <row r="1803" customFormat="false" ht="14.25" hidden="false" customHeight="false" outlineLevel="0" collapsed="false">
      <c r="A1803" s="1" t="n">
        <v>2806</v>
      </c>
      <c r="B1803" s="30" t="n">
        <v>43437</v>
      </c>
      <c r="C1803" s="29" t="s">
        <v>21</v>
      </c>
      <c r="D1803" s="62" t="n">
        <v>34</v>
      </c>
      <c r="E1803" s="62" t="n">
        <v>716.92</v>
      </c>
      <c r="F1803" s="62" t="s">
        <v>5</v>
      </c>
      <c r="G1803" s="29" t="s">
        <v>29</v>
      </c>
      <c r="H1803" s="29" t="s">
        <v>34</v>
      </c>
    </row>
    <row r="1804" customFormat="false" ht="14.25" hidden="false" customHeight="false" outlineLevel="0" collapsed="false">
      <c r="A1804" s="1" t="n">
        <v>2807</v>
      </c>
      <c r="B1804" s="30" t="n">
        <v>43103</v>
      </c>
      <c r="C1804" s="29" t="s">
        <v>37</v>
      </c>
      <c r="D1804" s="62" t="n">
        <v>17</v>
      </c>
      <c r="E1804" s="62" t="n">
        <v>221.69</v>
      </c>
      <c r="F1804" s="62" t="s">
        <v>3</v>
      </c>
      <c r="G1804" s="29" t="s">
        <v>29</v>
      </c>
      <c r="H1804" s="29" t="s">
        <v>30</v>
      </c>
    </row>
    <row r="1805" customFormat="false" ht="14.25" hidden="false" customHeight="false" outlineLevel="0" collapsed="false">
      <c r="A1805" s="1" t="n">
        <v>2808</v>
      </c>
      <c r="B1805" s="30" t="n">
        <v>43103</v>
      </c>
      <c r="C1805" s="29" t="s">
        <v>37</v>
      </c>
      <c r="D1805" s="62" t="n">
        <v>8</v>
      </c>
      <c r="E1805" s="62" t="n">
        <v>94.16</v>
      </c>
      <c r="F1805" s="62" t="s">
        <v>3</v>
      </c>
      <c r="G1805" s="29" t="s">
        <v>29</v>
      </c>
      <c r="H1805" s="29" t="s">
        <v>30</v>
      </c>
    </row>
    <row r="1806" customFormat="false" ht="14.25" hidden="false" customHeight="false" outlineLevel="0" collapsed="false">
      <c r="A1806" s="1" t="n">
        <v>2809</v>
      </c>
      <c r="B1806" s="30" t="n">
        <v>43103</v>
      </c>
      <c r="C1806" s="29" t="s">
        <v>37</v>
      </c>
      <c r="D1806" s="62" t="n">
        <v>15</v>
      </c>
      <c r="E1806" s="62" t="n">
        <v>98.47</v>
      </c>
      <c r="F1806" s="62" t="s">
        <v>3</v>
      </c>
      <c r="G1806" s="29" t="s">
        <v>29</v>
      </c>
      <c r="H1806" s="29" t="s">
        <v>30</v>
      </c>
    </row>
    <row r="1807" customFormat="false" ht="14.25" hidden="false" customHeight="false" outlineLevel="0" collapsed="false">
      <c r="A1807" s="1" t="n">
        <v>2810</v>
      </c>
      <c r="B1807" s="30" t="n">
        <v>43451</v>
      </c>
      <c r="C1807" s="29" t="s">
        <v>37</v>
      </c>
      <c r="D1807" s="62" t="n">
        <v>21</v>
      </c>
      <c r="E1807" s="62" t="n">
        <v>173.61</v>
      </c>
      <c r="F1807" s="62" t="s">
        <v>4</v>
      </c>
      <c r="G1807" s="29" t="s">
        <v>29</v>
      </c>
      <c r="H1807" s="29" t="s">
        <v>34</v>
      </c>
    </row>
    <row r="1808" customFormat="false" ht="14.25" hidden="false" customHeight="false" outlineLevel="0" collapsed="false">
      <c r="A1808" s="1" t="n">
        <v>2811</v>
      </c>
      <c r="B1808" s="30" t="n">
        <v>43262</v>
      </c>
      <c r="C1808" s="29" t="s">
        <v>39</v>
      </c>
      <c r="D1808" s="62" t="n">
        <v>34</v>
      </c>
      <c r="E1808" s="62" t="n">
        <v>165.24</v>
      </c>
      <c r="F1808" s="62" t="s">
        <v>6</v>
      </c>
      <c r="G1808" s="29" t="s">
        <v>22</v>
      </c>
      <c r="H1808" s="29" t="s">
        <v>23</v>
      </c>
    </row>
    <row r="1809" customFormat="false" ht="14.25" hidden="false" customHeight="false" outlineLevel="0" collapsed="false">
      <c r="A1809" s="1" t="n">
        <v>2812</v>
      </c>
      <c r="B1809" s="30" t="n">
        <v>43262</v>
      </c>
      <c r="C1809" s="29" t="s">
        <v>39</v>
      </c>
      <c r="D1809" s="62" t="n">
        <v>28</v>
      </c>
      <c r="E1809" s="62" t="n">
        <v>2109.57</v>
      </c>
      <c r="F1809" s="62" t="s">
        <v>6</v>
      </c>
      <c r="G1809" s="29" t="s">
        <v>22</v>
      </c>
      <c r="H1809" s="29" t="s">
        <v>44</v>
      </c>
    </row>
    <row r="1810" customFormat="false" ht="14.25" hidden="false" customHeight="false" outlineLevel="0" collapsed="false">
      <c r="A1810" s="1" t="n">
        <v>2813</v>
      </c>
      <c r="B1810" s="30" t="n">
        <v>43326</v>
      </c>
      <c r="C1810" s="29" t="s">
        <v>21</v>
      </c>
      <c r="D1810" s="62" t="n">
        <v>38</v>
      </c>
      <c r="E1810" s="62" t="n">
        <v>281.3</v>
      </c>
      <c r="F1810" s="62" t="s">
        <v>4</v>
      </c>
      <c r="G1810" s="29" t="s">
        <v>29</v>
      </c>
      <c r="H1810" s="29" t="s">
        <v>36</v>
      </c>
    </row>
    <row r="1811" customFormat="false" ht="14.25" hidden="false" customHeight="false" outlineLevel="0" collapsed="false">
      <c r="A1811" s="1" t="n">
        <v>2814</v>
      </c>
      <c r="B1811" s="30" t="n">
        <v>43154</v>
      </c>
      <c r="C1811" s="29" t="s">
        <v>21</v>
      </c>
      <c r="D1811" s="62" t="n">
        <v>7</v>
      </c>
      <c r="E1811" s="62" t="n">
        <v>181.92</v>
      </c>
      <c r="F1811" s="62" t="s">
        <v>5</v>
      </c>
      <c r="G1811" s="29" t="s">
        <v>29</v>
      </c>
      <c r="H1811" s="29" t="s">
        <v>36</v>
      </c>
    </row>
    <row r="1812" customFormat="false" ht="14.25" hidden="false" customHeight="false" outlineLevel="0" collapsed="false">
      <c r="A1812" s="1" t="n">
        <v>2815</v>
      </c>
      <c r="B1812" s="30" t="n">
        <v>43136</v>
      </c>
      <c r="C1812" s="29" t="s">
        <v>31</v>
      </c>
      <c r="D1812" s="62" t="n">
        <v>17</v>
      </c>
      <c r="E1812" s="62" t="n">
        <v>92.33</v>
      </c>
      <c r="F1812" s="62" t="s">
        <v>3</v>
      </c>
      <c r="G1812" s="29" t="s">
        <v>29</v>
      </c>
      <c r="H1812" s="29" t="s">
        <v>35</v>
      </c>
    </row>
    <row r="1813" customFormat="false" ht="14.25" hidden="false" customHeight="false" outlineLevel="0" collapsed="false">
      <c r="A1813" s="1" t="n">
        <v>2816</v>
      </c>
      <c r="B1813" s="30" t="n">
        <v>43136</v>
      </c>
      <c r="C1813" s="29" t="s">
        <v>31</v>
      </c>
      <c r="D1813" s="62" t="n">
        <v>2</v>
      </c>
      <c r="E1813" s="62" t="n">
        <v>93</v>
      </c>
      <c r="F1813" s="62" t="s">
        <v>3</v>
      </c>
      <c r="G1813" s="29" t="s">
        <v>29</v>
      </c>
      <c r="H1813" s="29" t="s">
        <v>30</v>
      </c>
    </row>
    <row r="1814" customFormat="false" ht="14.25" hidden="false" customHeight="false" outlineLevel="0" collapsed="false">
      <c r="A1814" s="1" t="n">
        <v>2817</v>
      </c>
      <c r="B1814" s="30" t="n">
        <v>43301</v>
      </c>
      <c r="C1814" s="29" t="s">
        <v>39</v>
      </c>
      <c r="D1814" s="62" t="n">
        <v>17</v>
      </c>
      <c r="E1814" s="62" t="n">
        <v>125.54</v>
      </c>
      <c r="F1814" s="62" t="s">
        <v>6</v>
      </c>
      <c r="G1814" s="29" t="s">
        <v>29</v>
      </c>
      <c r="H1814" s="29" t="s">
        <v>36</v>
      </c>
    </row>
    <row r="1815" customFormat="false" ht="14.25" hidden="false" customHeight="false" outlineLevel="0" collapsed="false">
      <c r="A1815" s="1" t="n">
        <v>2818</v>
      </c>
      <c r="B1815" s="30" t="n">
        <v>43339</v>
      </c>
      <c r="C1815" s="29" t="s">
        <v>31</v>
      </c>
      <c r="D1815" s="62" t="n">
        <v>7</v>
      </c>
      <c r="E1815" s="62" t="n">
        <v>96.92</v>
      </c>
      <c r="F1815" s="62" t="s">
        <v>6</v>
      </c>
      <c r="G1815" s="29" t="s">
        <v>29</v>
      </c>
      <c r="H1815" s="29" t="s">
        <v>38</v>
      </c>
    </row>
    <row r="1816" customFormat="false" ht="14.25" hidden="false" customHeight="false" outlineLevel="0" collapsed="false">
      <c r="A1816" s="1" t="n">
        <v>2819</v>
      </c>
      <c r="B1816" s="30" t="n">
        <v>43339</v>
      </c>
      <c r="C1816" s="29" t="s">
        <v>31</v>
      </c>
      <c r="D1816" s="62" t="n">
        <v>32</v>
      </c>
      <c r="E1816" s="62" t="n">
        <v>211.79</v>
      </c>
      <c r="F1816" s="62" t="s">
        <v>6</v>
      </c>
      <c r="G1816" s="29" t="s">
        <v>29</v>
      </c>
      <c r="H1816" s="29" t="s">
        <v>36</v>
      </c>
    </row>
    <row r="1817" customFormat="false" ht="14.25" hidden="false" customHeight="false" outlineLevel="0" collapsed="false">
      <c r="A1817" s="1" t="n">
        <v>2820</v>
      </c>
      <c r="B1817" s="30" t="n">
        <v>43290</v>
      </c>
      <c r="C1817" s="29" t="s">
        <v>39</v>
      </c>
      <c r="D1817" s="62" t="n">
        <v>12</v>
      </c>
      <c r="E1817" s="62" t="n">
        <v>69.3</v>
      </c>
      <c r="F1817" s="62" t="s">
        <v>5</v>
      </c>
      <c r="G1817" s="29" t="s">
        <v>29</v>
      </c>
      <c r="H1817" s="29" t="s">
        <v>30</v>
      </c>
    </row>
    <row r="1818" customFormat="false" ht="14.25" hidden="false" customHeight="false" outlineLevel="0" collapsed="false">
      <c r="A1818" s="1" t="n">
        <v>2821</v>
      </c>
      <c r="B1818" s="30" t="n">
        <v>43290</v>
      </c>
      <c r="C1818" s="29" t="s">
        <v>39</v>
      </c>
      <c r="D1818" s="62" t="n">
        <v>24</v>
      </c>
      <c r="E1818" s="62" t="n">
        <v>368.35</v>
      </c>
      <c r="F1818" s="62" t="s">
        <v>5</v>
      </c>
      <c r="G1818" s="29" t="s">
        <v>29</v>
      </c>
      <c r="H1818" s="29" t="s">
        <v>34</v>
      </c>
    </row>
    <row r="1819" customFormat="false" ht="14.25" hidden="false" customHeight="false" outlineLevel="0" collapsed="false">
      <c r="A1819" s="1" t="n">
        <v>2822</v>
      </c>
      <c r="B1819" s="30" t="n">
        <v>43292</v>
      </c>
      <c r="C1819" s="29" t="s">
        <v>39</v>
      </c>
      <c r="D1819" s="62" t="n">
        <v>14</v>
      </c>
      <c r="E1819" s="62" t="n">
        <v>345.19</v>
      </c>
      <c r="F1819" s="62" t="s">
        <v>5</v>
      </c>
      <c r="G1819" s="29" t="s">
        <v>29</v>
      </c>
      <c r="H1819" s="29" t="s">
        <v>30</v>
      </c>
    </row>
    <row r="1820" customFormat="false" ht="14.25" hidden="false" customHeight="false" outlineLevel="0" collapsed="false">
      <c r="A1820" s="1" t="n">
        <v>2823</v>
      </c>
      <c r="B1820" s="30" t="n">
        <v>43292</v>
      </c>
      <c r="C1820" s="29" t="s">
        <v>39</v>
      </c>
      <c r="D1820" s="62" t="n">
        <v>5</v>
      </c>
      <c r="E1820" s="62" t="n">
        <v>26</v>
      </c>
      <c r="F1820" s="62" t="s">
        <v>5</v>
      </c>
      <c r="G1820" s="29" t="s">
        <v>29</v>
      </c>
      <c r="H1820" s="29" t="s">
        <v>35</v>
      </c>
    </row>
    <row r="1821" customFormat="false" ht="14.25" hidden="false" customHeight="false" outlineLevel="0" collapsed="false">
      <c r="A1821" s="1" t="n">
        <v>2824</v>
      </c>
      <c r="B1821" s="30" t="n">
        <v>43441</v>
      </c>
      <c r="C1821" s="29" t="s">
        <v>21</v>
      </c>
      <c r="D1821" s="62" t="n">
        <v>38</v>
      </c>
      <c r="E1821" s="62" t="n">
        <v>2116.92</v>
      </c>
      <c r="F1821" s="62" t="s">
        <v>5</v>
      </c>
      <c r="G1821" s="29" t="s">
        <v>24</v>
      </c>
      <c r="H1821" s="29" t="s">
        <v>25</v>
      </c>
    </row>
    <row r="1822" customFormat="false" ht="14.25" hidden="false" customHeight="false" outlineLevel="0" collapsed="false">
      <c r="A1822" s="1" t="n">
        <v>2825</v>
      </c>
      <c r="B1822" s="30" t="n">
        <v>43441</v>
      </c>
      <c r="C1822" s="29" t="s">
        <v>21</v>
      </c>
      <c r="D1822" s="62" t="n">
        <v>28</v>
      </c>
      <c r="E1822" s="62" t="n">
        <v>1838.13</v>
      </c>
      <c r="F1822" s="62" t="s">
        <v>5</v>
      </c>
      <c r="G1822" s="29" t="s">
        <v>29</v>
      </c>
      <c r="H1822" s="29" t="s">
        <v>41</v>
      </c>
    </row>
    <row r="1823" customFormat="false" ht="14.25" hidden="false" customHeight="false" outlineLevel="0" collapsed="false">
      <c r="A1823" s="1" t="n">
        <v>2826</v>
      </c>
      <c r="B1823" s="30" t="n">
        <v>43131</v>
      </c>
      <c r="C1823" s="29" t="s">
        <v>31</v>
      </c>
      <c r="D1823" s="62" t="n">
        <v>21</v>
      </c>
      <c r="E1823" s="62" t="n">
        <v>595.4</v>
      </c>
      <c r="F1823" s="62" t="s">
        <v>5</v>
      </c>
      <c r="G1823" s="29" t="s">
        <v>22</v>
      </c>
      <c r="H1823" s="29" t="s">
        <v>40</v>
      </c>
    </row>
    <row r="1824" customFormat="false" ht="14.25" hidden="false" customHeight="false" outlineLevel="0" collapsed="false">
      <c r="A1824" s="1" t="n">
        <v>2827</v>
      </c>
      <c r="B1824" s="30" t="n">
        <v>43376</v>
      </c>
      <c r="C1824" s="29" t="s">
        <v>31</v>
      </c>
      <c r="D1824" s="62" t="n">
        <v>2</v>
      </c>
      <c r="E1824" s="62" t="n">
        <v>33.92</v>
      </c>
      <c r="F1824" s="62" t="s">
        <v>4</v>
      </c>
      <c r="G1824" s="29" t="s">
        <v>24</v>
      </c>
      <c r="H1824" s="29" t="s">
        <v>26</v>
      </c>
    </row>
    <row r="1825" customFormat="false" ht="14.25" hidden="false" customHeight="false" outlineLevel="0" collapsed="false">
      <c r="A1825" s="1" t="n">
        <v>2828</v>
      </c>
      <c r="B1825" s="30" t="n">
        <v>43376</v>
      </c>
      <c r="C1825" s="29" t="s">
        <v>31</v>
      </c>
      <c r="D1825" s="62" t="n">
        <v>3</v>
      </c>
      <c r="E1825" s="62" t="n">
        <v>154.06</v>
      </c>
      <c r="F1825" s="62" t="s">
        <v>4</v>
      </c>
      <c r="G1825" s="29" t="s">
        <v>24</v>
      </c>
      <c r="H1825" s="29" t="s">
        <v>25</v>
      </c>
    </row>
    <row r="1826" customFormat="false" ht="14.25" hidden="false" customHeight="false" outlineLevel="0" collapsed="false">
      <c r="A1826" s="1" t="n">
        <v>2829</v>
      </c>
      <c r="B1826" s="30" t="n">
        <v>43335</v>
      </c>
      <c r="C1826" s="29" t="s">
        <v>39</v>
      </c>
      <c r="D1826" s="62" t="n">
        <v>49</v>
      </c>
      <c r="E1826" s="62" t="n">
        <v>6779.37</v>
      </c>
      <c r="F1826" s="62" t="s">
        <v>6</v>
      </c>
      <c r="G1826" s="29" t="s">
        <v>24</v>
      </c>
      <c r="H1826" s="29" t="s">
        <v>25</v>
      </c>
    </row>
    <row r="1827" customFormat="false" ht="14.25" hidden="false" customHeight="false" outlineLevel="0" collapsed="false">
      <c r="A1827" s="1" t="n">
        <v>2830</v>
      </c>
      <c r="B1827" s="30" t="n">
        <v>43335</v>
      </c>
      <c r="C1827" s="29" t="s">
        <v>39</v>
      </c>
      <c r="D1827" s="62" t="n">
        <v>33</v>
      </c>
      <c r="E1827" s="62" t="n">
        <v>3310.32</v>
      </c>
      <c r="F1827" s="62" t="s">
        <v>6</v>
      </c>
      <c r="G1827" s="29" t="s">
        <v>29</v>
      </c>
      <c r="H1827" s="29" t="s">
        <v>38</v>
      </c>
    </row>
    <row r="1828" customFormat="false" ht="14.25" hidden="false" customHeight="false" outlineLevel="0" collapsed="false">
      <c r="A1828" s="1" t="n">
        <v>2831</v>
      </c>
      <c r="B1828" s="30" t="n">
        <v>43405</v>
      </c>
      <c r="C1828" s="29" t="s">
        <v>37</v>
      </c>
      <c r="D1828" s="62" t="n">
        <v>20</v>
      </c>
      <c r="E1828" s="62" t="n">
        <v>56.39</v>
      </c>
      <c r="F1828" s="62" t="s">
        <v>5</v>
      </c>
      <c r="G1828" s="29" t="s">
        <v>29</v>
      </c>
      <c r="H1828" s="29" t="s">
        <v>34</v>
      </c>
    </row>
    <row r="1829" customFormat="false" ht="14.25" hidden="false" customHeight="false" outlineLevel="0" collapsed="false">
      <c r="A1829" s="1" t="n">
        <v>2832</v>
      </c>
      <c r="B1829" s="30" t="n">
        <v>43169</v>
      </c>
      <c r="C1829" s="29" t="s">
        <v>37</v>
      </c>
      <c r="D1829" s="62" t="n">
        <v>16</v>
      </c>
      <c r="E1829" s="62" t="n">
        <v>1763.71</v>
      </c>
      <c r="F1829" s="62" t="s">
        <v>3</v>
      </c>
      <c r="G1829" s="29" t="s">
        <v>22</v>
      </c>
      <c r="H1829" s="29" t="s">
        <v>40</v>
      </c>
    </row>
    <row r="1830" customFormat="false" ht="14.25" hidden="false" customHeight="false" outlineLevel="0" collapsed="false">
      <c r="A1830" s="1" t="n">
        <v>2833</v>
      </c>
      <c r="B1830" s="30" t="n">
        <v>43181</v>
      </c>
      <c r="C1830" s="29" t="s">
        <v>28</v>
      </c>
      <c r="D1830" s="62" t="n">
        <v>31</v>
      </c>
      <c r="E1830" s="62" t="n">
        <v>314.07</v>
      </c>
      <c r="F1830" s="62" t="s">
        <v>6</v>
      </c>
      <c r="G1830" s="29" t="s">
        <v>29</v>
      </c>
      <c r="H1830" s="29" t="s">
        <v>38</v>
      </c>
    </row>
    <row r="1831" customFormat="false" ht="14.25" hidden="false" customHeight="false" outlineLevel="0" collapsed="false">
      <c r="A1831" s="1" t="n">
        <v>2834</v>
      </c>
      <c r="B1831" s="30" t="n">
        <v>43181</v>
      </c>
      <c r="C1831" s="29" t="s">
        <v>28</v>
      </c>
      <c r="D1831" s="62" t="n">
        <v>22</v>
      </c>
      <c r="E1831" s="62" t="n">
        <v>54.99</v>
      </c>
      <c r="F1831" s="62" t="s">
        <v>6</v>
      </c>
      <c r="G1831" s="29" t="s">
        <v>22</v>
      </c>
      <c r="H1831" s="29" t="s">
        <v>23</v>
      </c>
    </row>
    <row r="1832" customFormat="false" ht="14.25" hidden="false" customHeight="false" outlineLevel="0" collapsed="false">
      <c r="A1832" s="1" t="n">
        <v>2835</v>
      </c>
      <c r="B1832" s="30" t="n">
        <v>43209</v>
      </c>
      <c r="C1832" s="29" t="s">
        <v>21</v>
      </c>
      <c r="D1832" s="62" t="n">
        <v>24</v>
      </c>
      <c r="E1832" s="62" t="n">
        <v>72.59</v>
      </c>
      <c r="F1832" s="62" t="s">
        <v>4</v>
      </c>
      <c r="G1832" s="29" t="s">
        <v>29</v>
      </c>
      <c r="H1832" s="29" t="s">
        <v>35</v>
      </c>
    </row>
    <row r="1833" customFormat="false" ht="14.25" hidden="false" customHeight="false" outlineLevel="0" collapsed="false">
      <c r="A1833" s="1" t="n">
        <v>2836</v>
      </c>
      <c r="B1833" s="30" t="n">
        <v>43404</v>
      </c>
      <c r="C1833" s="29" t="s">
        <v>31</v>
      </c>
      <c r="D1833" s="62" t="n">
        <v>42</v>
      </c>
      <c r="E1833" s="62" t="n">
        <v>4680.02</v>
      </c>
      <c r="F1833" s="62" t="s">
        <v>4</v>
      </c>
      <c r="G1833" s="29" t="s">
        <v>24</v>
      </c>
      <c r="H1833" s="29" t="s">
        <v>25</v>
      </c>
    </row>
    <row r="1834" customFormat="false" ht="14.25" hidden="false" customHeight="false" outlineLevel="0" collapsed="false">
      <c r="A1834" s="1" t="n">
        <v>2837</v>
      </c>
      <c r="B1834" s="30" t="n">
        <v>43404</v>
      </c>
      <c r="C1834" s="29" t="s">
        <v>31</v>
      </c>
      <c r="D1834" s="62" t="n">
        <v>7</v>
      </c>
      <c r="E1834" s="62" t="n">
        <v>79.03</v>
      </c>
      <c r="F1834" s="62" t="s">
        <v>4</v>
      </c>
      <c r="G1834" s="29" t="s">
        <v>29</v>
      </c>
      <c r="H1834" s="29" t="s">
        <v>38</v>
      </c>
    </row>
    <row r="1835" customFormat="false" ht="14.25" hidden="false" customHeight="false" outlineLevel="0" collapsed="false">
      <c r="A1835" s="1" t="n">
        <v>2838</v>
      </c>
      <c r="B1835" s="30" t="n">
        <v>43404</v>
      </c>
      <c r="C1835" s="29" t="s">
        <v>31</v>
      </c>
      <c r="D1835" s="62" t="n">
        <v>8</v>
      </c>
      <c r="E1835" s="62" t="n">
        <v>2463.53</v>
      </c>
      <c r="F1835" s="62" t="s">
        <v>4</v>
      </c>
      <c r="G1835" s="29" t="s">
        <v>24</v>
      </c>
      <c r="H1835" s="29" t="s">
        <v>26</v>
      </c>
    </row>
    <row r="1836" customFormat="false" ht="14.25" hidden="false" customHeight="false" outlineLevel="0" collapsed="false">
      <c r="A1836" s="1" t="n">
        <v>2839</v>
      </c>
      <c r="B1836" s="30" t="n">
        <v>43361</v>
      </c>
      <c r="C1836" s="29" t="s">
        <v>31</v>
      </c>
      <c r="D1836" s="62" t="n">
        <v>10</v>
      </c>
      <c r="E1836" s="62" t="n">
        <v>1202.94</v>
      </c>
      <c r="F1836" s="62" t="s">
        <v>4</v>
      </c>
      <c r="G1836" s="29" t="s">
        <v>24</v>
      </c>
      <c r="H1836" s="29" t="s">
        <v>25</v>
      </c>
    </row>
    <row r="1837" customFormat="false" ht="14.25" hidden="false" customHeight="false" outlineLevel="0" collapsed="false">
      <c r="A1837" s="1" t="n">
        <v>2840</v>
      </c>
      <c r="B1837" s="30" t="n">
        <v>43226</v>
      </c>
      <c r="C1837" s="29" t="s">
        <v>31</v>
      </c>
      <c r="D1837" s="62" t="n">
        <v>43</v>
      </c>
      <c r="E1837" s="62" t="n">
        <v>562.57</v>
      </c>
      <c r="F1837" s="62" t="s">
        <v>6</v>
      </c>
      <c r="G1837" s="29" t="s">
        <v>24</v>
      </c>
      <c r="H1837" s="29" t="s">
        <v>42</v>
      </c>
    </row>
    <row r="1838" customFormat="false" ht="14.25" hidden="false" customHeight="false" outlineLevel="0" collapsed="false">
      <c r="A1838" s="1" t="n">
        <v>2841</v>
      </c>
      <c r="B1838" s="30" t="n">
        <v>43227</v>
      </c>
      <c r="C1838" s="29" t="s">
        <v>21</v>
      </c>
      <c r="D1838" s="62" t="n">
        <v>24</v>
      </c>
      <c r="E1838" s="62" t="n">
        <v>468.1</v>
      </c>
      <c r="F1838" s="62" t="s">
        <v>3</v>
      </c>
      <c r="G1838" s="29" t="s">
        <v>24</v>
      </c>
      <c r="H1838" s="29" t="s">
        <v>25</v>
      </c>
    </row>
    <row r="1839" customFormat="false" ht="14.25" hidden="false" customHeight="false" outlineLevel="0" collapsed="false">
      <c r="A1839" s="1" t="n">
        <v>2842</v>
      </c>
      <c r="B1839" s="30" t="n">
        <v>43227</v>
      </c>
      <c r="C1839" s="29" t="s">
        <v>21</v>
      </c>
      <c r="D1839" s="62" t="n">
        <v>29</v>
      </c>
      <c r="E1839" s="62" t="n">
        <v>197.67</v>
      </c>
      <c r="F1839" s="62" t="s">
        <v>3</v>
      </c>
      <c r="G1839" s="29" t="s">
        <v>24</v>
      </c>
      <c r="H1839" s="29" t="s">
        <v>26</v>
      </c>
    </row>
    <row r="1840" customFormat="false" ht="14.25" hidden="false" customHeight="false" outlineLevel="0" collapsed="false">
      <c r="A1840" s="1" t="n">
        <v>2843</v>
      </c>
      <c r="B1840" s="30" t="n">
        <v>43173</v>
      </c>
      <c r="C1840" s="29" t="s">
        <v>39</v>
      </c>
      <c r="D1840" s="62" t="n">
        <v>47</v>
      </c>
      <c r="E1840" s="62" t="n">
        <v>206.67</v>
      </c>
      <c r="F1840" s="62" t="s">
        <v>5</v>
      </c>
      <c r="G1840" s="29" t="s">
        <v>29</v>
      </c>
      <c r="H1840" s="29" t="s">
        <v>30</v>
      </c>
    </row>
    <row r="1841" customFormat="false" ht="14.25" hidden="false" customHeight="false" outlineLevel="0" collapsed="false">
      <c r="A1841" s="1" t="n">
        <v>2844</v>
      </c>
      <c r="B1841" s="30" t="n">
        <v>43173</v>
      </c>
      <c r="C1841" s="29" t="s">
        <v>39</v>
      </c>
      <c r="D1841" s="62" t="n">
        <v>50</v>
      </c>
      <c r="E1841" s="62" t="n">
        <v>6801.65</v>
      </c>
      <c r="F1841" s="62" t="s">
        <v>5</v>
      </c>
      <c r="G1841" s="29" t="s">
        <v>22</v>
      </c>
      <c r="H1841" s="29" t="s">
        <v>40</v>
      </c>
    </row>
    <row r="1842" customFormat="false" ht="14.25" hidden="false" customHeight="false" outlineLevel="0" collapsed="false">
      <c r="A1842" s="1" t="n">
        <v>2845</v>
      </c>
      <c r="B1842" s="30" t="n">
        <v>43393</v>
      </c>
      <c r="C1842" s="29" t="s">
        <v>39</v>
      </c>
      <c r="D1842" s="62" t="n">
        <v>41</v>
      </c>
      <c r="E1842" s="62" t="n">
        <v>1347.1</v>
      </c>
      <c r="F1842" s="62" t="s">
        <v>5</v>
      </c>
      <c r="G1842" s="29" t="s">
        <v>24</v>
      </c>
      <c r="H1842" s="29" t="s">
        <v>26</v>
      </c>
    </row>
    <row r="1843" customFormat="false" ht="14.25" hidden="false" customHeight="false" outlineLevel="0" collapsed="false">
      <c r="A1843" s="1" t="n">
        <v>2846</v>
      </c>
      <c r="B1843" s="30" t="n">
        <v>43183</v>
      </c>
      <c r="C1843" s="29" t="s">
        <v>31</v>
      </c>
      <c r="D1843" s="62" t="n">
        <v>22</v>
      </c>
      <c r="E1843" s="62" t="n">
        <v>672.38</v>
      </c>
      <c r="F1843" s="62" t="s">
        <v>4</v>
      </c>
      <c r="G1843" s="29" t="s">
        <v>29</v>
      </c>
      <c r="H1843" s="29" t="s">
        <v>36</v>
      </c>
    </row>
    <row r="1844" customFormat="false" ht="14.25" hidden="false" customHeight="false" outlineLevel="0" collapsed="false">
      <c r="A1844" s="1" t="n">
        <v>2847</v>
      </c>
      <c r="B1844" s="30" t="n">
        <v>43183</v>
      </c>
      <c r="C1844" s="29" t="s">
        <v>31</v>
      </c>
      <c r="D1844" s="62" t="n">
        <v>2</v>
      </c>
      <c r="E1844" s="62" t="n">
        <v>173.86</v>
      </c>
      <c r="F1844" s="62" t="s">
        <v>4</v>
      </c>
      <c r="G1844" s="29" t="s">
        <v>29</v>
      </c>
      <c r="H1844" s="29" t="s">
        <v>41</v>
      </c>
    </row>
    <row r="1845" customFormat="false" ht="14.25" hidden="false" customHeight="false" outlineLevel="0" collapsed="false">
      <c r="A1845" s="1" t="n">
        <v>2848</v>
      </c>
      <c r="B1845" s="30" t="n">
        <v>43183</v>
      </c>
      <c r="C1845" s="29" t="s">
        <v>31</v>
      </c>
      <c r="D1845" s="62" t="n">
        <v>26</v>
      </c>
      <c r="E1845" s="62" t="n">
        <v>452.76</v>
      </c>
      <c r="F1845" s="62" t="s">
        <v>4</v>
      </c>
      <c r="G1845" s="29" t="s">
        <v>24</v>
      </c>
      <c r="H1845" s="29" t="s">
        <v>26</v>
      </c>
    </row>
    <row r="1846" customFormat="false" ht="14.25" hidden="false" customHeight="false" outlineLevel="0" collapsed="false">
      <c r="A1846" s="1" t="n">
        <v>2849</v>
      </c>
      <c r="B1846" s="30" t="n">
        <v>43191</v>
      </c>
      <c r="C1846" s="29" t="s">
        <v>31</v>
      </c>
      <c r="D1846" s="62" t="n">
        <v>28</v>
      </c>
      <c r="E1846" s="62" t="n">
        <v>180.37</v>
      </c>
      <c r="F1846" s="62" t="s">
        <v>4</v>
      </c>
      <c r="G1846" s="29" t="s">
        <v>29</v>
      </c>
      <c r="H1846" s="29" t="s">
        <v>34</v>
      </c>
    </row>
    <row r="1847" customFormat="false" ht="14.25" hidden="false" customHeight="false" outlineLevel="0" collapsed="false">
      <c r="A1847" s="1" t="n">
        <v>2850</v>
      </c>
      <c r="B1847" s="30" t="n">
        <v>43392</v>
      </c>
      <c r="C1847" s="29" t="s">
        <v>31</v>
      </c>
      <c r="D1847" s="62" t="n">
        <v>23</v>
      </c>
      <c r="E1847" s="62" t="n">
        <v>444.11</v>
      </c>
      <c r="F1847" s="62" t="s">
        <v>3</v>
      </c>
      <c r="G1847" s="29" t="s">
        <v>24</v>
      </c>
      <c r="H1847" s="29" t="s">
        <v>25</v>
      </c>
    </row>
    <row r="1848" customFormat="false" ht="14.25" hidden="false" customHeight="false" outlineLevel="0" collapsed="false">
      <c r="A1848" s="1" t="n">
        <v>2851</v>
      </c>
      <c r="B1848" s="30" t="n">
        <v>43144</v>
      </c>
      <c r="C1848" s="29" t="s">
        <v>28</v>
      </c>
      <c r="D1848" s="62" t="n">
        <v>6</v>
      </c>
      <c r="E1848" s="62" t="n">
        <v>888.4</v>
      </c>
      <c r="F1848" s="62" t="s">
        <v>5</v>
      </c>
      <c r="G1848" s="29" t="s">
        <v>22</v>
      </c>
      <c r="H1848" s="29" t="s">
        <v>40</v>
      </c>
    </row>
    <row r="1849" customFormat="false" ht="14.25" hidden="false" customHeight="false" outlineLevel="0" collapsed="false">
      <c r="A1849" s="1" t="n">
        <v>2852</v>
      </c>
      <c r="B1849" s="30" t="n">
        <v>43144</v>
      </c>
      <c r="C1849" s="29" t="s">
        <v>28</v>
      </c>
      <c r="D1849" s="62" t="n">
        <v>45</v>
      </c>
      <c r="E1849" s="62" t="n">
        <v>896</v>
      </c>
      <c r="F1849" s="62" t="s">
        <v>5</v>
      </c>
      <c r="G1849" s="29" t="s">
        <v>24</v>
      </c>
      <c r="H1849" s="29" t="s">
        <v>25</v>
      </c>
    </row>
    <row r="1850" customFormat="false" ht="14.25" hidden="false" customHeight="false" outlineLevel="0" collapsed="false">
      <c r="A1850" s="1" t="n">
        <v>2853</v>
      </c>
      <c r="B1850" s="30" t="n">
        <v>43352</v>
      </c>
      <c r="C1850" s="29" t="s">
        <v>31</v>
      </c>
      <c r="D1850" s="62" t="n">
        <v>2</v>
      </c>
      <c r="E1850" s="62" t="n">
        <v>268.25</v>
      </c>
      <c r="F1850" s="62" t="s">
        <v>3</v>
      </c>
      <c r="G1850" s="29" t="s">
        <v>22</v>
      </c>
      <c r="H1850" s="29" t="s">
        <v>40</v>
      </c>
    </row>
    <row r="1851" customFormat="false" ht="14.25" hidden="false" customHeight="false" outlineLevel="0" collapsed="false">
      <c r="A1851" s="1" t="n">
        <v>2854</v>
      </c>
      <c r="B1851" s="30" t="n">
        <v>43112</v>
      </c>
      <c r="C1851" s="29" t="s">
        <v>21</v>
      </c>
      <c r="D1851" s="62" t="n">
        <v>28</v>
      </c>
      <c r="E1851" s="62" t="n">
        <v>3060.4</v>
      </c>
      <c r="F1851" s="62" t="s">
        <v>4</v>
      </c>
      <c r="G1851" s="29" t="s">
        <v>22</v>
      </c>
      <c r="H1851" s="29" t="s">
        <v>23</v>
      </c>
    </row>
    <row r="1852" customFormat="false" ht="14.25" hidden="false" customHeight="false" outlineLevel="0" collapsed="false">
      <c r="A1852" s="1" t="n">
        <v>2855</v>
      </c>
      <c r="B1852" s="30" t="n">
        <v>43301</v>
      </c>
      <c r="C1852" s="29" t="s">
        <v>39</v>
      </c>
      <c r="D1852" s="62" t="n">
        <v>29</v>
      </c>
      <c r="E1852" s="62" t="n">
        <v>4498.15</v>
      </c>
      <c r="F1852" s="62" t="s">
        <v>5</v>
      </c>
      <c r="G1852" s="29" t="s">
        <v>22</v>
      </c>
      <c r="H1852" s="29" t="s">
        <v>44</v>
      </c>
    </row>
    <row r="1853" customFormat="false" ht="14.25" hidden="false" customHeight="false" outlineLevel="0" collapsed="false">
      <c r="A1853" s="1" t="n">
        <v>2856</v>
      </c>
      <c r="B1853" s="30" t="n">
        <v>43422</v>
      </c>
      <c r="C1853" s="29" t="s">
        <v>39</v>
      </c>
      <c r="D1853" s="62" t="n">
        <v>48</v>
      </c>
      <c r="E1853" s="62" t="n">
        <v>16695.14</v>
      </c>
      <c r="F1853" s="62" t="s">
        <v>4</v>
      </c>
      <c r="G1853" s="29" t="s">
        <v>24</v>
      </c>
      <c r="H1853" s="29" t="s">
        <v>42</v>
      </c>
    </row>
    <row r="1854" customFormat="false" ht="14.25" hidden="false" customHeight="false" outlineLevel="0" collapsed="false">
      <c r="A1854" s="1" t="n">
        <v>2857</v>
      </c>
      <c r="B1854" s="30" t="n">
        <v>43373</v>
      </c>
      <c r="C1854" s="29" t="s">
        <v>31</v>
      </c>
      <c r="D1854" s="62" t="n">
        <v>20</v>
      </c>
      <c r="E1854" s="62" t="n">
        <v>1529.12</v>
      </c>
      <c r="F1854" s="62" t="s">
        <v>6</v>
      </c>
      <c r="G1854" s="29" t="s">
        <v>24</v>
      </c>
      <c r="H1854" s="29" t="s">
        <v>25</v>
      </c>
    </row>
    <row r="1855" customFormat="false" ht="14.25" hidden="false" customHeight="false" outlineLevel="0" collapsed="false">
      <c r="A1855" s="1" t="n">
        <v>2858</v>
      </c>
      <c r="B1855" s="30" t="n">
        <v>43373</v>
      </c>
      <c r="C1855" s="29" t="s">
        <v>31</v>
      </c>
      <c r="D1855" s="62" t="n">
        <v>16</v>
      </c>
      <c r="E1855" s="62" t="n">
        <v>110.2</v>
      </c>
      <c r="F1855" s="62" t="s">
        <v>6</v>
      </c>
      <c r="G1855" s="29" t="s">
        <v>29</v>
      </c>
      <c r="H1855" s="29" t="s">
        <v>36</v>
      </c>
    </row>
    <row r="1856" customFormat="false" ht="14.25" hidden="false" customHeight="false" outlineLevel="0" collapsed="false">
      <c r="A1856" s="1" t="n">
        <v>2859</v>
      </c>
      <c r="B1856" s="30" t="n">
        <v>43452</v>
      </c>
      <c r="C1856" s="29" t="s">
        <v>28</v>
      </c>
      <c r="D1856" s="62" t="n">
        <v>31</v>
      </c>
      <c r="E1856" s="62" t="n">
        <v>3095.84</v>
      </c>
      <c r="F1856" s="62" t="s">
        <v>4</v>
      </c>
      <c r="G1856" s="29" t="s">
        <v>24</v>
      </c>
      <c r="H1856" s="29" t="s">
        <v>42</v>
      </c>
    </row>
    <row r="1857" customFormat="false" ht="14.25" hidden="false" customHeight="false" outlineLevel="0" collapsed="false">
      <c r="A1857" s="1" t="n">
        <v>2860</v>
      </c>
      <c r="B1857" s="30" t="n">
        <v>43452</v>
      </c>
      <c r="C1857" s="29" t="s">
        <v>28</v>
      </c>
      <c r="D1857" s="62" t="n">
        <v>25</v>
      </c>
      <c r="E1857" s="62" t="n">
        <v>4197.9</v>
      </c>
      <c r="F1857" s="62" t="s">
        <v>4</v>
      </c>
      <c r="G1857" s="29" t="s">
        <v>22</v>
      </c>
      <c r="H1857" s="29" t="s">
        <v>27</v>
      </c>
    </row>
    <row r="1858" customFormat="false" ht="14.25" hidden="false" customHeight="false" outlineLevel="0" collapsed="false">
      <c r="A1858" s="1" t="n">
        <v>2861</v>
      </c>
      <c r="B1858" s="30" t="n">
        <v>43428</v>
      </c>
      <c r="C1858" s="29" t="s">
        <v>39</v>
      </c>
      <c r="D1858" s="62" t="n">
        <v>23</v>
      </c>
      <c r="E1858" s="62" t="n">
        <v>167.63</v>
      </c>
      <c r="F1858" s="62" t="s">
        <v>6</v>
      </c>
      <c r="G1858" s="29" t="s">
        <v>29</v>
      </c>
      <c r="H1858" s="29" t="s">
        <v>36</v>
      </c>
    </row>
    <row r="1859" customFormat="false" ht="14.25" hidden="false" customHeight="false" outlineLevel="0" collapsed="false">
      <c r="A1859" s="1" t="n">
        <v>2862</v>
      </c>
      <c r="B1859" s="30" t="n">
        <v>43432</v>
      </c>
      <c r="C1859" s="29" t="s">
        <v>37</v>
      </c>
      <c r="D1859" s="62" t="n">
        <v>25</v>
      </c>
      <c r="E1859" s="62" t="n">
        <v>44.8</v>
      </c>
      <c r="F1859" s="62" t="s">
        <v>4</v>
      </c>
      <c r="G1859" s="29" t="s">
        <v>29</v>
      </c>
      <c r="H1859" s="29" t="s">
        <v>30</v>
      </c>
    </row>
    <row r="1860" customFormat="false" ht="14.25" hidden="false" customHeight="false" outlineLevel="0" collapsed="false">
      <c r="A1860" s="1" t="n">
        <v>2863</v>
      </c>
      <c r="B1860" s="30" t="n">
        <v>43432</v>
      </c>
      <c r="C1860" s="29" t="s">
        <v>37</v>
      </c>
      <c r="D1860" s="62" t="n">
        <v>13</v>
      </c>
      <c r="E1860" s="62" t="n">
        <v>263.28</v>
      </c>
      <c r="F1860" s="62" t="s">
        <v>4</v>
      </c>
      <c r="G1860" s="29" t="s">
        <v>22</v>
      </c>
      <c r="H1860" s="29" t="s">
        <v>23</v>
      </c>
    </row>
    <row r="1861" customFormat="false" ht="14.25" hidden="false" customHeight="false" outlineLevel="0" collapsed="false">
      <c r="A1861" s="1" t="n">
        <v>2864</v>
      </c>
      <c r="B1861" s="30" t="n">
        <v>43214</v>
      </c>
      <c r="C1861" s="29" t="s">
        <v>28</v>
      </c>
      <c r="D1861" s="62" t="n">
        <v>30</v>
      </c>
      <c r="E1861" s="62" t="n">
        <v>5583.04</v>
      </c>
      <c r="F1861" s="62" t="s">
        <v>4</v>
      </c>
      <c r="G1861" s="29" t="s">
        <v>22</v>
      </c>
      <c r="H1861" s="29" t="s">
        <v>40</v>
      </c>
    </row>
    <row r="1862" customFormat="false" ht="14.25" hidden="false" customHeight="false" outlineLevel="0" collapsed="false">
      <c r="A1862" s="1" t="n">
        <v>2865</v>
      </c>
      <c r="B1862" s="30" t="n">
        <v>43351</v>
      </c>
      <c r="C1862" s="29" t="s">
        <v>37</v>
      </c>
      <c r="D1862" s="62" t="n">
        <v>49</v>
      </c>
      <c r="E1862" s="62" t="n">
        <v>284.94</v>
      </c>
      <c r="F1862" s="62" t="s">
        <v>5</v>
      </c>
      <c r="G1862" s="29" t="s">
        <v>22</v>
      </c>
      <c r="H1862" s="29" t="s">
        <v>23</v>
      </c>
    </row>
    <row r="1863" customFormat="false" ht="14.25" hidden="false" customHeight="false" outlineLevel="0" collapsed="false">
      <c r="A1863" s="1" t="n">
        <v>2866</v>
      </c>
      <c r="B1863" s="30" t="n">
        <v>43372</v>
      </c>
      <c r="C1863" s="29" t="s">
        <v>37</v>
      </c>
      <c r="D1863" s="62" t="n">
        <v>16</v>
      </c>
      <c r="E1863" s="62" t="n">
        <v>1807.38</v>
      </c>
      <c r="F1863" s="62" t="s">
        <v>6</v>
      </c>
      <c r="G1863" s="29" t="s">
        <v>24</v>
      </c>
      <c r="H1863" s="29" t="s">
        <v>25</v>
      </c>
    </row>
    <row r="1864" customFormat="false" ht="14.25" hidden="false" customHeight="false" outlineLevel="0" collapsed="false">
      <c r="A1864" s="1" t="n">
        <v>2867</v>
      </c>
      <c r="B1864" s="30" t="n">
        <v>43372</v>
      </c>
      <c r="C1864" s="29" t="s">
        <v>37</v>
      </c>
      <c r="D1864" s="62" t="n">
        <v>26</v>
      </c>
      <c r="E1864" s="62" t="n">
        <v>855.83</v>
      </c>
      <c r="F1864" s="62" t="s">
        <v>6</v>
      </c>
      <c r="G1864" s="29" t="s">
        <v>24</v>
      </c>
      <c r="H1864" s="29" t="s">
        <v>26</v>
      </c>
    </row>
    <row r="1865" customFormat="false" ht="14.25" hidden="false" customHeight="false" outlineLevel="0" collapsed="false">
      <c r="A1865" s="1" t="n">
        <v>2868</v>
      </c>
      <c r="B1865" s="30" t="n">
        <v>43239</v>
      </c>
      <c r="C1865" s="29" t="s">
        <v>37</v>
      </c>
      <c r="D1865" s="62" t="n">
        <v>9</v>
      </c>
      <c r="E1865" s="62" t="n">
        <v>72.18</v>
      </c>
      <c r="F1865" s="62" t="s">
        <v>6</v>
      </c>
      <c r="G1865" s="29" t="s">
        <v>29</v>
      </c>
      <c r="H1865" s="29" t="s">
        <v>36</v>
      </c>
    </row>
    <row r="1866" customFormat="false" ht="14.25" hidden="false" customHeight="false" outlineLevel="0" collapsed="false">
      <c r="A1866" s="1" t="n">
        <v>2869</v>
      </c>
      <c r="B1866" s="30" t="n">
        <v>43239</v>
      </c>
      <c r="C1866" s="29" t="s">
        <v>37</v>
      </c>
      <c r="D1866" s="62" t="n">
        <v>32</v>
      </c>
      <c r="E1866" s="62" t="n">
        <v>137.11</v>
      </c>
      <c r="F1866" s="62" t="s">
        <v>6</v>
      </c>
      <c r="G1866" s="29" t="s">
        <v>29</v>
      </c>
      <c r="H1866" s="29" t="s">
        <v>34</v>
      </c>
    </row>
    <row r="1867" customFormat="false" ht="14.25" hidden="false" customHeight="false" outlineLevel="0" collapsed="false">
      <c r="A1867" s="1" t="n">
        <v>2870</v>
      </c>
      <c r="B1867" s="30" t="n">
        <v>43304</v>
      </c>
      <c r="C1867" s="29" t="s">
        <v>39</v>
      </c>
      <c r="D1867" s="62" t="n">
        <v>48</v>
      </c>
      <c r="E1867" s="62" t="n">
        <v>5498.02</v>
      </c>
      <c r="F1867" s="62" t="s">
        <v>3</v>
      </c>
      <c r="G1867" s="29" t="s">
        <v>24</v>
      </c>
      <c r="H1867" s="29" t="s">
        <v>25</v>
      </c>
    </row>
    <row r="1868" customFormat="false" ht="14.25" hidden="false" customHeight="false" outlineLevel="0" collapsed="false">
      <c r="A1868" s="1" t="n">
        <v>2871</v>
      </c>
      <c r="B1868" s="30" t="n">
        <v>43304</v>
      </c>
      <c r="C1868" s="29" t="s">
        <v>39</v>
      </c>
      <c r="D1868" s="62" t="n">
        <v>16</v>
      </c>
      <c r="E1868" s="62" t="n">
        <v>639.26</v>
      </c>
      <c r="F1868" s="62" t="s">
        <v>3</v>
      </c>
      <c r="G1868" s="29" t="s">
        <v>29</v>
      </c>
      <c r="H1868" s="29" t="s">
        <v>41</v>
      </c>
    </row>
    <row r="1869" customFormat="false" ht="14.25" hidden="false" customHeight="false" outlineLevel="0" collapsed="false">
      <c r="A1869" s="1" t="n">
        <v>2872</v>
      </c>
      <c r="B1869" s="30" t="n">
        <v>43304</v>
      </c>
      <c r="C1869" s="29" t="s">
        <v>39</v>
      </c>
      <c r="D1869" s="62" t="n">
        <v>22</v>
      </c>
      <c r="E1869" s="62" t="n">
        <v>2571.36</v>
      </c>
      <c r="F1869" s="62" t="s">
        <v>3</v>
      </c>
      <c r="G1869" s="29" t="s">
        <v>24</v>
      </c>
      <c r="H1869" s="29" t="s">
        <v>25</v>
      </c>
    </row>
    <row r="1870" customFormat="false" ht="14.25" hidden="false" customHeight="false" outlineLevel="0" collapsed="false">
      <c r="A1870" s="1" t="n">
        <v>2873</v>
      </c>
      <c r="B1870" s="30" t="n">
        <v>43304</v>
      </c>
      <c r="C1870" s="29" t="s">
        <v>39</v>
      </c>
      <c r="D1870" s="62" t="n">
        <v>26</v>
      </c>
      <c r="E1870" s="62" t="n">
        <v>141.49</v>
      </c>
      <c r="F1870" s="62" t="s">
        <v>3</v>
      </c>
      <c r="G1870" s="29" t="s">
        <v>22</v>
      </c>
      <c r="H1870" s="29" t="s">
        <v>23</v>
      </c>
    </row>
    <row r="1871" customFormat="false" ht="14.25" hidden="false" customHeight="false" outlineLevel="0" collapsed="false">
      <c r="A1871" s="1" t="n">
        <v>2874</v>
      </c>
      <c r="B1871" s="30" t="n">
        <v>43458</v>
      </c>
      <c r="C1871" s="29" t="s">
        <v>28</v>
      </c>
      <c r="D1871" s="62" t="n">
        <v>4</v>
      </c>
      <c r="E1871" s="62" t="n">
        <v>1722.37</v>
      </c>
      <c r="F1871" s="62" t="s">
        <v>4</v>
      </c>
      <c r="G1871" s="29" t="s">
        <v>29</v>
      </c>
      <c r="H1871" s="29" t="s">
        <v>38</v>
      </c>
    </row>
    <row r="1872" customFormat="false" ht="14.25" hidden="false" customHeight="false" outlineLevel="0" collapsed="false">
      <c r="A1872" s="1" t="n">
        <v>2875</v>
      </c>
      <c r="B1872" s="30" t="n">
        <v>43458</v>
      </c>
      <c r="C1872" s="29" t="s">
        <v>28</v>
      </c>
      <c r="D1872" s="62" t="n">
        <v>41</v>
      </c>
      <c r="E1872" s="62" t="n">
        <v>182.78</v>
      </c>
      <c r="F1872" s="62" t="s">
        <v>4</v>
      </c>
      <c r="G1872" s="29" t="s">
        <v>29</v>
      </c>
      <c r="H1872" s="29" t="s">
        <v>35</v>
      </c>
    </row>
    <row r="1873" customFormat="false" ht="14.25" hidden="false" customHeight="false" outlineLevel="0" collapsed="false">
      <c r="A1873" s="1" t="n">
        <v>2876</v>
      </c>
      <c r="B1873" s="30" t="n">
        <v>43424</v>
      </c>
      <c r="C1873" s="29" t="s">
        <v>28</v>
      </c>
      <c r="D1873" s="62" t="n">
        <v>15</v>
      </c>
      <c r="E1873" s="62" t="n">
        <v>1200.37</v>
      </c>
      <c r="F1873" s="62" t="s">
        <v>6</v>
      </c>
      <c r="G1873" s="29" t="s">
        <v>24</v>
      </c>
      <c r="H1873" s="29" t="s">
        <v>26</v>
      </c>
    </row>
    <row r="1874" customFormat="false" ht="14.25" hidden="false" customHeight="false" outlineLevel="0" collapsed="false">
      <c r="A1874" s="1" t="n">
        <v>2877</v>
      </c>
      <c r="B1874" s="30" t="n">
        <v>43424</v>
      </c>
      <c r="C1874" s="29" t="s">
        <v>28</v>
      </c>
      <c r="D1874" s="62" t="n">
        <v>6</v>
      </c>
      <c r="E1874" s="62" t="n">
        <v>188.94</v>
      </c>
      <c r="F1874" s="62" t="s">
        <v>6</v>
      </c>
      <c r="G1874" s="29" t="s">
        <v>29</v>
      </c>
      <c r="H1874" s="29" t="s">
        <v>34</v>
      </c>
    </row>
    <row r="1875" customFormat="false" ht="14.25" hidden="false" customHeight="false" outlineLevel="0" collapsed="false">
      <c r="A1875" s="1" t="n">
        <v>2878</v>
      </c>
      <c r="B1875" s="30" t="n">
        <v>43246</v>
      </c>
      <c r="C1875" s="29" t="s">
        <v>37</v>
      </c>
      <c r="D1875" s="62" t="n">
        <v>17</v>
      </c>
      <c r="E1875" s="62" t="n">
        <v>1048.09</v>
      </c>
      <c r="F1875" s="62" t="s">
        <v>6</v>
      </c>
      <c r="G1875" s="29" t="s">
        <v>22</v>
      </c>
      <c r="H1875" s="29" t="s">
        <v>44</v>
      </c>
    </row>
    <row r="1876" customFormat="false" ht="14.25" hidden="false" customHeight="false" outlineLevel="0" collapsed="false">
      <c r="A1876" s="1" t="n">
        <v>2879</v>
      </c>
      <c r="B1876" s="30" t="n">
        <v>43246</v>
      </c>
      <c r="C1876" s="29" t="s">
        <v>37</v>
      </c>
      <c r="D1876" s="62" t="n">
        <v>18</v>
      </c>
      <c r="E1876" s="62" t="n">
        <v>135.48</v>
      </c>
      <c r="F1876" s="62" t="s">
        <v>6</v>
      </c>
      <c r="G1876" s="29" t="s">
        <v>29</v>
      </c>
      <c r="H1876" s="29" t="s">
        <v>35</v>
      </c>
    </row>
    <row r="1877" customFormat="false" ht="14.25" hidden="false" customHeight="false" outlineLevel="0" collapsed="false">
      <c r="A1877" s="1" t="n">
        <v>2880</v>
      </c>
      <c r="B1877" s="30" t="n">
        <v>43197</v>
      </c>
      <c r="C1877" s="29" t="s">
        <v>28</v>
      </c>
      <c r="D1877" s="62" t="n">
        <v>37</v>
      </c>
      <c r="E1877" s="62" t="n">
        <v>881.44</v>
      </c>
      <c r="F1877" s="62" t="s">
        <v>5</v>
      </c>
      <c r="G1877" s="29" t="s">
        <v>22</v>
      </c>
      <c r="H1877" s="29" t="s">
        <v>23</v>
      </c>
    </row>
    <row r="1878" customFormat="false" ht="14.25" hidden="false" customHeight="false" outlineLevel="0" collapsed="false">
      <c r="A1878" s="1" t="n">
        <v>2881</v>
      </c>
      <c r="B1878" s="30" t="n">
        <v>43197</v>
      </c>
      <c r="C1878" s="29" t="s">
        <v>28</v>
      </c>
      <c r="D1878" s="62" t="n">
        <v>33</v>
      </c>
      <c r="E1878" s="62" t="n">
        <v>693.11</v>
      </c>
      <c r="F1878" s="62" t="s">
        <v>5</v>
      </c>
      <c r="G1878" s="29" t="s">
        <v>29</v>
      </c>
      <c r="H1878" s="29" t="s">
        <v>36</v>
      </c>
    </row>
    <row r="1879" customFormat="false" ht="14.25" hidden="false" customHeight="false" outlineLevel="0" collapsed="false">
      <c r="A1879" s="1" t="n">
        <v>2882</v>
      </c>
      <c r="B1879" s="30" t="n">
        <v>43197</v>
      </c>
      <c r="C1879" s="29" t="s">
        <v>28</v>
      </c>
      <c r="D1879" s="62" t="n">
        <v>8</v>
      </c>
      <c r="E1879" s="62" t="n">
        <v>502.73</v>
      </c>
      <c r="F1879" s="62" t="s">
        <v>5</v>
      </c>
      <c r="G1879" s="29" t="s">
        <v>24</v>
      </c>
      <c r="H1879" s="29" t="s">
        <v>25</v>
      </c>
    </row>
    <row r="1880" customFormat="false" ht="14.25" hidden="false" customHeight="false" outlineLevel="0" collapsed="false">
      <c r="A1880" s="1" t="n">
        <v>2883</v>
      </c>
      <c r="B1880" s="30" t="n">
        <v>43405</v>
      </c>
      <c r="C1880" s="29" t="s">
        <v>31</v>
      </c>
      <c r="D1880" s="62" t="n">
        <v>19</v>
      </c>
      <c r="E1880" s="62" t="n">
        <v>1213.59</v>
      </c>
      <c r="F1880" s="62" t="s">
        <v>6</v>
      </c>
      <c r="G1880" s="29" t="s">
        <v>22</v>
      </c>
      <c r="H1880" s="29" t="s">
        <v>44</v>
      </c>
    </row>
    <row r="1881" customFormat="false" ht="14.25" hidden="false" customHeight="false" outlineLevel="0" collapsed="false">
      <c r="A1881" s="1" t="n">
        <v>2884</v>
      </c>
      <c r="B1881" s="30" t="n">
        <v>43405</v>
      </c>
      <c r="C1881" s="29" t="s">
        <v>31</v>
      </c>
      <c r="D1881" s="62" t="n">
        <v>30</v>
      </c>
      <c r="E1881" s="62" t="n">
        <v>8021.88</v>
      </c>
      <c r="F1881" s="62" t="s">
        <v>6</v>
      </c>
      <c r="G1881" s="29" t="s">
        <v>22</v>
      </c>
      <c r="H1881" s="29" t="s">
        <v>27</v>
      </c>
    </row>
    <row r="1882" customFormat="false" ht="14.25" hidden="false" customHeight="false" outlineLevel="0" collapsed="false">
      <c r="A1882" s="1" t="n">
        <v>2885</v>
      </c>
      <c r="B1882" s="30" t="n">
        <v>43325</v>
      </c>
      <c r="C1882" s="29" t="s">
        <v>28</v>
      </c>
      <c r="D1882" s="62" t="n">
        <v>44</v>
      </c>
      <c r="E1882" s="62" t="n">
        <v>1016.82</v>
      </c>
      <c r="F1882" s="62" t="s">
        <v>3</v>
      </c>
      <c r="G1882" s="29" t="s">
        <v>29</v>
      </c>
      <c r="H1882" s="29" t="s">
        <v>38</v>
      </c>
    </row>
    <row r="1883" customFormat="false" ht="14.25" hidden="false" customHeight="false" outlineLevel="0" collapsed="false">
      <c r="A1883" s="1" t="n">
        <v>2886</v>
      </c>
      <c r="B1883" s="30" t="n">
        <v>43325</v>
      </c>
      <c r="C1883" s="29" t="s">
        <v>28</v>
      </c>
      <c r="D1883" s="62" t="n">
        <v>9</v>
      </c>
      <c r="E1883" s="62" t="n">
        <v>78.16</v>
      </c>
      <c r="F1883" s="62" t="s">
        <v>3</v>
      </c>
      <c r="G1883" s="29" t="s">
        <v>29</v>
      </c>
      <c r="H1883" s="29" t="s">
        <v>36</v>
      </c>
    </row>
    <row r="1884" customFormat="false" ht="14.25" hidden="false" customHeight="false" outlineLevel="0" collapsed="false">
      <c r="A1884" s="1" t="n">
        <v>2887</v>
      </c>
      <c r="B1884" s="30" t="n">
        <v>43325</v>
      </c>
      <c r="C1884" s="29" t="s">
        <v>28</v>
      </c>
      <c r="D1884" s="62" t="n">
        <v>29</v>
      </c>
      <c r="E1884" s="62" t="n">
        <v>8691.11</v>
      </c>
      <c r="F1884" s="62" t="s">
        <v>3</v>
      </c>
      <c r="G1884" s="29" t="s">
        <v>22</v>
      </c>
      <c r="H1884" s="29" t="s">
        <v>27</v>
      </c>
    </row>
    <row r="1885" customFormat="false" ht="14.25" hidden="false" customHeight="false" outlineLevel="0" collapsed="false">
      <c r="A1885" s="1" t="n">
        <v>2888</v>
      </c>
      <c r="B1885" s="30" t="n">
        <v>43336</v>
      </c>
      <c r="C1885" s="29" t="s">
        <v>21</v>
      </c>
      <c r="D1885" s="62" t="n">
        <v>2</v>
      </c>
      <c r="E1885" s="62" t="n">
        <v>31.36</v>
      </c>
      <c r="F1885" s="62" t="s">
        <v>4</v>
      </c>
      <c r="G1885" s="29" t="s">
        <v>29</v>
      </c>
      <c r="H1885" s="29" t="s">
        <v>36</v>
      </c>
    </row>
    <row r="1886" customFormat="false" ht="14.25" hidden="false" customHeight="false" outlineLevel="0" collapsed="false">
      <c r="A1886" s="1" t="n">
        <v>2889</v>
      </c>
      <c r="B1886" s="30" t="n">
        <v>43336</v>
      </c>
      <c r="C1886" s="29" t="s">
        <v>21</v>
      </c>
      <c r="D1886" s="62" t="n">
        <v>11</v>
      </c>
      <c r="E1886" s="62" t="n">
        <v>85.88</v>
      </c>
      <c r="F1886" s="62" t="s">
        <v>4</v>
      </c>
      <c r="G1886" s="29" t="s">
        <v>29</v>
      </c>
      <c r="H1886" s="29" t="s">
        <v>36</v>
      </c>
    </row>
    <row r="1887" customFormat="false" ht="14.25" hidden="false" customHeight="false" outlineLevel="0" collapsed="false">
      <c r="A1887" s="1" t="n">
        <v>2890</v>
      </c>
      <c r="B1887" s="30" t="n">
        <v>43314</v>
      </c>
      <c r="C1887" s="29" t="s">
        <v>37</v>
      </c>
      <c r="D1887" s="62" t="n">
        <v>41</v>
      </c>
      <c r="E1887" s="62" t="n">
        <v>446.76</v>
      </c>
      <c r="F1887" s="62" t="s">
        <v>5</v>
      </c>
      <c r="G1887" s="29" t="s">
        <v>22</v>
      </c>
      <c r="H1887" s="29" t="s">
        <v>23</v>
      </c>
    </row>
    <row r="1888" customFormat="false" ht="14.25" hidden="false" customHeight="false" outlineLevel="0" collapsed="false">
      <c r="A1888" s="1" t="n">
        <v>2891</v>
      </c>
      <c r="B1888" s="30" t="n">
        <v>43136</v>
      </c>
      <c r="C1888" s="29" t="s">
        <v>39</v>
      </c>
      <c r="D1888" s="62" t="n">
        <v>25</v>
      </c>
      <c r="E1888" s="62" t="n">
        <v>1369.01</v>
      </c>
      <c r="F1888" s="62" t="s">
        <v>3</v>
      </c>
      <c r="G1888" s="29" t="s">
        <v>29</v>
      </c>
      <c r="H1888" s="29" t="s">
        <v>36</v>
      </c>
    </row>
    <row r="1889" customFormat="false" ht="14.25" hidden="false" customHeight="false" outlineLevel="0" collapsed="false">
      <c r="A1889" s="1" t="n">
        <v>2892</v>
      </c>
      <c r="B1889" s="30" t="n">
        <v>43272</v>
      </c>
      <c r="C1889" s="29" t="s">
        <v>37</v>
      </c>
      <c r="D1889" s="62" t="n">
        <v>23</v>
      </c>
      <c r="E1889" s="62" t="n">
        <v>560.95</v>
      </c>
      <c r="F1889" s="62" t="s">
        <v>4</v>
      </c>
      <c r="G1889" s="29" t="s">
        <v>22</v>
      </c>
      <c r="H1889" s="29" t="s">
        <v>23</v>
      </c>
    </row>
    <row r="1890" customFormat="false" ht="14.25" hidden="false" customHeight="false" outlineLevel="0" collapsed="false">
      <c r="A1890" s="1" t="n">
        <v>2893</v>
      </c>
      <c r="B1890" s="30" t="n">
        <v>43307</v>
      </c>
      <c r="C1890" s="29" t="s">
        <v>31</v>
      </c>
      <c r="D1890" s="62" t="n">
        <v>37</v>
      </c>
      <c r="E1890" s="62" t="n">
        <v>119.19</v>
      </c>
      <c r="F1890" s="62" t="s">
        <v>4</v>
      </c>
      <c r="G1890" s="29" t="s">
        <v>29</v>
      </c>
      <c r="H1890" s="29" t="s">
        <v>30</v>
      </c>
    </row>
    <row r="1891" customFormat="false" ht="14.25" hidden="false" customHeight="false" outlineLevel="0" collapsed="false">
      <c r="A1891" s="1" t="n">
        <v>2894</v>
      </c>
      <c r="B1891" s="30" t="n">
        <v>43307</v>
      </c>
      <c r="C1891" s="29" t="s">
        <v>31</v>
      </c>
      <c r="D1891" s="62" t="n">
        <v>13</v>
      </c>
      <c r="E1891" s="62" t="n">
        <v>1291.51</v>
      </c>
      <c r="F1891" s="62" t="s">
        <v>4</v>
      </c>
      <c r="G1891" s="29" t="s">
        <v>24</v>
      </c>
      <c r="H1891" s="29" t="s">
        <v>42</v>
      </c>
    </row>
    <row r="1892" customFormat="false" ht="14.25" hidden="false" customHeight="false" outlineLevel="0" collapsed="false">
      <c r="A1892" s="1" t="n">
        <v>2895</v>
      </c>
      <c r="B1892" s="30" t="n">
        <v>43185</v>
      </c>
      <c r="C1892" s="29" t="s">
        <v>31</v>
      </c>
      <c r="D1892" s="62" t="n">
        <v>41</v>
      </c>
      <c r="E1892" s="62" t="n">
        <v>146</v>
      </c>
      <c r="F1892" s="62" t="s">
        <v>5</v>
      </c>
      <c r="G1892" s="29" t="s">
        <v>29</v>
      </c>
      <c r="H1892" s="29" t="s">
        <v>34</v>
      </c>
    </row>
    <row r="1893" customFormat="false" ht="14.25" hidden="false" customHeight="false" outlineLevel="0" collapsed="false">
      <c r="A1893" s="1" t="n">
        <v>2896</v>
      </c>
      <c r="B1893" s="30" t="n">
        <v>43185</v>
      </c>
      <c r="C1893" s="29" t="s">
        <v>31</v>
      </c>
      <c r="D1893" s="62" t="n">
        <v>24</v>
      </c>
      <c r="E1893" s="62" t="n">
        <v>130.34</v>
      </c>
      <c r="F1893" s="62" t="s">
        <v>5</v>
      </c>
      <c r="G1893" s="29" t="s">
        <v>29</v>
      </c>
      <c r="H1893" s="29" t="s">
        <v>36</v>
      </c>
    </row>
    <row r="1894" customFormat="false" ht="14.25" hidden="false" customHeight="false" outlineLevel="0" collapsed="false">
      <c r="A1894" s="1" t="n">
        <v>2897</v>
      </c>
      <c r="B1894" s="30" t="n">
        <v>43220</v>
      </c>
      <c r="C1894" s="29" t="s">
        <v>21</v>
      </c>
      <c r="D1894" s="62" t="n">
        <v>22</v>
      </c>
      <c r="E1894" s="62" t="n">
        <v>2033.5</v>
      </c>
      <c r="F1894" s="62" t="s">
        <v>4</v>
      </c>
      <c r="G1894" s="29" t="s">
        <v>24</v>
      </c>
      <c r="H1894" s="29" t="s">
        <v>42</v>
      </c>
    </row>
    <row r="1895" customFormat="false" ht="14.25" hidden="false" customHeight="false" outlineLevel="0" collapsed="false">
      <c r="A1895" s="1" t="n">
        <v>2898</v>
      </c>
      <c r="B1895" s="30" t="n">
        <v>43220</v>
      </c>
      <c r="C1895" s="29" t="s">
        <v>21</v>
      </c>
      <c r="D1895" s="62" t="n">
        <v>33</v>
      </c>
      <c r="E1895" s="62" t="n">
        <v>219.91</v>
      </c>
      <c r="F1895" s="62" t="s">
        <v>4</v>
      </c>
      <c r="G1895" s="29" t="s">
        <v>29</v>
      </c>
      <c r="H1895" s="29" t="s">
        <v>36</v>
      </c>
    </row>
    <row r="1896" customFormat="false" ht="14.25" hidden="false" customHeight="false" outlineLevel="0" collapsed="false">
      <c r="A1896" s="1" t="n">
        <v>2899</v>
      </c>
      <c r="B1896" s="30" t="n">
        <v>43309</v>
      </c>
      <c r="C1896" s="29" t="s">
        <v>31</v>
      </c>
      <c r="D1896" s="62" t="n">
        <v>44</v>
      </c>
      <c r="E1896" s="62" t="n">
        <v>4629.11</v>
      </c>
      <c r="F1896" s="62" t="s">
        <v>4</v>
      </c>
      <c r="G1896" s="29" t="s">
        <v>24</v>
      </c>
      <c r="H1896" s="29" t="s">
        <v>26</v>
      </c>
    </row>
    <row r="1897" customFormat="false" ht="14.25" hidden="false" customHeight="false" outlineLevel="0" collapsed="false">
      <c r="A1897" s="1" t="n">
        <v>2900</v>
      </c>
      <c r="B1897" s="30" t="n">
        <v>43436</v>
      </c>
      <c r="C1897" s="29" t="s">
        <v>39</v>
      </c>
      <c r="D1897" s="62" t="n">
        <v>34</v>
      </c>
      <c r="E1897" s="62" t="n">
        <v>2083.75</v>
      </c>
      <c r="F1897" s="62" t="s">
        <v>4</v>
      </c>
      <c r="G1897" s="29" t="s">
        <v>24</v>
      </c>
      <c r="H1897" s="29" t="s">
        <v>25</v>
      </c>
    </row>
    <row r="1898" customFormat="false" ht="14.25" hidden="false" customHeight="false" outlineLevel="0" collapsed="false">
      <c r="A1898" s="1" t="n">
        <v>2901</v>
      </c>
      <c r="B1898" s="30" t="n">
        <v>43429</v>
      </c>
      <c r="C1898" s="29" t="s">
        <v>28</v>
      </c>
      <c r="D1898" s="62" t="n">
        <v>16</v>
      </c>
      <c r="E1898" s="62" t="n">
        <v>58.12</v>
      </c>
      <c r="F1898" s="62" t="s">
        <v>6</v>
      </c>
      <c r="G1898" s="29" t="s">
        <v>29</v>
      </c>
      <c r="H1898" s="29" t="s">
        <v>33</v>
      </c>
    </row>
    <row r="1899" customFormat="false" ht="14.25" hidden="false" customHeight="false" outlineLevel="0" collapsed="false">
      <c r="A1899" s="1" t="n">
        <v>2902</v>
      </c>
      <c r="B1899" s="30" t="n">
        <v>43368</v>
      </c>
      <c r="C1899" s="29" t="s">
        <v>21</v>
      </c>
      <c r="D1899" s="62" t="n">
        <v>22</v>
      </c>
      <c r="E1899" s="62" t="n">
        <v>220.29</v>
      </c>
      <c r="F1899" s="62" t="s">
        <v>5</v>
      </c>
      <c r="G1899" s="29" t="s">
        <v>24</v>
      </c>
      <c r="H1899" s="29" t="s">
        <v>26</v>
      </c>
    </row>
    <row r="1900" customFormat="false" ht="14.25" hidden="false" customHeight="false" outlineLevel="0" collapsed="false">
      <c r="A1900" s="1" t="n">
        <v>2903</v>
      </c>
      <c r="B1900" s="30" t="n">
        <v>43166</v>
      </c>
      <c r="C1900" s="29" t="s">
        <v>31</v>
      </c>
      <c r="D1900" s="62" t="n">
        <v>17</v>
      </c>
      <c r="E1900" s="62" t="n">
        <v>79.45</v>
      </c>
      <c r="F1900" s="62" t="s">
        <v>3</v>
      </c>
      <c r="G1900" s="29" t="s">
        <v>29</v>
      </c>
      <c r="H1900" s="29" t="s">
        <v>34</v>
      </c>
    </row>
    <row r="1901" customFormat="false" ht="14.25" hidden="false" customHeight="false" outlineLevel="0" collapsed="false">
      <c r="A1901" s="1" t="n">
        <v>2904</v>
      </c>
      <c r="B1901" s="30" t="n">
        <v>43166</v>
      </c>
      <c r="C1901" s="29" t="s">
        <v>31</v>
      </c>
      <c r="D1901" s="62" t="n">
        <v>4</v>
      </c>
      <c r="E1901" s="62" t="n">
        <v>24.86</v>
      </c>
      <c r="F1901" s="62" t="s">
        <v>3</v>
      </c>
      <c r="G1901" s="29" t="s">
        <v>29</v>
      </c>
      <c r="H1901" s="29" t="s">
        <v>36</v>
      </c>
    </row>
    <row r="1902" customFormat="false" ht="14.25" hidden="false" customHeight="false" outlineLevel="0" collapsed="false">
      <c r="A1902" s="1" t="n">
        <v>2905</v>
      </c>
      <c r="B1902" s="30" t="n">
        <v>43251</v>
      </c>
      <c r="C1902" s="29" t="s">
        <v>37</v>
      </c>
      <c r="D1902" s="62" t="n">
        <v>50</v>
      </c>
      <c r="E1902" s="62" t="n">
        <v>226.97</v>
      </c>
      <c r="F1902" s="62" t="s">
        <v>4</v>
      </c>
      <c r="G1902" s="29" t="s">
        <v>29</v>
      </c>
      <c r="H1902" s="29" t="s">
        <v>34</v>
      </c>
    </row>
    <row r="1903" customFormat="false" ht="14.25" hidden="false" customHeight="false" outlineLevel="0" collapsed="false">
      <c r="A1903" s="1" t="n">
        <v>2906</v>
      </c>
      <c r="B1903" s="30" t="n">
        <v>43251</v>
      </c>
      <c r="C1903" s="29" t="s">
        <v>37</v>
      </c>
      <c r="D1903" s="62" t="n">
        <v>25</v>
      </c>
      <c r="E1903" s="62" t="n">
        <v>2627.43</v>
      </c>
      <c r="F1903" s="62" t="s">
        <v>4</v>
      </c>
      <c r="G1903" s="29" t="s">
        <v>29</v>
      </c>
      <c r="H1903" s="29" t="s">
        <v>35</v>
      </c>
    </row>
    <row r="1904" customFormat="false" ht="14.25" hidden="false" customHeight="false" outlineLevel="0" collapsed="false">
      <c r="A1904" s="1" t="n">
        <v>2907</v>
      </c>
      <c r="B1904" s="30" t="n">
        <v>43252</v>
      </c>
      <c r="C1904" s="29" t="s">
        <v>37</v>
      </c>
      <c r="D1904" s="62" t="n">
        <v>22</v>
      </c>
      <c r="E1904" s="62" t="n">
        <v>44.06</v>
      </c>
      <c r="F1904" s="62" t="s">
        <v>6</v>
      </c>
      <c r="G1904" s="29" t="s">
        <v>29</v>
      </c>
      <c r="H1904" s="29" t="s">
        <v>33</v>
      </c>
    </row>
    <row r="1905" customFormat="false" ht="14.25" hidden="false" customHeight="false" outlineLevel="0" collapsed="false">
      <c r="A1905" s="1" t="n">
        <v>2908</v>
      </c>
      <c r="B1905" s="30" t="n">
        <v>43252</v>
      </c>
      <c r="C1905" s="29" t="s">
        <v>37</v>
      </c>
      <c r="D1905" s="62" t="n">
        <v>26</v>
      </c>
      <c r="E1905" s="62" t="n">
        <v>185.94</v>
      </c>
      <c r="F1905" s="62" t="s">
        <v>6</v>
      </c>
      <c r="G1905" s="29" t="s">
        <v>29</v>
      </c>
      <c r="H1905" s="29" t="s">
        <v>36</v>
      </c>
    </row>
    <row r="1906" customFormat="false" ht="14.25" hidden="false" customHeight="false" outlineLevel="0" collapsed="false">
      <c r="A1906" s="1" t="n">
        <v>2909</v>
      </c>
      <c r="B1906" s="30" t="n">
        <v>43403</v>
      </c>
      <c r="C1906" s="29" t="s">
        <v>37</v>
      </c>
      <c r="D1906" s="62" t="n">
        <v>6</v>
      </c>
      <c r="E1906" s="62" t="n">
        <v>15.89</v>
      </c>
      <c r="F1906" s="62" t="s">
        <v>5</v>
      </c>
      <c r="G1906" s="29" t="s">
        <v>29</v>
      </c>
      <c r="H1906" s="29" t="s">
        <v>33</v>
      </c>
    </row>
    <row r="1907" customFormat="false" ht="14.25" hidden="false" customHeight="false" outlineLevel="0" collapsed="false">
      <c r="A1907" s="1" t="n">
        <v>2910</v>
      </c>
      <c r="B1907" s="30" t="n">
        <v>43181</v>
      </c>
      <c r="C1907" s="29" t="s">
        <v>37</v>
      </c>
      <c r="D1907" s="62" t="n">
        <v>37</v>
      </c>
      <c r="E1907" s="62" t="n">
        <v>272.78</v>
      </c>
      <c r="F1907" s="62" t="s">
        <v>4</v>
      </c>
      <c r="G1907" s="29" t="s">
        <v>29</v>
      </c>
      <c r="H1907" s="29" t="s">
        <v>34</v>
      </c>
    </row>
    <row r="1908" customFormat="false" ht="14.25" hidden="false" customHeight="false" outlineLevel="0" collapsed="false">
      <c r="A1908" s="1" t="n">
        <v>2911</v>
      </c>
      <c r="B1908" s="30" t="n">
        <v>43419</v>
      </c>
      <c r="C1908" s="29" t="s">
        <v>28</v>
      </c>
      <c r="D1908" s="62" t="n">
        <v>42</v>
      </c>
      <c r="E1908" s="62" t="n">
        <v>213.19</v>
      </c>
      <c r="F1908" s="62" t="s">
        <v>3</v>
      </c>
      <c r="G1908" s="29" t="s">
        <v>29</v>
      </c>
      <c r="H1908" s="29" t="s">
        <v>36</v>
      </c>
    </row>
    <row r="1909" customFormat="false" ht="14.25" hidden="false" customHeight="false" outlineLevel="0" collapsed="false">
      <c r="A1909" s="1" t="n">
        <v>2912</v>
      </c>
      <c r="B1909" s="30" t="n">
        <v>43419</v>
      </c>
      <c r="C1909" s="29" t="s">
        <v>28</v>
      </c>
      <c r="D1909" s="62" t="n">
        <v>3</v>
      </c>
      <c r="E1909" s="62" t="n">
        <v>540</v>
      </c>
      <c r="F1909" s="62" t="s">
        <v>3</v>
      </c>
      <c r="G1909" s="29" t="s">
        <v>24</v>
      </c>
      <c r="H1909" s="29" t="s">
        <v>25</v>
      </c>
    </row>
    <row r="1910" customFormat="false" ht="14.25" hidden="false" customHeight="false" outlineLevel="0" collapsed="false">
      <c r="A1910" s="1" t="n">
        <v>2913</v>
      </c>
      <c r="B1910" s="30" t="n">
        <v>43242</v>
      </c>
      <c r="C1910" s="29" t="s">
        <v>37</v>
      </c>
      <c r="D1910" s="62" t="n">
        <v>28</v>
      </c>
      <c r="E1910" s="62" t="n">
        <v>1456.08</v>
      </c>
      <c r="F1910" s="62" t="s">
        <v>4</v>
      </c>
      <c r="G1910" s="29" t="s">
        <v>22</v>
      </c>
      <c r="H1910" s="29" t="s">
        <v>23</v>
      </c>
    </row>
    <row r="1911" customFormat="false" ht="14.25" hidden="false" customHeight="false" outlineLevel="0" collapsed="false">
      <c r="A1911" s="1" t="n">
        <v>2914</v>
      </c>
      <c r="B1911" s="30" t="n">
        <v>43120</v>
      </c>
      <c r="C1911" s="29" t="s">
        <v>37</v>
      </c>
      <c r="D1911" s="62" t="n">
        <v>35</v>
      </c>
      <c r="E1911" s="62" t="n">
        <v>451.81</v>
      </c>
      <c r="F1911" s="62" t="s">
        <v>3</v>
      </c>
      <c r="G1911" s="29" t="s">
        <v>29</v>
      </c>
      <c r="H1911" s="29" t="s">
        <v>30</v>
      </c>
    </row>
    <row r="1912" customFormat="false" ht="14.25" hidden="false" customHeight="false" outlineLevel="0" collapsed="false">
      <c r="A1912" s="1" t="n">
        <v>2915</v>
      </c>
      <c r="B1912" s="30" t="n">
        <v>43400</v>
      </c>
      <c r="C1912" s="29" t="s">
        <v>28</v>
      </c>
      <c r="D1912" s="62" t="n">
        <v>11</v>
      </c>
      <c r="E1912" s="62" t="n">
        <v>505.17</v>
      </c>
      <c r="F1912" s="62" t="s">
        <v>4</v>
      </c>
      <c r="G1912" s="29" t="s">
        <v>24</v>
      </c>
      <c r="H1912" s="29" t="s">
        <v>26</v>
      </c>
    </row>
    <row r="1913" customFormat="false" ht="14.25" hidden="false" customHeight="false" outlineLevel="0" collapsed="false">
      <c r="A1913" s="1" t="n">
        <v>2916</v>
      </c>
      <c r="B1913" s="30" t="n">
        <v>43244</v>
      </c>
      <c r="C1913" s="29" t="s">
        <v>21</v>
      </c>
      <c r="D1913" s="62" t="n">
        <v>33</v>
      </c>
      <c r="E1913" s="62" t="n">
        <v>150.47</v>
      </c>
      <c r="F1913" s="62" t="s">
        <v>6</v>
      </c>
      <c r="G1913" s="29" t="s">
        <v>29</v>
      </c>
      <c r="H1913" s="29" t="s">
        <v>36</v>
      </c>
    </row>
    <row r="1914" customFormat="false" ht="14.25" hidden="false" customHeight="false" outlineLevel="0" collapsed="false">
      <c r="A1914" s="1" t="n">
        <v>2917</v>
      </c>
      <c r="B1914" s="30" t="n">
        <v>43244</v>
      </c>
      <c r="C1914" s="29" t="s">
        <v>21</v>
      </c>
      <c r="D1914" s="62" t="n">
        <v>50</v>
      </c>
      <c r="E1914" s="62" t="n">
        <v>5213.75</v>
      </c>
      <c r="F1914" s="62" t="s">
        <v>6</v>
      </c>
      <c r="G1914" s="29" t="s">
        <v>24</v>
      </c>
      <c r="H1914" s="29" t="s">
        <v>25</v>
      </c>
    </row>
    <row r="1915" customFormat="false" ht="14.25" hidden="false" customHeight="false" outlineLevel="0" collapsed="false">
      <c r="A1915" s="1" t="n">
        <v>2918</v>
      </c>
      <c r="B1915" s="30" t="n">
        <v>43269</v>
      </c>
      <c r="C1915" s="29" t="s">
        <v>31</v>
      </c>
      <c r="D1915" s="62" t="n">
        <v>44</v>
      </c>
      <c r="E1915" s="62" t="n">
        <v>473.71</v>
      </c>
      <c r="F1915" s="62" t="s">
        <v>6</v>
      </c>
      <c r="G1915" s="29" t="s">
        <v>22</v>
      </c>
      <c r="H1915" s="29" t="s">
        <v>23</v>
      </c>
    </row>
    <row r="1916" customFormat="false" ht="14.25" hidden="false" customHeight="false" outlineLevel="0" collapsed="false">
      <c r="A1916" s="1" t="n">
        <v>2919</v>
      </c>
      <c r="B1916" s="30" t="n">
        <v>43269</v>
      </c>
      <c r="C1916" s="29" t="s">
        <v>31</v>
      </c>
      <c r="D1916" s="62" t="n">
        <v>6</v>
      </c>
      <c r="E1916" s="62" t="n">
        <v>349.78</v>
      </c>
      <c r="F1916" s="62" t="s">
        <v>6</v>
      </c>
      <c r="G1916" s="29" t="s">
        <v>24</v>
      </c>
      <c r="H1916" s="29" t="s">
        <v>25</v>
      </c>
    </row>
    <row r="1917" customFormat="false" ht="14.25" hidden="false" customHeight="false" outlineLevel="0" collapsed="false">
      <c r="A1917" s="1" t="n">
        <v>2920</v>
      </c>
      <c r="B1917" s="30" t="n">
        <v>43392</v>
      </c>
      <c r="C1917" s="29" t="s">
        <v>39</v>
      </c>
      <c r="D1917" s="62" t="n">
        <v>3</v>
      </c>
      <c r="E1917" s="62" t="n">
        <v>584.09</v>
      </c>
      <c r="F1917" s="62" t="s">
        <v>3</v>
      </c>
      <c r="G1917" s="29" t="s">
        <v>22</v>
      </c>
      <c r="H1917" s="29" t="s">
        <v>27</v>
      </c>
    </row>
    <row r="1918" customFormat="false" ht="14.25" hidden="false" customHeight="false" outlineLevel="0" collapsed="false">
      <c r="A1918" s="1" t="n">
        <v>2921</v>
      </c>
      <c r="B1918" s="30" t="n">
        <v>43233</v>
      </c>
      <c r="C1918" s="29" t="s">
        <v>31</v>
      </c>
      <c r="D1918" s="62" t="n">
        <v>24</v>
      </c>
      <c r="E1918" s="62" t="n">
        <v>191.44</v>
      </c>
      <c r="F1918" s="62" t="s">
        <v>3</v>
      </c>
      <c r="G1918" s="29" t="s">
        <v>29</v>
      </c>
      <c r="H1918" s="29" t="s">
        <v>34</v>
      </c>
    </row>
    <row r="1919" customFormat="false" ht="14.25" hidden="false" customHeight="false" outlineLevel="0" collapsed="false">
      <c r="A1919" s="1" t="n">
        <v>2922</v>
      </c>
      <c r="B1919" s="30" t="n">
        <v>43284</v>
      </c>
      <c r="C1919" s="29" t="s">
        <v>28</v>
      </c>
      <c r="D1919" s="62" t="n">
        <v>39</v>
      </c>
      <c r="E1919" s="62" t="n">
        <v>337.99</v>
      </c>
      <c r="F1919" s="62" t="s">
        <v>4</v>
      </c>
      <c r="G1919" s="29" t="s">
        <v>24</v>
      </c>
      <c r="H1919" s="29" t="s">
        <v>26</v>
      </c>
    </row>
    <row r="1920" customFormat="false" ht="14.25" hidden="false" customHeight="false" outlineLevel="0" collapsed="false">
      <c r="A1920" s="1" t="n">
        <v>2923</v>
      </c>
      <c r="B1920" s="30" t="n">
        <v>43284</v>
      </c>
      <c r="C1920" s="29" t="s">
        <v>28</v>
      </c>
      <c r="D1920" s="62" t="n">
        <v>8</v>
      </c>
      <c r="E1920" s="62" t="n">
        <v>276.18</v>
      </c>
      <c r="F1920" s="62" t="s">
        <v>4</v>
      </c>
      <c r="G1920" s="29" t="s">
        <v>24</v>
      </c>
      <c r="H1920" s="29" t="s">
        <v>26</v>
      </c>
    </row>
    <row r="1921" customFormat="false" ht="14.25" hidden="false" customHeight="false" outlineLevel="0" collapsed="false">
      <c r="A1921" s="1" t="n">
        <v>2924</v>
      </c>
      <c r="B1921" s="30" t="n">
        <v>43173</v>
      </c>
      <c r="C1921" s="29" t="s">
        <v>21</v>
      </c>
      <c r="D1921" s="62" t="n">
        <v>37</v>
      </c>
      <c r="E1921" s="62" t="n">
        <v>141.37</v>
      </c>
      <c r="F1921" s="62" t="s">
        <v>4</v>
      </c>
      <c r="G1921" s="29" t="s">
        <v>29</v>
      </c>
      <c r="H1921" s="29" t="s">
        <v>35</v>
      </c>
    </row>
    <row r="1922" customFormat="false" ht="14.25" hidden="false" customHeight="false" outlineLevel="0" collapsed="false">
      <c r="A1922" s="1" t="n">
        <v>2925</v>
      </c>
      <c r="B1922" s="30" t="n">
        <v>43443</v>
      </c>
      <c r="C1922" s="29" t="s">
        <v>28</v>
      </c>
      <c r="D1922" s="62" t="n">
        <v>6</v>
      </c>
      <c r="E1922" s="62" t="n">
        <v>51.41</v>
      </c>
      <c r="F1922" s="62" t="s">
        <v>4</v>
      </c>
      <c r="G1922" s="29" t="s">
        <v>29</v>
      </c>
      <c r="H1922" s="29" t="s">
        <v>36</v>
      </c>
    </row>
    <row r="1923" customFormat="false" ht="14.25" hidden="false" customHeight="false" outlineLevel="0" collapsed="false">
      <c r="A1923" s="1" t="n">
        <v>2926</v>
      </c>
      <c r="B1923" s="30" t="n">
        <v>43292</v>
      </c>
      <c r="C1923" s="29" t="s">
        <v>37</v>
      </c>
      <c r="D1923" s="62" t="n">
        <v>9</v>
      </c>
      <c r="E1923" s="62" t="n">
        <v>80.55</v>
      </c>
      <c r="F1923" s="62" t="s">
        <v>5</v>
      </c>
      <c r="G1923" s="29" t="s">
        <v>29</v>
      </c>
      <c r="H1923" s="29" t="s">
        <v>36</v>
      </c>
    </row>
    <row r="1924" customFormat="false" ht="14.25" hidden="false" customHeight="false" outlineLevel="0" collapsed="false">
      <c r="A1924" s="1" t="n">
        <v>2927</v>
      </c>
      <c r="B1924" s="30" t="n">
        <v>43292</v>
      </c>
      <c r="C1924" s="29" t="s">
        <v>37</v>
      </c>
      <c r="D1924" s="62" t="n">
        <v>30</v>
      </c>
      <c r="E1924" s="62" t="n">
        <v>148.82</v>
      </c>
      <c r="F1924" s="62" t="s">
        <v>5</v>
      </c>
      <c r="G1924" s="29" t="s">
        <v>24</v>
      </c>
      <c r="H1924" s="29" t="s">
        <v>26</v>
      </c>
    </row>
    <row r="1925" customFormat="false" ht="14.25" hidden="false" customHeight="false" outlineLevel="0" collapsed="false">
      <c r="A1925" s="1" t="n">
        <v>2928</v>
      </c>
      <c r="B1925" s="30" t="n">
        <v>43136</v>
      </c>
      <c r="C1925" s="29" t="s">
        <v>21</v>
      </c>
      <c r="D1925" s="62" t="n">
        <v>12</v>
      </c>
      <c r="E1925" s="62" t="n">
        <v>375.7</v>
      </c>
      <c r="F1925" s="62" t="s">
        <v>4</v>
      </c>
      <c r="G1925" s="29" t="s">
        <v>22</v>
      </c>
      <c r="H1925" s="29" t="s">
        <v>23</v>
      </c>
    </row>
    <row r="1926" customFormat="false" ht="14.25" hidden="false" customHeight="false" outlineLevel="0" collapsed="false">
      <c r="A1926" s="1" t="n">
        <v>2929</v>
      </c>
      <c r="B1926" s="30" t="n">
        <v>43415</v>
      </c>
      <c r="C1926" s="29" t="s">
        <v>37</v>
      </c>
      <c r="D1926" s="62" t="n">
        <v>38</v>
      </c>
      <c r="E1926" s="62" t="n">
        <v>1932.88</v>
      </c>
      <c r="F1926" s="62" t="s">
        <v>4</v>
      </c>
      <c r="G1926" s="29" t="s">
        <v>24</v>
      </c>
      <c r="H1926" s="29" t="s">
        <v>26</v>
      </c>
    </row>
    <row r="1927" customFormat="false" ht="14.25" hidden="false" customHeight="false" outlineLevel="0" collapsed="false">
      <c r="A1927" s="1" t="n">
        <v>2930</v>
      </c>
      <c r="B1927" s="30" t="n">
        <v>43292</v>
      </c>
      <c r="C1927" s="29" t="s">
        <v>28</v>
      </c>
      <c r="D1927" s="62" t="n">
        <v>34</v>
      </c>
      <c r="E1927" s="62" t="n">
        <v>109.5</v>
      </c>
      <c r="F1927" s="62" t="s">
        <v>4</v>
      </c>
      <c r="G1927" s="29" t="s">
        <v>29</v>
      </c>
      <c r="H1927" s="29" t="s">
        <v>30</v>
      </c>
    </row>
    <row r="1928" customFormat="false" ht="14.25" hidden="false" customHeight="false" outlineLevel="0" collapsed="false">
      <c r="A1928" s="1" t="n">
        <v>2931</v>
      </c>
      <c r="B1928" s="30" t="n">
        <v>43292</v>
      </c>
      <c r="C1928" s="29" t="s">
        <v>28</v>
      </c>
      <c r="D1928" s="62" t="n">
        <v>38</v>
      </c>
      <c r="E1928" s="62" t="n">
        <v>294.37</v>
      </c>
      <c r="F1928" s="62" t="s">
        <v>4</v>
      </c>
      <c r="G1928" s="29" t="s">
        <v>22</v>
      </c>
      <c r="H1928" s="29" t="s">
        <v>23</v>
      </c>
    </row>
    <row r="1929" customFormat="false" ht="14.25" hidden="false" customHeight="false" outlineLevel="0" collapsed="false">
      <c r="A1929" s="1" t="n">
        <v>2932</v>
      </c>
      <c r="B1929" s="30" t="n">
        <v>43342</v>
      </c>
      <c r="C1929" s="29" t="s">
        <v>21</v>
      </c>
      <c r="D1929" s="62" t="n">
        <v>25</v>
      </c>
      <c r="E1929" s="62" t="n">
        <v>13207.08</v>
      </c>
      <c r="F1929" s="62" t="s">
        <v>3</v>
      </c>
      <c r="G1929" s="29" t="s">
        <v>24</v>
      </c>
      <c r="H1929" s="29" t="s">
        <v>42</v>
      </c>
    </row>
    <row r="1930" customFormat="false" ht="14.25" hidden="false" customHeight="false" outlineLevel="0" collapsed="false">
      <c r="A1930" s="1" t="n">
        <v>2933</v>
      </c>
      <c r="B1930" s="30" t="n">
        <v>43138</v>
      </c>
      <c r="C1930" s="29" t="s">
        <v>31</v>
      </c>
      <c r="D1930" s="62" t="n">
        <v>50</v>
      </c>
      <c r="E1930" s="62" t="n">
        <v>367.29</v>
      </c>
      <c r="F1930" s="62" t="s">
        <v>4</v>
      </c>
      <c r="G1930" s="29" t="s">
        <v>29</v>
      </c>
      <c r="H1930" s="29" t="s">
        <v>32</v>
      </c>
    </row>
    <row r="1931" customFormat="false" ht="14.25" hidden="false" customHeight="false" outlineLevel="0" collapsed="false">
      <c r="A1931" s="1" t="n">
        <v>2934</v>
      </c>
      <c r="B1931" s="30" t="n">
        <v>43463</v>
      </c>
      <c r="C1931" s="29" t="s">
        <v>37</v>
      </c>
      <c r="D1931" s="62" t="n">
        <v>40</v>
      </c>
      <c r="E1931" s="62" t="n">
        <v>256.65</v>
      </c>
      <c r="F1931" s="62" t="s">
        <v>3</v>
      </c>
      <c r="G1931" s="29" t="s">
        <v>29</v>
      </c>
      <c r="H1931" s="29" t="s">
        <v>33</v>
      </c>
    </row>
    <row r="1932" customFormat="false" ht="14.25" hidden="false" customHeight="false" outlineLevel="0" collapsed="false">
      <c r="A1932" s="1" t="n">
        <v>2935</v>
      </c>
      <c r="B1932" s="30" t="n">
        <v>43463</v>
      </c>
      <c r="C1932" s="29" t="s">
        <v>37</v>
      </c>
      <c r="D1932" s="62" t="n">
        <v>48</v>
      </c>
      <c r="E1932" s="62" t="n">
        <v>1358.68</v>
      </c>
      <c r="F1932" s="62" t="s">
        <v>3</v>
      </c>
      <c r="G1932" s="29" t="s">
        <v>24</v>
      </c>
      <c r="H1932" s="29" t="s">
        <v>26</v>
      </c>
    </row>
    <row r="1933" customFormat="false" ht="14.25" hidden="false" customHeight="false" outlineLevel="0" collapsed="false">
      <c r="A1933" s="1" t="n">
        <v>2936</v>
      </c>
      <c r="B1933" s="30" t="n">
        <v>43103</v>
      </c>
      <c r="C1933" s="29" t="s">
        <v>21</v>
      </c>
      <c r="D1933" s="62" t="n">
        <v>26</v>
      </c>
      <c r="E1933" s="62" t="n">
        <v>65.7</v>
      </c>
      <c r="F1933" s="62" t="s">
        <v>3</v>
      </c>
      <c r="G1933" s="29" t="s">
        <v>22</v>
      </c>
      <c r="H1933" s="29" t="s">
        <v>23</v>
      </c>
    </row>
    <row r="1934" customFormat="false" ht="14.25" hidden="false" customHeight="false" outlineLevel="0" collapsed="false">
      <c r="A1934" s="1" t="n">
        <v>2937</v>
      </c>
      <c r="B1934" s="30" t="n">
        <v>43399</v>
      </c>
      <c r="C1934" s="29" t="s">
        <v>31</v>
      </c>
      <c r="D1934" s="62" t="n">
        <v>26</v>
      </c>
      <c r="E1934" s="62" t="n">
        <v>223.2</v>
      </c>
      <c r="F1934" s="62" t="s">
        <v>3</v>
      </c>
      <c r="G1934" s="29" t="s">
        <v>22</v>
      </c>
      <c r="H1934" s="29" t="s">
        <v>23</v>
      </c>
    </row>
    <row r="1935" customFormat="false" ht="14.25" hidden="false" customHeight="false" outlineLevel="0" collapsed="false">
      <c r="A1935" s="1" t="n">
        <v>2938</v>
      </c>
      <c r="B1935" s="30" t="n">
        <v>43168</v>
      </c>
      <c r="C1935" s="29" t="s">
        <v>37</v>
      </c>
      <c r="D1935" s="62" t="n">
        <v>31</v>
      </c>
      <c r="E1935" s="62" t="n">
        <v>1752.87</v>
      </c>
      <c r="F1935" s="62" t="s">
        <v>4</v>
      </c>
      <c r="G1935" s="29" t="s">
        <v>29</v>
      </c>
      <c r="H1935" s="29" t="s">
        <v>36</v>
      </c>
    </row>
    <row r="1936" customFormat="false" ht="14.25" hidden="false" customHeight="false" outlineLevel="0" collapsed="false">
      <c r="A1936" s="1" t="n">
        <v>2939</v>
      </c>
      <c r="B1936" s="30" t="n">
        <v>43168</v>
      </c>
      <c r="C1936" s="29" t="s">
        <v>37</v>
      </c>
      <c r="D1936" s="62" t="n">
        <v>27</v>
      </c>
      <c r="E1936" s="62" t="n">
        <v>165.44</v>
      </c>
      <c r="F1936" s="62" t="s">
        <v>4</v>
      </c>
      <c r="G1936" s="29" t="s">
        <v>29</v>
      </c>
      <c r="H1936" s="29" t="s">
        <v>34</v>
      </c>
    </row>
    <row r="1937" customFormat="false" ht="14.25" hidden="false" customHeight="false" outlineLevel="0" collapsed="false">
      <c r="A1937" s="1" t="n">
        <v>2940</v>
      </c>
      <c r="B1937" s="30" t="n">
        <v>43150</v>
      </c>
      <c r="C1937" s="29" t="s">
        <v>31</v>
      </c>
      <c r="D1937" s="62" t="n">
        <v>42</v>
      </c>
      <c r="E1937" s="62" t="n">
        <v>144.3</v>
      </c>
      <c r="F1937" s="62" t="s">
        <v>4</v>
      </c>
      <c r="G1937" s="29" t="s">
        <v>29</v>
      </c>
      <c r="H1937" s="29" t="s">
        <v>32</v>
      </c>
    </row>
    <row r="1938" customFormat="false" ht="14.25" hidden="false" customHeight="false" outlineLevel="0" collapsed="false">
      <c r="A1938" s="1" t="n">
        <v>2941</v>
      </c>
      <c r="B1938" s="30" t="n">
        <v>43347</v>
      </c>
      <c r="C1938" s="29" t="s">
        <v>37</v>
      </c>
      <c r="D1938" s="62" t="n">
        <v>3</v>
      </c>
      <c r="E1938" s="62" t="n">
        <v>42.25</v>
      </c>
      <c r="F1938" s="62" t="s">
        <v>6</v>
      </c>
      <c r="G1938" s="29" t="s">
        <v>29</v>
      </c>
      <c r="H1938" s="29" t="s">
        <v>45</v>
      </c>
    </row>
    <row r="1939" customFormat="false" ht="14.25" hidden="false" customHeight="false" outlineLevel="0" collapsed="false">
      <c r="A1939" s="1" t="n">
        <v>2942</v>
      </c>
      <c r="B1939" s="30" t="n">
        <v>43365</v>
      </c>
      <c r="C1939" s="29" t="s">
        <v>28</v>
      </c>
      <c r="D1939" s="62" t="n">
        <v>8</v>
      </c>
      <c r="E1939" s="62" t="n">
        <v>1132.94</v>
      </c>
      <c r="F1939" s="62" t="s">
        <v>5</v>
      </c>
      <c r="G1939" s="29" t="s">
        <v>29</v>
      </c>
      <c r="H1939" s="29" t="s">
        <v>41</v>
      </c>
    </row>
    <row r="1940" customFormat="false" ht="14.25" hidden="false" customHeight="false" outlineLevel="0" collapsed="false">
      <c r="A1940" s="1" t="n">
        <v>2943</v>
      </c>
      <c r="B1940" s="30" t="n">
        <v>43365</v>
      </c>
      <c r="C1940" s="29" t="s">
        <v>28</v>
      </c>
      <c r="D1940" s="62" t="n">
        <v>14</v>
      </c>
      <c r="E1940" s="62" t="n">
        <v>98.51</v>
      </c>
      <c r="F1940" s="62" t="s">
        <v>5</v>
      </c>
      <c r="G1940" s="29" t="s">
        <v>29</v>
      </c>
      <c r="H1940" s="29" t="s">
        <v>36</v>
      </c>
    </row>
    <row r="1941" customFormat="false" ht="14.25" hidden="false" customHeight="false" outlineLevel="0" collapsed="false">
      <c r="A1941" s="1" t="n">
        <v>2944</v>
      </c>
      <c r="B1941" s="30" t="n">
        <v>43107</v>
      </c>
      <c r="C1941" s="29" t="s">
        <v>37</v>
      </c>
      <c r="D1941" s="62" t="n">
        <v>36</v>
      </c>
      <c r="E1941" s="62" t="n">
        <v>2071.84</v>
      </c>
      <c r="F1941" s="62" t="s">
        <v>4</v>
      </c>
      <c r="G1941" s="29" t="s">
        <v>29</v>
      </c>
      <c r="H1941" s="29" t="s">
        <v>41</v>
      </c>
    </row>
    <row r="1942" customFormat="false" ht="14.25" hidden="false" customHeight="false" outlineLevel="0" collapsed="false">
      <c r="A1942" s="1" t="n">
        <v>2945</v>
      </c>
      <c r="B1942" s="30" t="n">
        <v>43190</v>
      </c>
      <c r="C1942" s="29" t="s">
        <v>21</v>
      </c>
      <c r="D1942" s="62" t="n">
        <v>40</v>
      </c>
      <c r="E1942" s="62" t="n">
        <v>1839.19</v>
      </c>
      <c r="F1942" s="62" t="s">
        <v>3</v>
      </c>
      <c r="G1942" s="29" t="s">
        <v>24</v>
      </c>
      <c r="H1942" s="29" t="s">
        <v>26</v>
      </c>
    </row>
    <row r="1943" customFormat="false" ht="14.25" hidden="false" customHeight="false" outlineLevel="0" collapsed="false">
      <c r="A1943" s="1" t="n">
        <v>2946</v>
      </c>
      <c r="B1943" s="30" t="n">
        <v>43191</v>
      </c>
      <c r="C1943" s="29" t="s">
        <v>39</v>
      </c>
      <c r="D1943" s="62" t="n">
        <v>16</v>
      </c>
      <c r="E1943" s="62" t="n">
        <v>40.87</v>
      </c>
      <c r="F1943" s="62" t="s">
        <v>4</v>
      </c>
      <c r="G1943" s="29" t="s">
        <v>29</v>
      </c>
      <c r="H1943" s="29" t="s">
        <v>30</v>
      </c>
    </row>
    <row r="1944" customFormat="false" ht="14.25" hidden="false" customHeight="false" outlineLevel="0" collapsed="false">
      <c r="A1944" s="1" t="n">
        <v>2947</v>
      </c>
      <c r="B1944" s="30" t="n">
        <v>43191</v>
      </c>
      <c r="C1944" s="29" t="s">
        <v>39</v>
      </c>
      <c r="D1944" s="62" t="n">
        <v>48</v>
      </c>
      <c r="E1944" s="62" t="n">
        <v>196.99</v>
      </c>
      <c r="F1944" s="62" t="s">
        <v>4</v>
      </c>
      <c r="G1944" s="29" t="s">
        <v>29</v>
      </c>
      <c r="H1944" s="29" t="s">
        <v>30</v>
      </c>
    </row>
    <row r="1945" customFormat="false" ht="14.25" hidden="false" customHeight="false" outlineLevel="0" collapsed="false">
      <c r="A1945" s="1" t="n">
        <v>2948</v>
      </c>
      <c r="B1945" s="30" t="n">
        <v>43225</v>
      </c>
      <c r="C1945" s="29" t="s">
        <v>21</v>
      </c>
      <c r="D1945" s="62" t="n">
        <v>29</v>
      </c>
      <c r="E1945" s="62" t="n">
        <v>1786.77</v>
      </c>
      <c r="F1945" s="62" t="s">
        <v>4</v>
      </c>
      <c r="G1945" s="29" t="s">
        <v>29</v>
      </c>
      <c r="H1945" s="29" t="s">
        <v>36</v>
      </c>
    </row>
    <row r="1946" customFormat="false" ht="14.25" hidden="false" customHeight="false" outlineLevel="0" collapsed="false">
      <c r="A1946" s="1" t="n">
        <v>2949</v>
      </c>
      <c r="B1946" s="30" t="n">
        <v>43281</v>
      </c>
      <c r="C1946" s="29" t="s">
        <v>21</v>
      </c>
      <c r="D1946" s="62" t="n">
        <v>20</v>
      </c>
      <c r="E1946" s="62" t="n">
        <v>6408.28</v>
      </c>
      <c r="F1946" s="62" t="s">
        <v>5</v>
      </c>
      <c r="G1946" s="29" t="s">
        <v>22</v>
      </c>
      <c r="H1946" s="29" t="s">
        <v>27</v>
      </c>
    </row>
    <row r="1947" customFormat="false" ht="14.25" hidden="false" customHeight="false" outlineLevel="0" collapsed="false">
      <c r="A1947" s="1" t="n">
        <v>2950</v>
      </c>
      <c r="B1947" s="30" t="n">
        <v>43281</v>
      </c>
      <c r="C1947" s="29" t="s">
        <v>21</v>
      </c>
      <c r="D1947" s="62" t="n">
        <v>11</v>
      </c>
      <c r="E1947" s="62" t="n">
        <v>2162.02</v>
      </c>
      <c r="F1947" s="62" t="s">
        <v>5</v>
      </c>
      <c r="G1947" s="29" t="s">
        <v>22</v>
      </c>
      <c r="H1947" s="29" t="s">
        <v>40</v>
      </c>
    </row>
    <row r="1948" customFormat="false" ht="14.25" hidden="false" customHeight="false" outlineLevel="0" collapsed="false">
      <c r="A1948" s="1" t="n">
        <v>2951</v>
      </c>
      <c r="B1948" s="30" t="n">
        <v>43281</v>
      </c>
      <c r="C1948" s="29" t="s">
        <v>21</v>
      </c>
      <c r="D1948" s="62" t="n">
        <v>30</v>
      </c>
      <c r="E1948" s="62" t="n">
        <v>1640.8</v>
      </c>
      <c r="F1948" s="62" t="s">
        <v>5</v>
      </c>
      <c r="G1948" s="29" t="s">
        <v>29</v>
      </c>
      <c r="H1948" s="29" t="s">
        <v>36</v>
      </c>
    </row>
    <row r="1949" customFormat="false" ht="14.25" hidden="false" customHeight="false" outlineLevel="0" collapsed="false">
      <c r="A1949" s="1" t="n">
        <v>2952</v>
      </c>
      <c r="B1949" s="30" t="n">
        <v>43258</v>
      </c>
      <c r="C1949" s="29" t="s">
        <v>21</v>
      </c>
      <c r="D1949" s="62" t="n">
        <v>13</v>
      </c>
      <c r="E1949" s="62" t="n">
        <v>52.52</v>
      </c>
      <c r="F1949" s="62" t="s">
        <v>6</v>
      </c>
      <c r="G1949" s="29" t="s">
        <v>29</v>
      </c>
      <c r="H1949" s="29" t="s">
        <v>36</v>
      </c>
    </row>
    <row r="1950" customFormat="false" ht="14.25" hidden="false" customHeight="false" outlineLevel="0" collapsed="false">
      <c r="A1950" s="1" t="n">
        <v>2953</v>
      </c>
      <c r="B1950" s="30" t="n">
        <v>43258</v>
      </c>
      <c r="C1950" s="29" t="s">
        <v>21</v>
      </c>
      <c r="D1950" s="62" t="n">
        <v>36</v>
      </c>
      <c r="E1950" s="62" t="n">
        <v>252.72</v>
      </c>
      <c r="F1950" s="62" t="s">
        <v>6</v>
      </c>
      <c r="G1950" s="29" t="s">
        <v>29</v>
      </c>
      <c r="H1950" s="29" t="s">
        <v>36</v>
      </c>
    </row>
    <row r="1951" customFormat="false" ht="14.25" hidden="false" customHeight="false" outlineLevel="0" collapsed="false">
      <c r="A1951" s="1" t="n">
        <v>2954</v>
      </c>
      <c r="B1951" s="30" t="n">
        <v>43258</v>
      </c>
      <c r="C1951" s="29" t="s">
        <v>21</v>
      </c>
      <c r="D1951" s="62" t="n">
        <v>24</v>
      </c>
      <c r="E1951" s="62" t="n">
        <v>1938.36</v>
      </c>
      <c r="F1951" s="62" t="s">
        <v>6</v>
      </c>
      <c r="G1951" s="29" t="s">
        <v>29</v>
      </c>
      <c r="H1951" s="29" t="s">
        <v>41</v>
      </c>
    </row>
    <row r="1952" customFormat="false" ht="14.25" hidden="false" customHeight="false" outlineLevel="0" collapsed="false">
      <c r="A1952" s="1" t="n">
        <v>2955</v>
      </c>
      <c r="B1952" s="30" t="n">
        <v>43258</v>
      </c>
      <c r="C1952" s="29" t="s">
        <v>21</v>
      </c>
      <c r="D1952" s="62" t="n">
        <v>5</v>
      </c>
      <c r="E1952" s="62" t="n">
        <v>170.67</v>
      </c>
      <c r="F1952" s="62" t="s">
        <v>6</v>
      </c>
      <c r="G1952" s="29" t="s">
        <v>29</v>
      </c>
      <c r="H1952" s="29" t="s">
        <v>38</v>
      </c>
    </row>
    <row r="1953" customFormat="false" ht="14.25" hidden="false" customHeight="false" outlineLevel="0" collapsed="false">
      <c r="A1953" s="1" t="n">
        <v>2956</v>
      </c>
      <c r="B1953" s="30" t="n">
        <v>43258</v>
      </c>
      <c r="C1953" s="29" t="s">
        <v>21</v>
      </c>
      <c r="D1953" s="62" t="n">
        <v>45</v>
      </c>
      <c r="E1953" s="62" t="n">
        <v>913.93</v>
      </c>
      <c r="F1953" s="62" t="s">
        <v>6</v>
      </c>
      <c r="G1953" s="29" t="s">
        <v>29</v>
      </c>
      <c r="H1953" s="29" t="s">
        <v>36</v>
      </c>
    </row>
    <row r="1954" customFormat="false" ht="14.25" hidden="false" customHeight="false" outlineLevel="0" collapsed="false">
      <c r="A1954" s="1" t="n">
        <v>2957</v>
      </c>
      <c r="B1954" s="30" t="n">
        <v>43261</v>
      </c>
      <c r="C1954" s="29" t="s">
        <v>28</v>
      </c>
      <c r="D1954" s="62" t="n">
        <v>20</v>
      </c>
      <c r="E1954" s="62" t="n">
        <v>147.63</v>
      </c>
      <c r="F1954" s="62" t="s">
        <v>6</v>
      </c>
      <c r="G1954" s="29" t="s">
        <v>29</v>
      </c>
      <c r="H1954" s="29" t="s">
        <v>36</v>
      </c>
    </row>
    <row r="1955" customFormat="false" ht="14.25" hidden="false" customHeight="false" outlineLevel="0" collapsed="false">
      <c r="A1955" s="1" t="n">
        <v>2958</v>
      </c>
      <c r="B1955" s="30" t="n">
        <v>43144</v>
      </c>
      <c r="C1955" s="29" t="s">
        <v>39</v>
      </c>
      <c r="D1955" s="62" t="n">
        <v>17</v>
      </c>
      <c r="E1955" s="62" t="n">
        <v>1636.04</v>
      </c>
      <c r="F1955" s="62" t="s">
        <v>5</v>
      </c>
      <c r="G1955" s="29" t="s">
        <v>24</v>
      </c>
      <c r="H1955" s="29" t="s">
        <v>25</v>
      </c>
    </row>
    <row r="1956" customFormat="false" ht="14.25" hidden="false" customHeight="false" outlineLevel="0" collapsed="false">
      <c r="A1956" s="1" t="n">
        <v>2959</v>
      </c>
      <c r="B1956" s="30" t="n">
        <v>43334</v>
      </c>
      <c r="C1956" s="29" t="s">
        <v>28</v>
      </c>
      <c r="D1956" s="62" t="n">
        <v>42</v>
      </c>
      <c r="E1956" s="62" t="n">
        <v>2584.04</v>
      </c>
      <c r="F1956" s="62" t="s">
        <v>3</v>
      </c>
      <c r="G1956" s="29" t="s">
        <v>24</v>
      </c>
      <c r="H1956" s="29" t="s">
        <v>25</v>
      </c>
    </row>
    <row r="1957" customFormat="false" ht="14.25" hidden="false" customHeight="false" outlineLevel="0" collapsed="false">
      <c r="A1957" s="1" t="n">
        <v>2960</v>
      </c>
      <c r="B1957" s="30" t="n">
        <v>43334</v>
      </c>
      <c r="C1957" s="29" t="s">
        <v>28</v>
      </c>
      <c r="D1957" s="62" t="n">
        <v>45</v>
      </c>
      <c r="E1957" s="62" t="n">
        <v>5008.55</v>
      </c>
      <c r="F1957" s="62" t="s">
        <v>3</v>
      </c>
      <c r="G1957" s="29" t="s">
        <v>22</v>
      </c>
      <c r="H1957" s="29" t="s">
        <v>23</v>
      </c>
    </row>
    <row r="1958" customFormat="false" ht="14.25" hidden="false" customHeight="false" outlineLevel="0" collapsed="false">
      <c r="A1958" s="1" t="n">
        <v>2961</v>
      </c>
      <c r="B1958" s="30" t="n">
        <v>43350</v>
      </c>
      <c r="C1958" s="29" t="s">
        <v>31</v>
      </c>
      <c r="D1958" s="62" t="n">
        <v>29</v>
      </c>
      <c r="E1958" s="62" t="n">
        <v>2159.74</v>
      </c>
      <c r="F1958" s="62" t="s">
        <v>4</v>
      </c>
      <c r="G1958" s="29" t="s">
        <v>22</v>
      </c>
      <c r="H1958" s="29" t="s">
        <v>23</v>
      </c>
    </row>
    <row r="1959" customFormat="false" ht="14.25" hidden="false" customHeight="false" outlineLevel="0" collapsed="false">
      <c r="A1959" s="1" t="n">
        <v>2962</v>
      </c>
      <c r="B1959" s="30" t="n">
        <v>43333</v>
      </c>
      <c r="C1959" s="29" t="s">
        <v>37</v>
      </c>
      <c r="D1959" s="62" t="n">
        <v>50</v>
      </c>
      <c r="E1959" s="62" t="n">
        <v>14561.45</v>
      </c>
      <c r="F1959" s="62" t="s">
        <v>5</v>
      </c>
      <c r="G1959" s="29" t="s">
        <v>22</v>
      </c>
      <c r="H1959" s="29" t="s">
        <v>40</v>
      </c>
    </row>
    <row r="1960" customFormat="false" ht="14.25" hidden="false" customHeight="false" outlineLevel="0" collapsed="false">
      <c r="A1960" s="1" t="n">
        <v>2963</v>
      </c>
      <c r="B1960" s="30" t="n">
        <v>43333</v>
      </c>
      <c r="C1960" s="29" t="s">
        <v>37</v>
      </c>
      <c r="D1960" s="62" t="n">
        <v>25</v>
      </c>
      <c r="E1960" s="62" t="n">
        <v>95.57</v>
      </c>
      <c r="F1960" s="62" t="s">
        <v>5</v>
      </c>
      <c r="G1960" s="29" t="s">
        <v>29</v>
      </c>
      <c r="H1960" s="29" t="s">
        <v>33</v>
      </c>
    </row>
    <row r="1961" customFormat="false" ht="14.25" hidden="false" customHeight="false" outlineLevel="0" collapsed="false">
      <c r="A1961" s="1" t="n">
        <v>2964</v>
      </c>
      <c r="B1961" s="30" t="n">
        <v>43463</v>
      </c>
      <c r="C1961" s="29" t="s">
        <v>21</v>
      </c>
      <c r="D1961" s="62" t="n">
        <v>23</v>
      </c>
      <c r="E1961" s="62" t="n">
        <v>7106.02</v>
      </c>
      <c r="F1961" s="62" t="s">
        <v>6</v>
      </c>
      <c r="G1961" s="29" t="s">
        <v>22</v>
      </c>
      <c r="H1961" s="29" t="s">
        <v>40</v>
      </c>
    </row>
    <row r="1962" customFormat="false" ht="14.25" hidden="false" customHeight="false" outlineLevel="0" collapsed="false">
      <c r="A1962" s="1" t="n">
        <v>2965</v>
      </c>
      <c r="B1962" s="30" t="n">
        <v>43463</v>
      </c>
      <c r="C1962" s="29" t="s">
        <v>21</v>
      </c>
      <c r="D1962" s="62" t="n">
        <v>18</v>
      </c>
      <c r="E1962" s="62" t="n">
        <v>894.04</v>
      </c>
      <c r="F1962" s="62" t="s">
        <v>6</v>
      </c>
      <c r="G1962" s="29" t="s">
        <v>24</v>
      </c>
      <c r="H1962" s="29" t="s">
        <v>26</v>
      </c>
    </row>
    <row r="1963" customFormat="false" ht="14.25" hidden="false" customHeight="false" outlineLevel="0" collapsed="false">
      <c r="A1963" s="1" t="n">
        <v>2966</v>
      </c>
      <c r="B1963" s="30" t="n">
        <v>43463</v>
      </c>
      <c r="C1963" s="29" t="s">
        <v>21</v>
      </c>
      <c r="D1963" s="62" t="n">
        <v>21</v>
      </c>
      <c r="E1963" s="62" t="n">
        <v>11201.86</v>
      </c>
      <c r="F1963" s="62" t="s">
        <v>6</v>
      </c>
      <c r="G1963" s="29" t="s">
        <v>22</v>
      </c>
      <c r="H1963" s="29" t="s">
        <v>40</v>
      </c>
    </row>
    <row r="1964" customFormat="false" ht="14.25" hidden="false" customHeight="false" outlineLevel="0" collapsed="false">
      <c r="A1964" s="1" t="n">
        <v>2967</v>
      </c>
      <c r="B1964" s="30" t="n">
        <v>43408</v>
      </c>
      <c r="C1964" s="29" t="s">
        <v>21</v>
      </c>
      <c r="D1964" s="62" t="n">
        <v>14</v>
      </c>
      <c r="E1964" s="62" t="n">
        <v>3235.39</v>
      </c>
      <c r="F1964" s="62" t="s">
        <v>6</v>
      </c>
      <c r="G1964" s="29" t="s">
        <v>22</v>
      </c>
      <c r="H1964" s="29" t="s">
        <v>27</v>
      </c>
    </row>
    <row r="1965" customFormat="false" ht="14.25" hidden="false" customHeight="false" outlineLevel="0" collapsed="false">
      <c r="A1965" s="1" t="n">
        <v>2968</v>
      </c>
      <c r="B1965" s="30" t="n">
        <v>43436</v>
      </c>
      <c r="C1965" s="29" t="s">
        <v>39</v>
      </c>
      <c r="D1965" s="62" t="n">
        <v>18</v>
      </c>
      <c r="E1965" s="62" t="n">
        <v>50.41</v>
      </c>
      <c r="F1965" s="62" t="s">
        <v>5</v>
      </c>
      <c r="G1965" s="29" t="s">
        <v>29</v>
      </c>
      <c r="H1965" s="29" t="s">
        <v>36</v>
      </c>
    </row>
    <row r="1966" customFormat="false" ht="14.25" hidden="false" customHeight="false" outlineLevel="0" collapsed="false">
      <c r="A1966" s="1" t="n">
        <v>2969</v>
      </c>
      <c r="B1966" s="30" t="n">
        <v>43436</v>
      </c>
      <c r="C1966" s="29" t="s">
        <v>39</v>
      </c>
      <c r="D1966" s="62" t="n">
        <v>7</v>
      </c>
      <c r="E1966" s="62" t="n">
        <v>16.7</v>
      </c>
      <c r="F1966" s="62" t="s">
        <v>5</v>
      </c>
      <c r="G1966" s="29" t="s">
        <v>29</v>
      </c>
      <c r="H1966" s="29" t="s">
        <v>34</v>
      </c>
    </row>
    <row r="1967" customFormat="false" ht="14.25" hidden="false" customHeight="false" outlineLevel="0" collapsed="false">
      <c r="A1967" s="1" t="n">
        <v>2970</v>
      </c>
      <c r="B1967" s="30" t="n">
        <v>43179</v>
      </c>
      <c r="C1967" s="29" t="s">
        <v>39</v>
      </c>
      <c r="D1967" s="62" t="n">
        <v>29</v>
      </c>
      <c r="E1967" s="62" t="n">
        <v>93.82</v>
      </c>
      <c r="F1967" s="62" t="s">
        <v>4</v>
      </c>
      <c r="G1967" s="29" t="s">
        <v>29</v>
      </c>
      <c r="H1967" s="29" t="s">
        <v>35</v>
      </c>
    </row>
    <row r="1968" customFormat="false" ht="14.25" hidden="false" customHeight="false" outlineLevel="0" collapsed="false">
      <c r="A1968" s="1" t="n">
        <v>2971</v>
      </c>
      <c r="B1968" s="30" t="n">
        <v>43179</v>
      </c>
      <c r="C1968" s="29" t="s">
        <v>39</v>
      </c>
      <c r="D1968" s="62" t="n">
        <v>46</v>
      </c>
      <c r="E1968" s="62" t="n">
        <v>3993.51</v>
      </c>
      <c r="F1968" s="62" t="s">
        <v>4</v>
      </c>
      <c r="G1968" s="29" t="s">
        <v>22</v>
      </c>
      <c r="H1968" s="29" t="s">
        <v>27</v>
      </c>
    </row>
    <row r="1969" customFormat="false" ht="14.25" hidden="false" customHeight="false" outlineLevel="0" collapsed="false">
      <c r="A1969" s="1" t="n">
        <v>2972</v>
      </c>
      <c r="B1969" s="30" t="n">
        <v>43368</v>
      </c>
      <c r="C1969" s="29" t="s">
        <v>28</v>
      </c>
      <c r="D1969" s="62" t="n">
        <v>48</v>
      </c>
      <c r="E1969" s="62" t="n">
        <v>438.86</v>
      </c>
      <c r="F1969" s="62" t="s">
        <v>5</v>
      </c>
      <c r="G1969" s="29" t="s">
        <v>29</v>
      </c>
      <c r="H1969" s="29" t="s">
        <v>36</v>
      </c>
    </row>
    <row r="1970" customFormat="false" ht="14.25" hidden="false" customHeight="false" outlineLevel="0" collapsed="false">
      <c r="A1970" s="1" t="n">
        <v>2973</v>
      </c>
      <c r="B1970" s="30" t="n">
        <v>43368</v>
      </c>
      <c r="C1970" s="29" t="s">
        <v>28</v>
      </c>
      <c r="D1970" s="62" t="n">
        <v>28</v>
      </c>
      <c r="E1970" s="62" t="n">
        <v>145.22</v>
      </c>
      <c r="F1970" s="62" t="s">
        <v>5</v>
      </c>
      <c r="G1970" s="29" t="s">
        <v>29</v>
      </c>
      <c r="H1970" s="29" t="s">
        <v>36</v>
      </c>
    </row>
    <row r="1971" customFormat="false" ht="14.25" hidden="false" customHeight="false" outlineLevel="0" collapsed="false">
      <c r="A1971" s="1" t="n">
        <v>2974</v>
      </c>
      <c r="B1971" s="30" t="n">
        <v>43130</v>
      </c>
      <c r="C1971" s="29" t="s">
        <v>21</v>
      </c>
      <c r="D1971" s="62" t="n">
        <v>28</v>
      </c>
      <c r="E1971" s="62" t="n">
        <v>1351.14</v>
      </c>
      <c r="F1971" s="62" t="s">
        <v>4</v>
      </c>
      <c r="G1971" s="29" t="s">
        <v>29</v>
      </c>
      <c r="H1971" s="29" t="s">
        <v>41</v>
      </c>
    </row>
    <row r="1972" customFormat="false" ht="14.25" hidden="false" customHeight="false" outlineLevel="0" collapsed="false">
      <c r="A1972" s="1" t="n">
        <v>2975</v>
      </c>
      <c r="B1972" s="30" t="n">
        <v>43421</v>
      </c>
      <c r="C1972" s="29" t="s">
        <v>31</v>
      </c>
      <c r="D1972" s="62" t="n">
        <v>19</v>
      </c>
      <c r="E1972" s="62" t="n">
        <v>657.95</v>
      </c>
      <c r="F1972" s="62" t="s">
        <v>3</v>
      </c>
      <c r="G1972" s="29" t="s">
        <v>29</v>
      </c>
      <c r="H1972" s="29" t="s">
        <v>36</v>
      </c>
    </row>
    <row r="1973" customFormat="false" ht="14.25" hidden="false" customHeight="false" outlineLevel="0" collapsed="false">
      <c r="A1973" s="1" t="n">
        <v>2976</v>
      </c>
      <c r="B1973" s="30" t="n">
        <v>43300</v>
      </c>
      <c r="C1973" s="29" t="s">
        <v>31</v>
      </c>
      <c r="D1973" s="62" t="n">
        <v>6</v>
      </c>
      <c r="E1973" s="62" t="n">
        <v>21.6</v>
      </c>
      <c r="F1973" s="62" t="s">
        <v>6</v>
      </c>
      <c r="G1973" s="29" t="s">
        <v>29</v>
      </c>
      <c r="H1973" s="29" t="s">
        <v>35</v>
      </c>
    </row>
    <row r="1974" customFormat="false" ht="14.25" hidden="false" customHeight="false" outlineLevel="0" collapsed="false">
      <c r="A1974" s="1" t="n">
        <v>2977</v>
      </c>
      <c r="B1974" s="30" t="n">
        <v>43143</v>
      </c>
      <c r="C1974" s="29" t="s">
        <v>31</v>
      </c>
      <c r="D1974" s="62" t="n">
        <v>30</v>
      </c>
      <c r="E1974" s="62" t="n">
        <v>150.06</v>
      </c>
      <c r="F1974" s="62" t="s">
        <v>6</v>
      </c>
      <c r="G1974" s="29" t="s">
        <v>29</v>
      </c>
      <c r="H1974" s="29" t="s">
        <v>34</v>
      </c>
    </row>
    <row r="1975" customFormat="false" ht="14.25" hidden="false" customHeight="false" outlineLevel="0" collapsed="false">
      <c r="A1975" s="1" t="n">
        <v>2978</v>
      </c>
      <c r="B1975" s="30" t="n">
        <v>43127</v>
      </c>
      <c r="C1975" s="29" t="s">
        <v>28</v>
      </c>
      <c r="D1975" s="62" t="n">
        <v>10</v>
      </c>
      <c r="E1975" s="62" t="n">
        <v>285.63</v>
      </c>
      <c r="F1975" s="62" t="s">
        <v>4</v>
      </c>
      <c r="G1975" s="29" t="s">
        <v>24</v>
      </c>
      <c r="H1975" s="29" t="s">
        <v>26</v>
      </c>
    </row>
    <row r="1976" customFormat="false" ht="14.25" hidden="false" customHeight="false" outlineLevel="0" collapsed="false">
      <c r="A1976" s="1" t="n">
        <v>2979</v>
      </c>
      <c r="B1976" s="30" t="n">
        <v>43127</v>
      </c>
      <c r="C1976" s="29" t="s">
        <v>28</v>
      </c>
      <c r="D1976" s="62" t="n">
        <v>26</v>
      </c>
      <c r="E1976" s="62" t="n">
        <v>121.82</v>
      </c>
      <c r="F1976" s="62" t="s">
        <v>4</v>
      </c>
      <c r="G1976" s="29" t="s">
        <v>22</v>
      </c>
      <c r="H1976" s="29" t="s">
        <v>23</v>
      </c>
    </row>
    <row r="1977" customFormat="false" ht="14.25" hidden="false" customHeight="false" outlineLevel="0" collapsed="false">
      <c r="A1977" s="1" t="n">
        <v>2980</v>
      </c>
      <c r="B1977" s="30" t="n">
        <v>43379</v>
      </c>
      <c r="C1977" s="29" t="s">
        <v>39</v>
      </c>
      <c r="D1977" s="62" t="n">
        <v>21</v>
      </c>
      <c r="E1977" s="62" t="n">
        <v>73.33</v>
      </c>
      <c r="F1977" s="62" t="s">
        <v>4</v>
      </c>
      <c r="G1977" s="29" t="s">
        <v>29</v>
      </c>
      <c r="H1977" s="29" t="s">
        <v>30</v>
      </c>
    </row>
    <row r="1978" customFormat="false" ht="14.25" hidden="false" customHeight="false" outlineLevel="0" collapsed="false">
      <c r="A1978" s="1" t="n">
        <v>2981</v>
      </c>
      <c r="B1978" s="30" t="n">
        <v>43379</v>
      </c>
      <c r="C1978" s="29" t="s">
        <v>39</v>
      </c>
      <c r="D1978" s="62" t="n">
        <v>39</v>
      </c>
      <c r="E1978" s="62" t="n">
        <v>4510.94</v>
      </c>
      <c r="F1978" s="62" t="s">
        <v>4</v>
      </c>
      <c r="G1978" s="29" t="s">
        <v>24</v>
      </c>
      <c r="H1978" s="29" t="s">
        <v>25</v>
      </c>
    </row>
    <row r="1979" customFormat="false" ht="14.25" hidden="false" customHeight="false" outlineLevel="0" collapsed="false">
      <c r="A1979" s="1" t="n">
        <v>2982</v>
      </c>
      <c r="B1979" s="30" t="n">
        <v>43128</v>
      </c>
      <c r="C1979" s="29" t="s">
        <v>31</v>
      </c>
      <c r="D1979" s="62" t="n">
        <v>12</v>
      </c>
      <c r="E1979" s="62" t="n">
        <v>908.98</v>
      </c>
      <c r="F1979" s="62" t="s">
        <v>5</v>
      </c>
      <c r="G1979" s="29" t="s">
        <v>29</v>
      </c>
      <c r="H1979" s="29" t="s">
        <v>41</v>
      </c>
    </row>
    <row r="1980" customFormat="false" ht="14.25" hidden="false" customHeight="false" outlineLevel="0" collapsed="false">
      <c r="A1980" s="1" t="n">
        <v>2983</v>
      </c>
      <c r="B1980" s="30" t="n">
        <v>43128</v>
      </c>
      <c r="C1980" s="29" t="s">
        <v>31</v>
      </c>
      <c r="D1980" s="62" t="n">
        <v>38</v>
      </c>
      <c r="E1980" s="62" t="n">
        <v>202.75</v>
      </c>
      <c r="F1980" s="62" t="s">
        <v>5</v>
      </c>
      <c r="G1980" s="29" t="s">
        <v>29</v>
      </c>
      <c r="H1980" s="29" t="s">
        <v>34</v>
      </c>
    </row>
    <row r="1981" customFormat="false" ht="14.25" hidden="false" customHeight="false" outlineLevel="0" collapsed="false">
      <c r="A1981" s="1" t="n">
        <v>2984</v>
      </c>
      <c r="B1981" s="30" t="n">
        <v>43354</v>
      </c>
      <c r="C1981" s="29" t="s">
        <v>37</v>
      </c>
      <c r="D1981" s="62" t="n">
        <v>39</v>
      </c>
      <c r="E1981" s="62" t="n">
        <v>112.42</v>
      </c>
      <c r="F1981" s="62" t="s">
        <v>4</v>
      </c>
      <c r="G1981" s="29" t="s">
        <v>29</v>
      </c>
      <c r="H1981" s="29" t="s">
        <v>30</v>
      </c>
    </row>
    <row r="1982" customFormat="false" ht="14.25" hidden="false" customHeight="false" outlineLevel="0" collapsed="false">
      <c r="A1982" s="1" t="n">
        <v>2985</v>
      </c>
      <c r="B1982" s="30" t="n">
        <v>43442</v>
      </c>
      <c r="C1982" s="29" t="s">
        <v>37</v>
      </c>
      <c r="D1982" s="62" t="n">
        <v>28</v>
      </c>
      <c r="E1982" s="62" t="n">
        <v>374.95</v>
      </c>
      <c r="F1982" s="62" t="s">
        <v>5</v>
      </c>
      <c r="G1982" s="29" t="s">
        <v>29</v>
      </c>
      <c r="H1982" s="29" t="s">
        <v>30</v>
      </c>
    </row>
    <row r="1983" customFormat="false" ht="14.25" hidden="false" customHeight="false" outlineLevel="0" collapsed="false">
      <c r="A1983" s="1" t="n">
        <v>2986</v>
      </c>
      <c r="B1983" s="30" t="n">
        <v>43442</v>
      </c>
      <c r="C1983" s="29" t="s">
        <v>37</v>
      </c>
      <c r="D1983" s="62" t="n">
        <v>4</v>
      </c>
      <c r="E1983" s="62" t="n">
        <v>182.38</v>
      </c>
      <c r="F1983" s="62" t="s">
        <v>5</v>
      </c>
      <c r="G1983" s="29" t="s">
        <v>29</v>
      </c>
      <c r="H1983" s="29" t="s">
        <v>41</v>
      </c>
    </row>
    <row r="1984" customFormat="false" ht="14.25" hidden="false" customHeight="false" outlineLevel="0" collapsed="false">
      <c r="A1984" s="1" t="n">
        <v>2987</v>
      </c>
      <c r="B1984" s="30" t="n">
        <v>43403</v>
      </c>
      <c r="C1984" s="29" t="s">
        <v>31</v>
      </c>
      <c r="D1984" s="62" t="n">
        <v>35</v>
      </c>
      <c r="E1984" s="62" t="n">
        <v>638.83</v>
      </c>
      <c r="F1984" s="62" t="s">
        <v>5</v>
      </c>
      <c r="G1984" s="29" t="s">
        <v>29</v>
      </c>
      <c r="H1984" s="29" t="s">
        <v>38</v>
      </c>
    </row>
    <row r="1985" customFormat="false" ht="14.25" hidden="false" customHeight="false" outlineLevel="0" collapsed="false">
      <c r="A1985" s="1" t="n">
        <v>2988</v>
      </c>
      <c r="B1985" s="30" t="n">
        <v>43403</v>
      </c>
      <c r="C1985" s="29" t="s">
        <v>31</v>
      </c>
      <c r="D1985" s="62" t="n">
        <v>11</v>
      </c>
      <c r="E1985" s="62" t="n">
        <v>58.41</v>
      </c>
      <c r="F1985" s="62" t="s">
        <v>5</v>
      </c>
      <c r="G1985" s="29" t="s">
        <v>29</v>
      </c>
      <c r="H1985" s="29" t="s">
        <v>35</v>
      </c>
    </row>
    <row r="1986" customFormat="false" ht="14.25" hidden="false" customHeight="false" outlineLevel="0" collapsed="false">
      <c r="A1986" s="1" t="n">
        <v>2989</v>
      </c>
      <c r="B1986" s="30" t="n">
        <v>43214</v>
      </c>
      <c r="C1986" s="29" t="s">
        <v>28</v>
      </c>
      <c r="D1986" s="62" t="n">
        <v>23</v>
      </c>
      <c r="E1986" s="62" t="n">
        <v>154.11</v>
      </c>
      <c r="F1986" s="62" t="s">
        <v>4</v>
      </c>
      <c r="G1986" s="29" t="s">
        <v>29</v>
      </c>
      <c r="H1986" s="29" t="s">
        <v>36</v>
      </c>
    </row>
    <row r="1987" customFormat="false" ht="14.25" hidden="false" customHeight="false" outlineLevel="0" collapsed="false">
      <c r="A1987" s="1" t="n">
        <v>2990</v>
      </c>
      <c r="B1987" s="30" t="n">
        <v>43214</v>
      </c>
      <c r="C1987" s="29" t="s">
        <v>28</v>
      </c>
      <c r="D1987" s="62" t="n">
        <v>40</v>
      </c>
      <c r="E1987" s="62" t="n">
        <v>674.51</v>
      </c>
      <c r="F1987" s="62" t="s">
        <v>4</v>
      </c>
      <c r="G1987" s="29" t="s">
        <v>29</v>
      </c>
      <c r="H1987" s="29" t="s">
        <v>41</v>
      </c>
    </row>
    <row r="1988" customFormat="false" ht="14.25" hidden="false" customHeight="false" outlineLevel="0" collapsed="false">
      <c r="A1988" s="1" t="n">
        <v>2991</v>
      </c>
      <c r="B1988" s="30" t="n">
        <v>43418</v>
      </c>
      <c r="C1988" s="29" t="s">
        <v>31</v>
      </c>
      <c r="D1988" s="62" t="n">
        <v>40</v>
      </c>
      <c r="E1988" s="62" t="n">
        <v>768.9</v>
      </c>
      <c r="F1988" s="62" t="s">
        <v>3</v>
      </c>
      <c r="G1988" s="29" t="s">
        <v>24</v>
      </c>
      <c r="H1988" s="29" t="s">
        <v>26</v>
      </c>
    </row>
    <row r="1989" customFormat="false" ht="14.25" hidden="false" customHeight="false" outlineLevel="0" collapsed="false">
      <c r="A1989" s="1" t="n">
        <v>2992</v>
      </c>
      <c r="B1989" s="30" t="n">
        <v>43126</v>
      </c>
      <c r="C1989" s="29" t="s">
        <v>37</v>
      </c>
      <c r="D1989" s="62" t="n">
        <v>17</v>
      </c>
      <c r="E1989" s="62" t="n">
        <v>333.88</v>
      </c>
      <c r="F1989" s="62" t="s">
        <v>5</v>
      </c>
      <c r="G1989" s="29" t="s">
        <v>24</v>
      </c>
      <c r="H1989" s="29" t="s">
        <v>25</v>
      </c>
    </row>
    <row r="1990" customFormat="false" ht="14.25" hidden="false" customHeight="false" outlineLevel="0" collapsed="false">
      <c r="A1990" s="1" t="n">
        <v>2993</v>
      </c>
      <c r="B1990" s="30" t="n">
        <v>43166</v>
      </c>
      <c r="C1990" s="29" t="s">
        <v>39</v>
      </c>
      <c r="D1990" s="62" t="n">
        <v>41</v>
      </c>
      <c r="E1990" s="62" t="n">
        <v>260.41</v>
      </c>
      <c r="F1990" s="62" t="s">
        <v>4</v>
      </c>
      <c r="G1990" s="29" t="s">
        <v>29</v>
      </c>
      <c r="H1990" s="29" t="s">
        <v>34</v>
      </c>
    </row>
    <row r="1991" customFormat="false" ht="14.25" hidden="false" customHeight="false" outlineLevel="0" collapsed="false">
      <c r="A1991" s="1" t="n">
        <v>2994</v>
      </c>
      <c r="B1991" s="30" t="n">
        <v>43166</v>
      </c>
      <c r="C1991" s="29" t="s">
        <v>28</v>
      </c>
      <c r="D1991" s="62" t="n">
        <v>16</v>
      </c>
      <c r="E1991" s="62" t="n">
        <v>542.32</v>
      </c>
      <c r="F1991" s="62" t="s">
        <v>5</v>
      </c>
      <c r="G1991" s="29" t="s">
        <v>24</v>
      </c>
      <c r="H1991" s="29" t="s">
        <v>26</v>
      </c>
    </row>
    <row r="1992" customFormat="false" ht="14.25" hidden="false" customHeight="false" outlineLevel="0" collapsed="false">
      <c r="A1992" s="1" t="n">
        <v>2995</v>
      </c>
      <c r="B1992" s="30" t="n">
        <v>43166</v>
      </c>
      <c r="C1992" s="29" t="s">
        <v>28</v>
      </c>
      <c r="D1992" s="62" t="n">
        <v>12</v>
      </c>
      <c r="E1992" s="62" t="n">
        <v>148.38</v>
      </c>
      <c r="F1992" s="62" t="s">
        <v>5</v>
      </c>
      <c r="G1992" s="29" t="s">
        <v>29</v>
      </c>
      <c r="H1992" s="29" t="s">
        <v>34</v>
      </c>
    </row>
    <row r="1993" customFormat="false" ht="14.25" hidden="false" customHeight="false" outlineLevel="0" collapsed="false">
      <c r="A1993" s="1" t="n">
        <v>2996</v>
      </c>
      <c r="B1993" s="30" t="n">
        <v>43272</v>
      </c>
      <c r="C1993" s="29" t="s">
        <v>37</v>
      </c>
      <c r="D1993" s="62" t="n">
        <v>46</v>
      </c>
      <c r="E1993" s="62" t="n">
        <v>9909.53</v>
      </c>
      <c r="F1993" s="62" t="s">
        <v>3</v>
      </c>
      <c r="G1993" s="29" t="s">
        <v>29</v>
      </c>
      <c r="H1993" s="29" t="s">
        <v>38</v>
      </c>
    </row>
    <row r="1994" customFormat="false" ht="14.25" hidden="false" customHeight="false" outlineLevel="0" collapsed="false">
      <c r="A1994" s="1" t="n">
        <v>2997</v>
      </c>
      <c r="B1994" s="30" t="n">
        <v>43272</v>
      </c>
      <c r="C1994" s="29" t="s">
        <v>37</v>
      </c>
      <c r="D1994" s="62" t="n">
        <v>2</v>
      </c>
      <c r="E1994" s="62" t="n">
        <v>31.01</v>
      </c>
      <c r="F1994" s="62" t="s">
        <v>3</v>
      </c>
      <c r="G1994" s="29" t="s">
        <v>22</v>
      </c>
      <c r="H1994" s="29" t="s">
        <v>23</v>
      </c>
    </row>
    <row r="1995" customFormat="false" ht="14.25" hidden="false" customHeight="false" outlineLevel="0" collapsed="false">
      <c r="A1995" s="1" t="n">
        <v>2998</v>
      </c>
      <c r="B1995" s="30" t="n">
        <v>43451</v>
      </c>
      <c r="C1995" s="29" t="s">
        <v>28</v>
      </c>
      <c r="D1995" s="62" t="n">
        <v>1</v>
      </c>
      <c r="E1995" s="62" t="n">
        <v>11.33</v>
      </c>
      <c r="F1995" s="62" t="s">
        <v>4</v>
      </c>
      <c r="G1995" s="29" t="s">
        <v>29</v>
      </c>
      <c r="H1995" s="29" t="s">
        <v>36</v>
      </c>
    </row>
    <row r="1996" customFormat="false" ht="14.25" hidden="false" customHeight="false" outlineLevel="0" collapsed="false">
      <c r="A1996" s="1" t="n">
        <v>2999</v>
      </c>
      <c r="B1996" s="30" t="n">
        <v>43250</v>
      </c>
      <c r="C1996" s="29" t="s">
        <v>31</v>
      </c>
      <c r="D1996" s="62" t="n">
        <v>12</v>
      </c>
      <c r="E1996" s="62" t="n">
        <v>381.21</v>
      </c>
      <c r="F1996" s="62" t="s">
        <v>5</v>
      </c>
      <c r="G1996" s="29" t="s">
        <v>29</v>
      </c>
      <c r="H1996" s="29" t="s">
        <v>36</v>
      </c>
    </row>
    <row r="1997" customFormat="false" ht="14.25" hidden="false" customHeight="false" outlineLevel="0" collapsed="false">
      <c r="A1997" s="1" t="n">
        <v>3000</v>
      </c>
      <c r="B1997" s="30" t="n">
        <v>43250</v>
      </c>
      <c r="C1997" s="29" t="s">
        <v>31</v>
      </c>
      <c r="D1997" s="62" t="n">
        <v>45</v>
      </c>
      <c r="E1997" s="62" t="n">
        <v>550.9</v>
      </c>
      <c r="F1997" s="62" t="s">
        <v>5</v>
      </c>
      <c r="G1997" s="29" t="s">
        <v>29</v>
      </c>
      <c r="H1997" s="29" t="s">
        <v>36</v>
      </c>
    </row>
    <row r="1998" customFormat="false" ht="14.25" hidden="false" customHeight="false" outlineLevel="0" collapsed="false">
      <c r="A1998" s="1" t="n">
        <v>3001</v>
      </c>
      <c r="B1998" s="30" t="n">
        <v>43250</v>
      </c>
      <c r="C1998" s="29" t="s">
        <v>31</v>
      </c>
      <c r="D1998" s="62" t="n">
        <v>26</v>
      </c>
      <c r="E1998" s="62" t="n">
        <v>468.41</v>
      </c>
      <c r="F1998" s="62" t="s">
        <v>5</v>
      </c>
      <c r="G1998" s="29" t="s">
        <v>24</v>
      </c>
      <c r="H1998" s="29" t="s">
        <v>26</v>
      </c>
    </row>
    <row r="1999" customFormat="false" ht="14.25" hidden="false" customHeight="false" outlineLevel="0" collapsed="false">
      <c r="A1999" s="1" t="n">
        <v>3002</v>
      </c>
      <c r="B1999" s="30" t="n">
        <v>43418</v>
      </c>
      <c r="C1999" s="29" t="s">
        <v>39</v>
      </c>
      <c r="D1999" s="62" t="n">
        <v>29</v>
      </c>
      <c r="E1999" s="62" t="n">
        <v>11812.53</v>
      </c>
      <c r="F1999" s="62" t="s">
        <v>6</v>
      </c>
      <c r="G1999" s="29" t="s">
        <v>24</v>
      </c>
      <c r="H1999" s="29" t="s">
        <v>42</v>
      </c>
    </row>
    <row r="2000" customFormat="false" ht="14.25" hidden="false" customHeight="false" outlineLevel="0" collapsed="false">
      <c r="A2000" s="1" t="n">
        <v>3003</v>
      </c>
      <c r="B2000" s="30" t="n">
        <v>43418</v>
      </c>
      <c r="C2000" s="29" t="s">
        <v>39</v>
      </c>
      <c r="D2000" s="62" t="n">
        <v>30</v>
      </c>
      <c r="E2000" s="62" t="n">
        <v>5331.75</v>
      </c>
      <c r="F2000" s="62" t="s">
        <v>6</v>
      </c>
      <c r="G2000" s="29" t="s">
        <v>22</v>
      </c>
      <c r="H2000" s="29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625" defaultRowHeight="14.25" customHeight="false" zeroHeight="false" outlineLevelRow="0" outlineLevelCol="0"/>
  <cols>
    <col collapsed="false" customWidth="true" hidden="false" outlineLevel="0" max="1" min="1" style="1" width="10.88"/>
    <col collapsed="false" customWidth="true" hidden="false" outlineLevel="0" max="2" min="2" style="1" width="14.56"/>
    <col collapsed="false" customWidth="true" hidden="false" outlineLevel="0" max="3" min="3" style="1" width="13.11"/>
    <col collapsed="false" customWidth="true" hidden="false" outlineLevel="0" max="4" min="4" style="1" width="20.44"/>
    <col collapsed="false" customWidth="true" hidden="false" outlineLevel="0" max="5" min="5" style="1" width="17.33"/>
  </cols>
  <sheetData>
    <row r="1" customFormat="false" ht="14.25" hidden="false" customHeight="false" outlineLevel="0" collapsed="false">
      <c r="A1" s="1" t="s">
        <v>8</v>
      </c>
      <c r="B1" s="29" t="s">
        <v>46</v>
      </c>
      <c r="C1" s="62" t="s">
        <v>10</v>
      </c>
      <c r="D1" s="29" t="s">
        <v>47</v>
      </c>
      <c r="E1" s="29" t="s">
        <v>48</v>
      </c>
    </row>
    <row r="2" customFormat="false" ht="14.25" hidden="false" customHeight="false" outlineLevel="0" collapsed="false">
      <c r="A2" s="1" t="n">
        <v>1005</v>
      </c>
      <c r="B2" s="29" t="s">
        <v>49</v>
      </c>
      <c r="C2" s="62" t="n">
        <v>6.2</v>
      </c>
      <c r="D2" s="29" t="s">
        <v>50</v>
      </c>
      <c r="E2" s="29" t="s">
        <v>51</v>
      </c>
    </row>
    <row r="3" customFormat="false" ht="14.25" hidden="false" customHeight="false" outlineLevel="0" collapsed="false">
      <c r="A3" s="1" t="n">
        <v>1006</v>
      </c>
      <c r="B3" s="29" t="s">
        <v>49</v>
      </c>
      <c r="C3" s="62" t="n">
        <v>5.4</v>
      </c>
      <c r="D3" s="29" t="s">
        <v>50</v>
      </c>
      <c r="E3" s="29" t="s">
        <v>51</v>
      </c>
    </row>
    <row r="4" customFormat="false" ht="14.25" hidden="false" customHeight="false" outlineLevel="0" collapsed="false">
      <c r="A4" s="1" t="n">
        <v>1007</v>
      </c>
      <c r="B4" s="29" t="s">
        <v>49</v>
      </c>
      <c r="C4" s="62" t="n">
        <v>9.6</v>
      </c>
      <c r="D4" s="29" t="s">
        <v>52</v>
      </c>
      <c r="E4" s="29" t="s">
        <v>53</v>
      </c>
    </row>
    <row r="5" customFormat="false" ht="14.25" hidden="false" customHeight="false" outlineLevel="0" collapsed="false">
      <c r="A5" s="1" t="n">
        <v>1008</v>
      </c>
      <c r="B5" s="29" t="s">
        <v>54</v>
      </c>
      <c r="C5" s="62" t="n">
        <v>95.6</v>
      </c>
      <c r="D5" s="29" t="s">
        <v>50</v>
      </c>
      <c r="E5" s="29" t="s">
        <v>55</v>
      </c>
    </row>
    <row r="6" customFormat="false" ht="14.25" hidden="false" customHeight="false" outlineLevel="0" collapsed="false">
      <c r="A6" s="1" t="n">
        <v>1009</v>
      </c>
      <c r="B6" s="29" t="s">
        <v>49</v>
      </c>
      <c r="C6" s="62" t="n">
        <v>2.4</v>
      </c>
      <c r="D6" s="29" t="s">
        <v>56</v>
      </c>
      <c r="E6" s="29" t="s">
        <v>57</v>
      </c>
    </row>
    <row r="7" customFormat="false" ht="14.25" hidden="false" customHeight="false" outlineLevel="0" collapsed="false">
      <c r="A7" s="1" t="n">
        <v>1010</v>
      </c>
      <c r="B7" s="29" t="s">
        <v>49</v>
      </c>
      <c r="C7" s="62" t="n">
        <v>9.6</v>
      </c>
      <c r="D7" s="29" t="s">
        <v>56</v>
      </c>
      <c r="E7" s="29" t="s">
        <v>58</v>
      </c>
    </row>
    <row r="8" customFormat="false" ht="14.25" hidden="false" customHeight="false" outlineLevel="0" collapsed="false">
      <c r="A8" s="1" t="n">
        <v>1011</v>
      </c>
      <c r="B8" s="29" t="s">
        <v>49</v>
      </c>
      <c r="C8" s="62" t="n">
        <v>4.5</v>
      </c>
      <c r="D8" s="29" t="s">
        <v>50</v>
      </c>
      <c r="E8" s="29" t="s">
        <v>58</v>
      </c>
    </row>
    <row r="9" customFormat="false" ht="14.25" hidden="false" customHeight="false" outlineLevel="0" collapsed="false">
      <c r="A9" s="1" t="n">
        <v>1012</v>
      </c>
      <c r="B9" s="29" t="s">
        <v>49</v>
      </c>
      <c r="C9" s="62" t="n">
        <v>2.1</v>
      </c>
      <c r="D9" s="29" t="s">
        <v>59</v>
      </c>
      <c r="E9" s="29" t="s">
        <v>53</v>
      </c>
    </row>
    <row r="10" customFormat="false" ht="14.25" hidden="false" customHeight="false" outlineLevel="0" collapsed="false">
      <c r="A10" s="1" t="n">
        <v>1013</v>
      </c>
      <c r="B10" s="29" t="s">
        <v>49</v>
      </c>
      <c r="C10" s="62" t="n">
        <v>4.9</v>
      </c>
      <c r="D10" s="29" t="s">
        <v>60</v>
      </c>
      <c r="E10" s="29" t="s">
        <v>53</v>
      </c>
    </row>
    <row r="11" customFormat="false" ht="14.25" hidden="false" customHeight="false" outlineLevel="0" collapsed="false">
      <c r="A11" s="1" t="n">
        <v>1014</v>
      </c>
      <c r="B11" s="29" t="s">
        <v>61</v>
      </c>
      <c r="C11" s="62" t="n">
        <v>9.6</v>
      </c>
      <c r="D11" s="29" t="s">
        <v>62</v>
      </c>
      <c r="E11" s="29" t="s">
        <v>58</v>
      </c>
    </row>
    <row r="12" customFormat="false" ht="14.25" hidden="false" customHeight="false" outlineLevel="0" collapsed="false">
      <c r="A12" s="1" t="n">
        <v>1015</v>
      </c>
      <c r="B12" s="29" t="s">
        <v>49</v>
      </c>
      <c r="C12" s="62" t="n">
        <v>3.4</v>
      </c>
      <c r="D12" s="29" t="s">
        <v>62</v>
      </c>
      <c r="E12" s="29" t="s">
        <v>53</v>
      </c>
    </row>
    <row r="13" customFormat="false" ht="14.25" hidden="false" customHeight="false" outlineLevel="0" collapsed="false">
      <c r="A13" s="1" t="n">
        <v>1016</v>
      </c>
      <c r="B13" s="29" t="s">
        <v>49</v>
      </c>
      <c r="C13" s="62" t="n">
        <v>4.4</v>
      </c>
      <c r="D13" s="29" t="s">
        <v>60</v>
      </c>
      <c r="E13" s="29" t="s">
        <v>57</v>
      </c>
    </row>
    <row r="14" customFormat="false" ht="14.25" hidden="false" customHeight="false" outlineLevel="0" collapsed="false">
      <c r="A14" s="1" t="n">
        <v>1017</v>
      </c>
      <c r="B14" s="29" t="s">
        <v>49</v>
      </c>
      <c r="C14" s="62" t="n">
        <v>0.7</v>
      </c>
      <c r="D14" s="29" t="s">
        <v>60</v>
      </c>
      <c r="E14" s="29" t="s">
        <v>57</v>
      </c>
    </row>
    <row r="15" customFormat="false" ht="14.25" hidden="false" customHeight="false" outlineLevel="0" collapsed="false">
      <c r="A15" s="1" t="n">
        <v>1018</v>
      </c>
      <c r="B15" s="29" t="s">
        <v>49</v>
      </c>
      <c r="C15" s="62" t="n">
        <v>3.6</v>
      </c>
      <c r="D15" s="29" t="s">
        <v>60</v>
      </c>
      <c r="E15" s="29" t="s">
        <v>57</v>
      </c>
    </row>
    <row r="16" customFormat="false" ht="14.25" hidden="false" customHeight="false" outlineLevel="0" collapsed="false">
      <c r="A16" s="1" t="n">
        <v>1019</v>
      </c>
      <c r="B16" s="29" t="s">
        <v>49</v>
      </c>
      <c r="C16" s="62" t="n">
        <v>5.3</v>
      </c>
      <c r="D16" s="29" t="s">
        <v>60</v>
      </c>
      <c r="E16" s="29" t="s">
        <v>58</v>
      </c>
    </row>
    <row r="17" customFormat="false" ht="14.25" hidden="false" customHeight="false" outlineLevel="0" collapsed="false">
      <c r="A17" s="1" t="n">
        <v>1020</v>
      </c>
      <c r="B17" s="29" t="s">
        <v>49</v>
      </c>
      <c r="C17" s="62" t="n">
        <v>0.5</v>
      </c>
      <c r="D17" s="29" t="s">
        <v>59</v>
      </c>
      <c r="E17" s="29" t="s">
        <v>58</v>
      </c>
    </row>
    <row r="18" customFormat="false" ht="14.25" hidden="false" customHeight="false" outlineLevel="0" collapsed="false">
      <c r="A18" s="1" t="n">
        <v>1021</v>
      </c>
      <c r="B18" s="29" t="s">
        <v>49</v>
      </c>
      <c r="C18" s="62" t="n">
        <v>0.7</v>
      </c>
      <c r="D18" s="29" t="s">
        <v>59</v>
      </c>
      <c r="E18" s="29" t="s">
        <v>57</v>
      </c>
    </row>
    <row r="19" customFormat="false" ht="14.25" hidden="false" customHeight="false" outlineLevel="0" collapsed="false">
      <c r="A19" s="1" t="n">
        <v>1022</v>
      </c>
      <c r="B19" s="29" t="s">
        <v>49</v>
      </c>
      <c r="C19" s="62" t="n">
        <v>5.7</v>
      </c>
      <c r="D19" s="29" t="s">
        <v>50</v>
      </c>
      <c r="E19" s="29" t="s">
        <v>58</v>
      </c>
    </row>
    <row r="20" customFormat="false" ht="14.25" hidden="false" customHeight="false" outlineLevel="0" collapsed="false">
      <c r="A20" s="1" t="n">
        <v>1023</v>
      </c>
      <c r="B20" s="29" t="s">
        <v>49</v>
      </c>
      <c r="C20" s="62" t="n">
        <v>5.2</v>
      </c>
      <c r="D20" s="29" t="s">
        <v>50</v>
      </c>
      <c r="E20" s="29" t="s">
        <v>58</v>
      </c>
    </row>
    <row r="21" customFormat="false" ht="14.25" hidden="false" customHeight="false" outlineLevel="0" collapsed="false">
      <c r="A21" s="1" t="n">
        <v>1024</v>
      </c>
      <c r="B21" s="29" t="s">
        <v>49</v>
      </c>
      <c r="C21" s="62" t="n">
        <v>21.4</v>
      </c>
      <c r="D21" s="29" t="s">
        <v>63</v>
      </c>
      <c r="E21" s="29" t="s">
        <v>58</v>
      </c>
    </row>
    <row r="22" customFormat="false" ht="14.25" hidden="false" customHeight="false" outlineLevel="0" collapsed="false">
      <c r="A22" s="1" t="n">
        <v>1025</v>
      </c>
      <c r="B22" s="29" t="s">
        <v>49</v>
      </c>
      <c r="C22" s="62" t="n">
        <v>5.6</v>
      </c>
      <c r="D22" s="29" t="s">
        <v>59</v>
      </c>
      <c r="E22" s="29" t="s">
        <v>58</v>
      </c>
    </row>
    <row r="23" customFormat="false" ht="14.25" hidden="false" customHeight="false" outlineLevel="0" collapsed="false">
      <c r="A23" s="1" t="n">
        <v>1026</v>
      </c>
      <c r="B23" s="29" t="s">
        <v>49</v>
      </c>
      <c r="C23" s="62" t="n">
        <v>12</v>
      </c>
      <c r="D23" s="29" t="s">
        <v>56</v>
      </c>
      <c r="E23" s="29" t="s">
        <v>58</v>
      </c>
    </row>
    <row r="24" customFormat="false" ht="14.25" hidden="false" customHeight="false" outlineLevel="0" collapsed="false">
      <c r="A24" s="1" t="n">
        <v>1027</v>
      </c>
      <c r="B24" s="29" t="s">
        <v>61</v>
      </c>
      <c r="C24" s="62" t="n">
        <v>9.6</v>
      </c>
      <c r="D24" s="29" t="s">
        <v>56</v>
      </c>
      <c r="E24" s="29" t="s">
        <v>53</v>
      </c>
    </row>
    <row r="25" customFormat="false" ht="14.25" hidden="false" customHeight="false" outlineLevel="0" collapsed="false">
      <c r="A25" s="1" t="n">
        <v>1028</v>
      </c>
      <c r="B25" s="29" t="s">
        <v>49</v>
      </c>
      <c r="C25" s="62" t="n">
        <v>1.9</v>
      </c>
      <c r="D25" s="29" t="s">
        <v>59</v>
      </c>
      <c r="E25" s="29" t="s">
        <v>57</v>
      </c>
    </row>
    <row r="26" customFormat="false" ht="14.25" hidden="false" customHeight="false" outlineLevel="0" collapsed="false">
      <c r="A26" s="1" t="n">
        <v>1029</v>
      </c>
      <c r="B26" s="29" t="s">
        <v>49</v>
      </c>
      <c r="C26" s="62" t="n">
        <v>4.3</v>
      </c>
      <c r="D26" s="29" t="s">
        <v>64</v>
      </c>
      <c r="E26" s="29" t="s">
        <v>58</v>
      </c>
    </row>
    <row r="27" customFormat="false" ht="14.25" hidden="false" customHeight="false" outlineLevel="0" collapsed="false">
      <c r="A27" s="1" t="n">
        <v>1030</v>
      </c>
      <c r="B27" s="29" t="s">
        <v>49</v>
      </c>
      <c r="C27" s="62" t="n">
        <v>19.3</v>
      </c>
      <c r="D27" s="29" t="s">
        <v>52</v>
      </c>
      <c r="E27" s="29" t="s">
        <v>65</v>
      </c>
    </row>
    <row r="28" customFormat="false" ht="14.25" hidden="false" customHeight="false" outlineLevel="0" collapsed="false">
      <c r="A28" s="1" t="n">
        <v>1031</v>
      </c>
      <c r="B28" s="29" t="s">
        <v>61</v>
      </c>
      <c r="C28" s="62" t="n">
        <v>11.4</v>
      </c>
      <c r="D28" s="29" t="s">
        <v>52</v>
      </c>
      <c r="E28" s="29" t="s">
        <v>58</v>
      </c>
    </row>
    <row r="29" customFormat="false" ht="14.25" hidden="false" customHeight="false" outlineLevel="0" collapsed="false">
      <c r="A29" s="1" t="n">
        <v>1032</v>
      </c>
      <c r="B29" s="29" t="s">
        <v>54</v>
      </c>
      <c r="C29" s="62" t="n">
        <v>64.4</v>
      </c>
      <c r="D29" s="29" t="s">
        <v>59</v>
      </c>
      <c r="E29" s="29" t="s">
        <v>66</v>
      </c>
    </row>
    <row r="30" customFormat="false" ht="14.25" hidden="false" customHeight="false" outlineLevel="0" collapsed="false">
      <c r="A30" s="1" t="n">
        <v>1033</v>
      </c>
      <c r="B30" s="29" t="s">
        <v>61</v>
      </c>
      <c r="C30" s="62" t="n">
        <v>5.8</v>
      </c>
      <c r="D30" s="29" t="s">
        <v>62</v>
      </c>
      <c r="E30" s="29" t="s">
        <v>58</v>
      </c>
    </row>
    <row r="31" customFormat="false" ht="14.25" hidden="false" customHeight="false" outlineLevel="0" collapsed="false">
      <c r="A31" s="1" t="n">
        <v>1034</v>
      </c>
      <c r="B31" s="29" t="s">
        <v>49</v>
      </c>
      <c r="C31" s="62" t="n">
        <v>6.7</v>
      </c>
      <c r="D31" s="29" t="s">
        <v>64</v>
      </c>
      <c r="E31" s="29" t="s">
        <v>58</v>
      </c>
    </row>
    <row r="32" customFormat="false" ht="14.25" hidden="false" customHeight="false" outlineLevel="0" collapsed="false">
      <c r="A32" s="1" t="n">
        <v>1035</v>
      </c>
      <c r="B32" s="29" t="s">
        <v>49</v>
      </c>
      <c r="C32" s="62" t="n">
        <v>8.3</v>
      </c>
      <c r="D32" s="29" t="s">
        <v>64</v>
      </c>
      <c r="E32" s="29" t="s">
        <v>58</v>
      </c>
    </row>
    <row r="33" customFormat="false" ht="14.25" hidden="false" customHeight="false" outlineLevel="0" collapsed="false">
      <c r="A33" s="1" t="n">
        <v>1036</v>
      </c>
      <c r="B33" s="29" t="s">
        <v>61</v>
      </c>
      <c r="C33" s="62" t="n">
        <v>37.5</v>
      </c>
      <c r="D33" s="29" t="s">
        <v>64</v>
      </c>
      <c r="E33" s="29" t="s">
        <v>65</v>
      </c>
    </row>
    <row r="34" customFormat="false" ht="14.25" hidden="false" customHeight="false" outlineLevel="0" collapsed="false">
      <c r="A34" s="1" t="n">
        <v>1037</v>
      </c>
      <c r="B34" s="29" t="s">
        <v>49</v>
      </c>
      <c r="C34" s="62" t="n">
        <v>0.7</v>
      </c>
      <c r="D34" s="29" t="s">
        <v>67</v>
      </c>
      <c r="E34" s="29" t="s">
        <v>57</v>
      </c>
    </row>
    <row r="35" customFormat="false" ht="14.25" hidden="false" customHeight="false" outlineLevel="0" collapsed="false">
      <c r="A35" s="1" t="n">
        <v>1038</v>
      </c>
      <c r="B35" s="29" t="s">
        <v>49</v>
      </c>
      <c r="C35" s="62" t="n">
        <v>0.5</v>
      </c>
      <c r="D35" s="29" t="s">
        <v>59</v>
      </c>
      <c r="E35" s="29" t="s">
        <v>58</v>
      </c>
    </row>
    <row r="36" customFormat="false" ht="14.25" hidden="false" customHeight="false" outlineLevel="0" collapsed="false">
      <c r="A36" s="1" t="n">
        <v>1039</v>
      </c>
      <c r="B36" s="29" t="s">
        <v>49</v>
      </c>
      <c r="C36" s="62" t="n">
        <v>5.1</v>
      </c>
      <c r="D36" s="29" t="s">
        <v>52</v>
      </c>
      <c r="E36" s="29" t="s">
        <v>58</v>
      </c>
    </row>
    <row r="37" customFormat="false" ht="14.25" hidden="false" customHeight="false" outlineLevel="0" collapsed="false">
      <c r="A37" s="1" t="n">
        <v>1040</v>
      </c>
      <c r="B37" s="29" t="s">
        <v>49</v>
      </c>
      <c r="C37" s="62" t="n">
        <v>52.4</v>
      </c>
      <c r="D37" s="29" t="s">
        <v>50</v>
      </c>
      <c r="E37" s="29" t="s">
        <v>65</v>
      </c>
    </row>
    <row r="38" customFormat="false" ht="14.25" hidden="false" customHeight="false" outlineLevel="0" collapsed="false">
      <c r="A38" s="1" t="n">
        <v>1041</v>
      </c>
      <c r="B38" s="29" t="s">
        <v>49</v>
      </c>
      <c r="C38" s="62" t="n">
        <v>0.7</v>
      </c>
      <c r="D38" s="29" t="s">
        <v>67</v>
      </c>
      <c r="E38" s="29" t="s">
        <v>57</v>
      </c>
    </row>
    <row r="39" customFormat="false" ht="14.25" hidden="false" customHeight="false" outlineLevel="0" collapsed="false">
      <c r="A39" s="1" t="n">
        <v>1042</v>
      </c>
      <c r="B39" s="29" t="s">
        <v>49</v>
      </c>
      <c r="C39" s="62" t="n">
        <v>1.3</v>
      </c>
      <c r="D39" s="29" t="s">
        <v>67</v>
      </c>
      <c r="E39" s="29" t="s">
        <v>57</v>
      </c>
    </row>
    <row r="40" customFormat="false" ht="14.25" hidden="false" customHeight="false" outlineLevel="0" collapsed="false">
      <c r="A40" s="1" t="n">
        <v>1043</v>
      </c>
      <c r="B40" s="29" t="s">
        <v>49</v>
      </c>
      <c r="C40" s="62" t="n">
        <v>10.1</v>
      </c>
      <c r="D40" s="29" t="s">
        <v>59</v>
      </c>
      <c r="E40" s="29" t="s">
        <v>58</v>
      </c>
    </row>
    <row r="41" customFormat="false" ht="14.25" hidden="false" customHeight="false" outlineLevel="0" collapsed="false">
      <c r="A41" s="1" t="n">
        <v>1044</v>
      </c>
      <c r="B41" s="29" t="s">
        <v>49</v>
      </c>
      <c r="C41" s="62" t="n">
        <v>6</v>
      </c>
      <c r="D41" s="29" t="s">
        <v>59</v>
      </c>
      <c r="E41" s="29" t="s">
        <v>58</v>
      </c>
    </row>
    <row r="42" customFormat="false" ht="14.25" hidden="false" customHeight="false" outlineLevel="0" collapsed="false">
      <c r="A42" s="1" t="n">
        <v>1045</v>
      </c>
      <c r="B42" s="29" t="s">
        <v>49</v>
      </c>
      <c r="C42" s="62" t="n">
        <v>6.1</v>
      </c>
      <c r="D42" s="29" t="s">
        <v>52</v>
      </c>
      <c r="E42" s="29" t="s">
        <v>51</v>
      </c>
    </row>
    <row r="43" customFormat="false" ht="14.25" hidden="false" customHeight="false" outlineLevel="0" collapsed="false">
      <c r="A43" s="1" t="n">
        <v>1046</v>
      </c>
      <c r="B43" s="29" t="s">
        <v>49</v>
      </c>
      <c r="C43" s="62" t="n">
        <v>5.5</v>
      </c>
      <c r="D43" s="29" t="s">
        <v>59</v>
      </c>
      <c r="E43" s="29" t="s">
        <v>58</v>
      </c>
    </row>
    <row r="44" customFormat="false" ht="14.25" hidden="false" customHeight="false" outlineLevel="0" collapsed="false">
      <c r="A44" s="1" t="n">
        <v>1047</v>
      </c>
      <c r="B44" s="29" t="s">
        <v>49</v>
      </c>
      <c r="C44" s="62" t="n">
        <v>5.6</v>
      </c>
      <c r="D44" s="29" t="s">
        <v>63</v>
      </c>
      <c r="E44" s="29" t="s">
        <v>58</v>
      </c>
    </row>
    <row r="45" customFormat="false" ht="14.25" hidden="false" customHeight="false" outlineLevel="0" collapsed="false">
      <c r="A45" s="1" t="n">
        <v>1048</v>
      </c>
      <c r="B45" s="29" t="s">
        <v>61</v>
      </c>
      <c r="C45" s="62" t="n">
        <v>7.9</v>
      </c>
      <c r="D45" s="29" t="s">
        <v>56</v>
      </c>
      <c r="E45" s="29" t="s">
        <v>58</v>
      </c>
    </row>
    <row r="46" customFormat="false" ht="14.25" hidden="false" customHeight="false" outlineLevel="0" collapsed="false">
      <c r="A46" s="1" t="n">
        <v>1049</v>
      </c>
      <c r="B46" s="29" t="s">
        <v>61</v>
      </c>
      <c r="C46" s="62" t="n">
        <v>4.3</v>
      </c>
      <c r="D46" s="29" t="s">
        <v>56</v>
      </c>
      <c r="E46" s="29" t="s">
        <v>58</v>
      </c>
    </row>
    <row r="47" customFormat="false" ht="14.25" hidden="false" customHeight="false" outlineLevel="0" collapsed="false">
      <c r="A47" s="1" t="n">
        <v>1050</v>
      </c>
      <c r="B47" s="29" t="s">
        <v>49</v>
      </c>
      <c r="C47" s="62" t="n">
        <v>1.2</v>
      </c>
      <c r="D47" s="29" t="s">
        <v>67</v>
      </c>
      <c r="E47" s="29" t="s">
        <v>57</v>
      </c>
    </row>
    <row r="48" customFormat="false" ht="14.25" hidden="false" customHeight="false" outlineLevel="0" collapsed="false">
      <c r="A48" s="1" t="n">
        <v>1051</v>
      </c>
      <c r="B48" s="29" t="s">
        <v>49</v>
      </c>
      <c r="C48" s="62" t="n">
        <v>1.6</v>
      </c>
      <c r="D48" s="29" t="s">
        <v>60</v>
      </c>
      <c r="E48" s="29" t="s">
        <v>58</v>
      </c>
    </row>
    <row r="49" customFormat="false" ht="14.25" hidden="false" customHeight="false" outlineLevel="0" collapsed="false">
      <c r="A49" s="1" t="n">
        <v>1052</v>
      </c>
      <c r="B49" s="29" t="s">
        <v>54</v>
      </c>
      <c r="C49" s="62" t="n">
        <v>38.2</v>
      </c>
      <c r="D49" s="29" t="s">
        <v>59</v>
      </c>
      <c r="E49" s="29" t="s">
        <v>55</v>
      </c>
    </row>
    <row r="50" customFormat="false" ht="14.25" hidden="false" customHeight="false" outlineLevel="0" collapsed="false">
      <c r="A50" s="1" t="n">
        <v>1053</v>
      </c>
      <c r="B50" s="29" t="s">
        <v>49</v>
      </c>
      <c r="C50" s="62" t="n">
        <v>3.3</v>
      </c>
      <c r="D50" s="29" t="s">
        <v>64</v>
      </c>
      <c r="E50" s="29" t="s">
        <v>57</v>
      </c>
    </row>
    <row r="51" customFormat="false" ht="14.25" hidden="false" customHeight="false" outlineLevel="0" collapsed="false">
      <c r="A51" s="1" t="n">
        <v>1054</v>
      </c>
      <c r="B51" s="29" t="s">
        <v>49</v>
      </c>
      <c r="C51" s="62" t="n">
        <v>5.1</v>
      </c>
      <c r="D51" s="29" t="s">
        <v>63</v>
      </c>
      <c r="E51" s="29" t="s">
        <v>58</v>
      </c>
    </row>
    <row r="52" customFormat="false" ht="14.25" hidden="false" customHeight="false" outlineLevel="0" collapsed="false">
      <c r="A52" s="1" t="n">
        <v>1055</v>
      </c>
      <c r="B52" s="29" t="s">
        <v>49</v>
      </c>
      <c r="C52" s="62" t="n">
        <v>15</v>
      </c>
      <c r="D52" s="29" t="s">
        <v>59</v>
      </c>
      <c r="E52" s="29" t="s">
        <v>51</v>
      </c>
    </row>
    <row r="53" customFormat="false" ht="14.25" hidden="false" customHeight="false" outlineLevel="0" collapsed="false">
      <c r="A53" s="1" t="n">
        <v>1056</v>
      </c>
      <c r="B53" s="29" t="s">
        <v>54</v>
      </c>
      <c r="C53" s="62" t="n">
        <v>64.2</v>
      </c>
      <c r="D53" s="29" t="s">
        <v>60</v>
      </c>
      <c r="E53" s="29" t="s">
        <v>66</v>
      </c>
    </row>
    <row r="54" customFormat="false" ht="14.25" hidden="false" customHeight="false" outlineLevel="0" collapsed="false">
      <c r="A54" s="1" t="n">
        <v>1057</v>
      </c>
      <c r="B54" s="29" t="s">
        <v>49</v>
      </c>
      <c r="C54" s="62" t="n">
        <v>6</v>
      </c>
      <c r="D54" s="29" t="s">
        <v>52</v>
      </c>
      <c r="E54" s="29" t="s">
        <v>58</v>
      </c>
    </row>
    <row r="55" customFormat="false" ht="14.25" hidden="false" customHeight="false" outlineLevel="0" collapsed="false">
      <c r="A55" s="1" t="n">
        <v>1058</v>
      </c>
      <c r="B55" s="29" t="s">
        <v>49</v>
      </c>
      <c r="C55" s="62" t="n">
        <v>6</v>
      </c>
      <c r="D55" s="29" t="s">
        <v>52</v>
      </c>
      <c r="E55" s="29" t="s">
        <v>58</v>
      </c>
    </row>
    <row r="56" customFormat="false" ht="14.25" hidden="false" customHeight="false" outlineLevel="0" collapsed="false">
      <c r="A56" s="1" t="n">
        <v>1059</v>
      </c>
      <c r="B56" s="29" t="s">
        <v>49</v>
      </c>
      <c r="C56" s="62" t="n">
        <v>8</v>
      </c>
      <c r="D56" s="29" t="s">
        <v>52</v>
      </c>
      <c r="E56" s="29" t="s">
        <v>58</v>
      </c>
    </row>
    <row r="57" customFormat="false" ht="14.25" hidden="false" customHeight="false" outlineLevel="0" collapsed="false">
      <c r="A57" s="1" t="n">
        <v>1060</v>
      </c>
      <c r="B57" s="29" t="s">
        <v>54</v>
      </c>
      <c r="C57" s="62" t="n">
        <v>44.6</v>
      </c>
      <c r="D57" s="29" t="s">
        <v>56</v>
      </c>
      <c r="E57" s="29" t="s">
        <v>55</v>
      </c>
    </row>
    <row r="58" customFormat="false" ht="14.25" hidden="false" customHeight="false" outlineLevel="0" collapsed="false">
      <c r="A58" s="1" t="n">
        <v>1061</v>
      </c>
      <c r="B58" s="29" t="s">
        <v>49</v>
      </c>
      <c r="C58" s="62" t="n">
        <v>9.6</v>
      </c>
      <c r="D58" s="29" t="s">
        <v>62</v>
      </c>
      <c r="E58" s="29" t="s">
        <v>53</v>
      </c>
    </row>
    <row r="59" customFormat="false" ht="14.25" hidden="false" customHeight="false" outlineLevel="0" collapsed="false">
      <c r="A59" s="1" t="n">
        <v>1062</v>
      </c>
      <c r="B59" s="29" t="s">
        <v>49</v>
      </c>
      <c r="C59" s="62" t="n">
        <v>21.4</v>
      </c>
      <c r="D59" s="29" t="s">
        <v>56</v>
      </c>
      <c r="E59" s="29" t="s">
        <v>58</v>
      </c>
    </row>
    <row r="60" customFormat="false" ht="14.25" hidden="false" customHeight="false" outlineLevel="0" collapsed="false">
      <c r="A60" s="1" t="n">
        <v>1063</v>
      </c>
      <c r="B60" s="29" t="s">
        <v>49</v>
      </c>
      <c r="C60" s="62" t="n">
        <v>6.2</v>
      </c>
      <c r="D60" s="29" t="s">
        <v>56</v>
      </c>
      <c r="E60" s="29" t="s">
        <v>53</v>
      </c>
    </row>
    <row r="61" customFormat="false" ht="14.25" hidden="false" customHeight="false" outlineLevel="0" collapsed="false">
      <c r="A61" s="1" t="n">
        <v>1064</v>
      </c>
      <c r="B61" s="29" t="s">
        <v>49</v>
      </c>
      <c r="C61" s="62" t="n">
        <v>5.2</v>
      </c>
      <c r="D61" s="29" t="s">
        <v>59</v>
      </c>
      <c r="E61" s="29" t="s">
        <v>58</v>
      </c>
    </row>
    <row r="62" customFormat="false" ht="14.25" hidden="false" customHeight="false" outlineLevel="0" collapsed="false">
      <c r="A62" s="1" t="n">
        <v>1065</v>
      </c>
      <c r="B62" s="29" t="s">
        <v>49</v>
      </c>
      <c r="C62" s="62" t="n">
        <v>5.3</v>
      </c>
      <c r="D62" s="29" t="s">
        <v>64</v>
      </c>
      <c r="E62" s="29" t="s">
        <v>53</v>
      </c>
    </row>
    <row r="63" customFormat="false" ht="14.25" hidden="false" customHeight="false" outlineLevel="0" collapsed="false">
      <c r="A63" s="1" t="n">
        <v>1066</v>
      </c>
      <c r="B63" s="29" t="s">
        <v>49</v>
      </c>
      <c r="C63" s="62" t="n">
        <v>14.1</v>
      </c>
      <c r="D63" s="29" t="s">
        <v>64</v>
      </c>
      <c r="E63" s="29" t="s">
        <v>58</v>
      </c>
    </row>
    <row r="64" customFormat="false" ht="14.25" hidden="false" customHeight="false" outlineLevel="0" collapsed="false">
      <c r="A64" s="1" t="n">
        <v>1067</v>
      </c>
      <c r="B64" s="29" t="s">
        <v>49</v>
      </c>
      <c r="C64" s="62" t="n">
        <v>0.9</v>
      </c>
      <c r="D64" s="29" t="s">
        <v>63</v>
      </c>
      <c r="E64" s="29" t="s">
        <v>57</v>
      </c>
    </row>
    <row r="65" customFormat="false" ht="14.25" hidden="false" customHeight="false" outlineLevel="0" collapsed="false">
      <c r="A65" s="1" t="n">
        <v>1068</v>
      </c>
      <c r="B65" s="29" t="s">
        <v>49</v>
      </c>
      <c r="C65" s="62" t="n">
        <v>5.6</v>
      </c>
      <c r="D65" s="29" t="s">
        <v>63</v>
      </c>
      <c r="E65" s="29" t="s">
        <v>58</v>
      </c>
    </row>
    <row r="66" customFormat="false" ht="14.25" hidden="false" customHeight="false" outlineLevel="0" collapsed="false">
      <c r="A66" s="1" t="n">
        <v>1069</v>
      </c>
      <c r="B66" s="29" t="s">
        <v>49</v>
      </c>
      <c r="C66" s="62" t="n">
        <v>21.4</v>
      </c>
      <c r="D66" s="29" t="s">
        <v>63</v>
      </c>
      <c r="E66" s="29" t="s">
        <v>58</v>
      </c>
    </row>
    <row r="67" customFormat="false" ht="14.25" hidden="false" customHeight="false" outlineLevel="0" collapsed="false">
      <c r="A67" s="1" t="n">
        <v>1070</v>
      </c>
      <c r="B67" s="29" t="s">
        <v>61</v>
      </c>
      <c r="C67" s="62" t="n">
        <v>37.5</v>
      </c>
      <c r="D67" s="29" t="s">
        <v>63</v>
      </c>
      <c r="E67" s="29" t="s">
        <v>65</v>
      </c>
    </row>
    <row r="68" customFormat="false" ht="14.25" hidden="false" customHeight="false" outlineLevel="0" collapsed="false">
      <c r="A68" s="1" t="n">
        <v>1071</v>
      </c>
      <c r="B68" s="29" t="s">
        <v>49</v>
      </c>
      <c r="C68" s="62" t="n">
        <v>9.6</v>
      </c>
      <c r="D68" s="29" t="s">
        <v>63</v>
      </c>
      <c r="E68" s="29" t="s">
        <v>53</v>
      </c>
    </row>
    <row r="69" customFormat="false" ht="14.25" hidden="false" customHeight="false" outlineLevel="0" collapsed="false">
      <c r="A69" s="1" t="n">
        <v>1072</v>
      </c>
      <c r="B69" s="29" t="s">
        <v>49</v>
      </c>
      <c r="C69" s="62" t="n">
        <v>6.6</v>
      </c>
      <c r="D69" s="29" t="s">
        <v>59</v>
      </c>
      <c r="E69" s="29" t="s">
        <v>58</v>
      </c>
    </row>
    <row r="70" customFormat="false" ht="14.25" hidden="false" customHeight="false" outlineLevel="0" collapsed="false">
      <c r="A70" s="1" t="n">
        <v>1073</v>
      </c>
      <c r="B70" s="29" t="s">
        <v>61</v>
      </c>
      <c r="C70" s="62" t="n">
        <v>21.4</v>
      </c>
      <c r="D70" s="29" t="s">
        <v>52</v>
      </c>
      <c r="E70" s="29" t="s">
        <v>58</v>
      </c>
    </row>
    <row r="71" customFormat="false" ht="14.25" hidden="false" customHeight="false" outlineLevel="0" collapsed="false">
      <c r="A71" s="1" t="n">
        <v>1074</v>
      </c>
      <c r="B71" s="29" t="s">
        <v>49</v>
      </c>
      <c r="C71" s="62" t="n">
        <v>1</v>
      </c>
      <c r="D71" s="29" t="s">
        <v>64</v>
      </c>
      <c r="E71" s="29" t="s">
        <v>57</v>
      </c>
    </row>
    <row r="72" customFormat="false" ht="14.25" hidden="false" customHeight="false" outlineLevel="0" collapsed="false">
      <c r="A72" s="1" t="n">
        <v>1075</v>
      </c>
      <c r="B72" s="29" t="s">
        <v>49</v>
      </c>
      <c r="C72" s="62" t="n">
        <v>0.7</v>
      </c>
      <c r="D72" s="29" t="s">
        <v>50</v>
      </c>
      <c r="E72" s="29" t="s">
        <v>57</v>
      </c>
    </row>
    <row r="73" customFormat="false" ht="14.25" hidden="false" customHeight="false" outlineLevel="0" collapsed="false">
      <c r="A73" s="1" t="n">
        <v>1076</v>
      </c>
      <c r="B73" s="29" t="s">
        <v>49</v>
      </c>
      <c r="C73" s="62" t="n">
        <v>4.8</v>
      </c>
      <c r="D73" s="29" t="s">
        <v>60</v>
      </c>
      <c r="E73" s="29" t="s">
        <v>58</v>
      </c>
    </row>
    <row r="74" customFormat="false" ht="14.25" hidden="false" customHeight="false" outlineLevel="0" collapsed="false">
      <c r="A74" s="1" t="n">
        <v>1077</v>
      </c>
      <c r="B74" s="29" t="s">
        <v>54</v>
      </c>
      <c r="C74" s="62" t="n">
        <v>134.8</v>
      </c>
      <c r="D74" s="29" t="s">
        <v>59</v>
      </c>
      <c r="E74" s="29" t="s">
        <v>66</v>
      </c>
    </row>
    <row r="75" customFormat="false" ht="14.25" hidden="false" customHeight="false" outlineLevel="0" collapsed="false">
      <c r="A75" s="1" t="n">
        <v>1078</v>
      </c>
      <c r="B75" s="29" t="s">
        <v>49</v>
      </c>
      <c r="C75" s="62" t="n">
        <v>4.5</v>
      </c>
      <c r="D75" s="29" t="s">
        <v>59</v>
      </c>
      <c r="E75" s="29" t="s">
        <v>58</v>
      </c>
    </row>
    <row r="76" customFormat="false" ht="14.25" hidden="false" customHeight="false" outlineLevel="0" collapsed="false">
      <c r="A76" s="1" t="n">
        <v>1079</v>
      </c>
      <c r="B76" s="29" t="s">
        <v>49</v>
      </c>
      <c r="C76" s="62" t="n">
        <v>0.5</v>
      </c>
      <c r="D76" s="29" t="s">
        <v>59</v>
      </c>
      <c r="E76" s="29" t="s">
        <v>58</v>
      </c>
    </row>
    <row r="77" customFormat="false" ht="14.25" hidden="false" customHeight="false" outlineLevel="0" collapsed="false">
      <c r="A77" s="1" t="n">
        <v>1080</v>
      </c>
      <c r="B77" s="29" t="s">
        <v>61</v>
      </c>
      <c r="C77" s="62" t="n">
        <v>0.8</v>
      </c>
      <c r="D77" s="29" t="s">
        <v>59</v>
      </c>
      <c r="E77" s="29" t="s">
        <v>57</v>
      </c>
    </row>
    <row r="78" customFormat="false" ht="14.25" hidden="false" customHeight="false" outlineLevel="0" collapsed="false">
      <c r="A78" s="1" t="n">
        <v>1081</v>
      </c>
      <c r="B78" s="29" t="s">
        <v>49</v>
      </c>
      <c r="C78" s="62" t="n">
        <v>26.2</v>
      </c>
      <c r="D78" s="29" t="s">
        <v>67</v>
      </c>
      <c r="E78" s="29" t="s">
        <v>65</v>
      </c>
    </row>
    <row r="79" customFormat="false" ht="14.25" hidden="false" customHeight="false" outlineLevel="0" collapsed="false">
      <c r="A79" s="1" t="n">
        <v>1082</v>
      </c>
      <c r="B79" s="29" t="s">
        <v>49</v>
      </c>
      <c r="C79" s="62" t="n">
        <v>7.7</v>
      </c>
      <c r="D79" s="29" t="s">
        <v>67</v>
      </c>
      <c r="E79" s="29" t="s">
        <v>58</v>
      </c>
    </row>
    <row r="80" customFormat="false" ht="14.25" hidden="false" customHeight="false" outlineLevel="0" collapsed="false">
      <c r="A80" s="1" t="n">
        <v>1083</v>
      </c>
      <c r="B80" s="29" t="s">
        <v>49</v>
      </c>
      <c r="C80" s="62" t="n">
        <v>6.7</v>
      </c>
      <c r="D80" s="29" t="s">
        <v>62</v>
      </c>
      <c r="E80" s="29" t="s">
        <v>58</v>
      </c>
    </row>
    <row r="81" customFormat="false" ht="14.25" hidden="false" customHeight="false" outlineLevel="0" collapsed="false">
      <c r="A81" s="1" t="n">
        <v>1084</v>
      </c>
      <c r="B81" s="29" t="s">
        <v>49</v>
      </c>
      <c r="C81" s="62" t="n">
        <v>1.6</v>
      </c>
      <c r="D81" s="29" t="s">
        <v>63</v>
      </c>
      <c r="E81" s="29" t="s">
        <v>58</v>
      </c>
    </row>
    <row r="82" customFormat="false" ht="14.25" hidden="false" customHeight="false" outlineLevel="0" collapsed="false">
      <c r="A82" s="1" t="n">
        <v>1085</v>
      </c>
      <c r="B82" s="29" t="s">
        <v>49</v>
      </c>
      <c r="C82" s="62" t="n">
        <v>20.3</v>
      </c>
      <c r="D82" s="29" t="s">
        <v>56</v>
      </c>
      <c r="E82" s="29" t="s">
        <v>58</v>
      </c>
    </row>
    <row r="83" customFormat="false" ht="14.25" hidden="false" customHeight="false" outlineLevel="0" collapsed="false">
      <c r="A83" s="1" t="n">
        <v>1086</v>
      </c>
      <c r="B83" s="29" t="s">
        <v>61</v>
      </c>
      <c r="C83" s="62" t="n">
        <v>5.9</v>
      </c>
      <c r="D83" s="29" t="s">
        <v>63</v>
      </c>
      <c r="E83" s="29" t="s">
        <v>58</v>
      </c>
    </row>
    <row r="84" customFormat="false" ht="14.25" hidden="false" customHeight="false" outlineLevel="0" collapsed="false">
      <c r="A84" s="1" t="n">
        <v>1087</v>
      </c>
      <c r="B84" s="29" t="s">
        <v>49</v>
      </c>
      <c r="C84" s="62" t="n">
        <v>2.1</v>
      </c>
      <c r="D84" s="29" t="s">
        <v>56</v>
      </c>
      <c r="E84" s="29" t="s">
        <v>53</v>
      </c>
    </row>
    <row r="85" customFormat="false" ht="14.25" hidden="false" customHeight="false" outlineLevel="0" collapsed="false">
      <c r="A85" s="1" t="n">
        <v>1088</v>
      </c>
      <c r="B85" s="29" t="s">
        <v>54</v>
      </c>
      <c r="C85" s="62" t="n">
        <v>19.1</v>
      </c>
      <c r="D85" s="29" t="s">
        <v>60</v>
      </c>
      <c r="E85" s="29" t="s">
        <v>66</v>
      </c>
    </row>
    <row r="86" customFormat="false" ht="14.25" hidden="false" customHeight="false" outlineLevel="0" collapsed="false">
      <c r="A86" s="1" t="n">
        <v>1089</v>
      </c>
      <c r="B86" s="29" t="s">
        <v>49</v>
      </c>
      <c r="C86" s="62" t="n">
        <v>0.5</v>
      </c>
      <c r="D86" s="29" t="s">
        <v>64</v>
      </c>
      <c r="E86" s="29" t="s">
        <v>58</v>
      </c>
    </row>
    <row r="87" customFormat="false" ht="14.25" hidden="false" customHeight="false" outlineLevel="0" collapsed="false">
      <c r="A87" s="1" t="n">
        <v>1090</v>
      </c>
      <c r="B87" s="29" t="s">
        <v>49</v>
      </c>
      <c r="C87" s="62" t="n">
        <v>2.7</v>
      </c>
      <c r="D87" s="29" t="s">
        <v>64</v>
      </c>
      <c r="E87" s="29" t="s">
        <v>57</v>
      </c>
    </row>
    <row r="88" customFormat="false" ht="14.25" hidden="false" customHeight="false" outlineLevel="0" collapsed="false">
      <c r="A88" s="1" t="n">
        <v>1091</v>
      </c>
      <c r="B88" s="29" t="s">
        <v>49</v>
      </c>
      <c r="C88" s="62" t="n">
        <v>5.6</v>
      </c>
      <c r="D88" s="29" t="s">
        <v>56</v>
      </c>
      <c r="E88" s="29" t="s">
        <v>53</v>
      </c>
    </row>
    <row r="89" customFormat="false" ht="14.25" hidden="false" customHeight="false" outlineLevel="0" collapsed="false">
      <c r="A89" s="1" t="n">
        <v>1092</v>
      </c>
      <c r="B89" s="29" t="s">
        <v>54</v>
      </c>
      <c r="C89" s="62" t="n">
        <v>47.7</v>
      </c>
      <c r="D89" s="29" t="s">
        <v>56</v>
      </c>
      <c r="E89" s="29" t="s">
        <v>55</v>
      </c>
    </row>
    <row r="90" customFormat="false" ht="14.25" hidden="false" customHeight="false" outlineLevel="0" collapsed="false">
      <c r="A90" s="1" t="n">
        <v>1093</v>
      </c>
      <c r="B90" s="29" t="s">
        <v>61</v>
      </c>
      <c r="C90" s="62" t="n">
        <v>9.4</v>
      </c>
      <c r="D90" s="29" t="s">
        <v>56</v>
      </c>
      <c r="E90" s="29" t="s">
        <v>58</v>
      </c>
    </row>
    <row r="91" customFormat="false" ht="14.25" hidden="false" customHeight="false" outlineLevel="0" collapsed="false">
      <c r="A91" s="1" t="n">
        <v>1094</v>
      </c>
      <c r="B91" s="29" t="s">
        <v>49</v>
      </c>
      <c r="C91" s="62" t="n">
        <v>0.5</v>
      </c>
      <c r="D91" s="29" t="s">
        <v>59</v>
      </c>
      <c r="E91" s="29" t="s">
        <v>58</v>
      </c>
    </row>
    <row r="92" customFormat="false" ht="14.25" hidden="false" customHeight="false" outlineLevel="0" collapsed="false">
      <c r="A92" s="1" t="n">
        <v>1095</v>
      </c>
      <c r="B92" s="29" t="s">
        <v>49</v>
      </c>
      <c r="C92" s="62" t="n">
        <v>9.6</v>
      </c>
      <c r="D92" s="29" t="s">
        <v>62</v>
      </c>
      <c r="E92" s="29" t="s">
        <v>58</v>
      </c>
    </row>
    <row r="93" customFormat="false" ht="14.25" hidden="false" customHeight="false" outlineLevel="0" collapsed="false">
      <c r="A93" s="1" t="n">
        <v>1096</v>
      </c>
      <c r="B93" s="29" t="s">
        <v>54</v>
      </c>
      <c r="C93" s="62" t="n">
        <v>24.8</v>
      </c>
      <c r="D93" s="29" t="s">
        <v>62</v>
      </c>
      <c r="E93" s="29" t="s">
        <v>66</v>
      </c>
    </row>
    <row r="94" customFormat="false" ht="14.25" hidden="false" customHeight="false" outlineLevel="0" collapsed="false">
      <c r="A94" s="1" t="n">
        <v>1097</v>
      </c>
      <c r="B94" s="29" t="s">
        <v>49</v>
      </c>
      <c r="C94" s="62" t="n">
        <v>10.2</v>
      </c>
      <c r="D94" s="29" t="s">
        <v>63</v>
      </c>
      <c r="E94" s="29" t="s">
        <v>58</v>
      </c>
    </row>
    <row r="95" customFormat="false" ht="14.25" hidden="false" customHeight="false" outlineLevel="0" collapsed="false">
      <c r="A95" s="1" t="n">
        <v>1098</v>
      </c>
      <c r="B95" s="29" t="s">
        <v>61</v>
      </c>
      <c r="C95" s="62" t="n">
        <v>11.4</v>
      </c>
      <c r="D95" s="29" t="s">
        <v>63</v>
      </c>
      <c r="E95" s="29" t="s">
        <v>58</v>
      </c>
    </row>
    <row r="96" customFormat="false" ht="14.25" hidden="false" customHeight="false" outlineLevel="0" collapsed="false">
      <c r="A96" s="1" t="n">
        <v>1099</v>
      </c>
      <c r="B96" s="29" t="s">
        <v>61</v>
      </c>
      <c r="C96" s="62" t="n">
        <v>3.4</v>
      </c>
      <c r="D96" s="29" t="s">
        <v>52</v>
      </c>
      <c r="E96" s="29" t="s">
        <v>53</v>
      </c>
    </row>
    <row r="97" customFormat="false" ht="14.25" hidden="false" customHeight="false" outlineLevel="0" collapsed="false">
      <c r="A97" s="1" t="n">
        <v>1100</v>
      </c>
      <c r="B97" s="29" t="s">
        <v>54</v>
      </c>
      <c r="C97" s="62" t="n">
        <v>79.6</v>
      </c>
      <c r="D97" s="29" t="s">
        <v>64</v>
      </c>
      <c r="E97" s="29" t="s">
        <v>66</v>
      </c>
    </row>
    <row r="98" customFormat="false" ht="14.25" hidden="false" customHeight="false" outlineLevel="0" collapsed="false">
      <c r="A98" s="1" t="n">
        <v>1101</v>
      </c>
      <c r="B98" s="29" t="s">
        <v>49</v>
      </c>
      <c r="C98" s="62" t="n">
        <v>7</v>
      </c>
      <c r="D98" s="29" t="s">
        <v>62</v>
      </c>
      <c r="E98" s="29" t="s">
        <v>58</v>
      </c>
    </row>
    <row r="99" customFormat="false" ht="14.25" hidden="false" customHeight="false" outlineLevel="0" collapsed="false">
      <c r="A99" s="1" t="n">
        <v>1102</v>
      </c>
      <c r="B99" s="29" t="s">
        <v>54</v>
      </c>
      <c r="C99" s="62" t="n">
        <v>30.7</v>
      </c>
      <c r="D99" s="29" t="s">
        <v>62</v>
      </c>
      <c r="E99" s="29" t="s">
        <v>66</v>
      </c>
    </row>
    <row r="100" customFormat="false" ht="14.25" hidden="false" customHeight="false" outlineLevel="0" collapsed="false">
      <c r="A100" s="1" t="n">
        <v>1103</v>
      </c>
      <c r="B100" s="29" t="s">
        <v>54</v>
      </c>
      <c r="C100" s="62" t="n">
        <v>32.1</v>
      </c>
      <c r="D100" s="29" t="s">
        <v>50</v>
      </c>
      <c r="E100" s="29" t="s">
        <v>66</v>
      </c>
    </row>
    <row r="101" customFormat="false" ht="14.25" hidden="false" customHeight="false" outlineLevel="0" collapsed="false">
      <c r="A101" s="1" t="n">
        <v>1104</v>
      </c>
      <c r="B101" s="29" t="s">
        <v>49</v>
      </c>
      <c r="C101" s="62" t="n">
        <v>2.1</v>
      </c>
      <c r="D101" s="29" t="s">
        <v>50</v>
      </c>
      <c r="E101" s="29" t="s">
        <v>53</v>
      </c>
    </row>
    <row r="102" customFormat="false" ht="14.25" hidden="false" customHeight="false" outlineLevel="0" collapsed="false">
      <c r="A102" s="1" t="n">
        <v>1105</v>
      </c>
      <c r="B102" s="29" t="s">
        <v>49</v>
      </c>
      <c r="C102" s="62" t="n">
        <v>7.4</v>
      </c>
      <c r="D102" s="29" t="s">
        <v>56</v>
      </c>
      <c r="E102" s="29" t="s">
        <v>58</v>
      </c>
    </row>
    <row r="103" customFormat="false" ht="14.25" hidden="false" customHeight="false" outlineLevel="0" collapsed="false">
      <c r="A103" s="1" t="n">
        <v>1106</v>
      </c>
      <c r="B103" s="29" t="s">
        <v>49</v>
      </c>
      <c r="C103" s="62" t="n">
        <v>7.3</v>
      </c>
      <c r="D103" s="29" t="s">
        <v>59</v>
      </c>
      <c r="E103" s="29" t="s">
        <v>58</v>
      </c>
    </row>
    <row r="104" customFormat="false" ht="14.25" hidden="false" customHeight="false" outlineLevel="0" collapsed="false">
      <c r="A104" s="1" t="n">
        <v>1107</v>
      </c>
      <c r="B104" s="29" t="s">
        <v>49</v>
      </c>
      <c r="C104" s="62" t="n">
        <v>21.4</v>
      </c>
      <c r="D104" s="29" t="s">
        <v>63</v>
      </c>
      <c r="E104" s="29" t="s">
        <v>58</v>
      </c>
    </row>
    <row r="105" customFormat="false" ht="14.25" hidden="false" customHeight="false" outlineLevel="0" collapsed="false">
      <c r="A105" s="1" t="n">
        <v>1108</v>
      </c>
      <c r="B105" s="29" t="s">
        <v>49</v>
      </c>
      <c r="C105" s="62" t="n">
        <v>21.4</v>
      </c>
      <c r="D105" s="29" t="s">
        <v>63</v>
      </c>
      <c r="E105" s="29" t="s">
        <v>58</v>
      </c>
    </row>
    <row r="106" customFormat="false" ht="14.25" hidden="false" customHeight="false" outlineLevel="0" collapsed="false">
      <c r="A106" s="1" t="n">
        <v>1109</v>
      </c>
      <c r="B106" s="29" t="s">
        <v>49</v>
      </c>
      <c r="C106" s="62" t="n">
        <v>4.5</v>
      </c>
      <c r="D106" s="29" t="s">
        <v>59</v>
      </c>
      <c r="E106" s="29" t="s">
        <v>58</v>
      </c>
    </row>
    <row r="107" customFormat="false" ht="14.25" hidden="false" customHeight="false" outlineLevel="0" collapsed="false">
      <c r="A107" s="1" t="n">
        <v>1110</v>
      </c>
      <c r="B107" s="29" t="s">
        <v>49</v>
      </c>
      <c r="C107" s="62" t="n">
        <v>21.4</v>
      </c>
      <c r="D107" s="29" t="s">
        <v>63</v>
      </c>
      <c r="E107" s="29" t="s">
        <v>58</v>
      </c>
    </row>
    <row r="108" customFormat="false" ht="14.25" hidden="false" customHeight="false" outlineLevel="0" collapsed="false">
      <c r="A108" s="1" t="n">
        <v>1111</v>
      </c>
      <c r="B108" s="29" t="s">
        <v>49</v>
      </c>
      <c r="C108" s="62" t="n">
        <v>21.4</v>
      </c>
      <c r="D108" s="29" t="s">
        <v>50</v>
      </c>
      <c r="E108" s="29" t="s">
        <v>58</v>
      </c>
    </row>
    <row r="109" customFormat="false" ht="14.25" hidden="false" customHeight="false" outlineLevel="0" collapsed="false">
      <c r="A109" s="1" t="n">
        <v>1112</v>
      </c>
      <c r="B109" s="29" t="s">
        <v>49</v>
      </c>
      <c r="C109" s="62" t="n">
        <v>3.4</v>
      </c>
      <c r="D109" s="29" t="s">
        <v>60</v>
      </c>
      <c r="E109" s="29" t="s">
        <v>53</v>
      </c>
    </row>
    <row r="110" customFormat="false" ht="14.25" hidden="false" customHeight="false" outlineLevel="0" collapsed="false">
      <c r="A110" s="1" t="n">
        <v>1113</v>
      </c>
      <c r="B110" s="29" t="s">
        <v>61</v>
      </c>
      <c r="C110" s="62" t="n">
        <v>0.7</v>
      </c>
      <c r="D110" s="29" t="s">
        <v>59</v>
      </c>
      <c r="E110" s="29" t="s">
        <v>57</v>
      </c>
    </row>
    <row r="111" customFormat="false" ht="14.25" hidden="false" customHeight="false" outlineLevel="0" collapsed="false">
      <c r="A111" s="1" t="n">
        <v>1114</v>
      </c>
      <c r="B111" s="29" t="s">
        <v>49</v>
      </c>
      <c r="C111" s="62" t="n">
        <v>1.6</v>
      </c>
      <c r="D111" s="29" t="s">
        <v>59</v>
      </c>
      <c r="E111" s="29" t="s">
        <v>58</v>
      </c>
    </row>
    <row r="112" customFormat="false" ht="14.25" hidden="false" customHeight="false" outlineLevel="0" collapsed="false">
      <c r="A112" s="1" t="n">
        <v>1115</v>
      </c>
      <c r="B112" s="29" t="s">
        <v>61</v>
      </c>
      <c r="C112" s="62" t="n">
        <v>1.5</v>
      </c>
      <c r="D112" s="29" t="s">
        <v>59</v>
      </c>
      <c r="E112" s="29" t="s">
        <v>57</v>
      </c>
    </row>
    <row r="113" customFormat="false" ht="14.25" hidden="false" customHeight="false" outlineLevel="0" collapsed="false">
      <c r="A113" s="1" t="n">
        <v>1116</v>
      </c>
      <c r="B113" s="29" t="s">
        <v>54</v>
      </c>
      <c r="C113" s="62" t="n">
        <v>19.1</v>
      </c>
      <c r="D113" s="29" t="s">
        <v>59</v>
      </c>
      <c r="E113" s="29" t="s">
        <v>66</v>
      </c>
    </row>
    <row r="114" customFormat="false" ht="14.25" hidden="false" customHeight="false" outlineLevel="0" collapsed="false">
      <c r="A114" s="1" t="n">
        <v>1117</v>
      </c>
      <c r="B114" s="29" t="s">
        <v>49</v>
      </c>
      <c r="C114" s="62" t="n">
        <v>4.3</v>
      </c>
      <c r="D114" s="29" t="s">
        <v>63</v>
      </c>
      <c r="E114" s="29" t="s">
        <v>58</v>
      </c>
    </row>
    <row r="115" customFormat="false" ht="14.25" hidden="false" customHeight="false" outlineLevel="0" collapsed="false">
      <c r="A115" s="1" t="n">
        <v>1118</v>
      </c>
      <c r="B115" s="29" t="s">
        <v>49</v>
      </c>
      <c r="C115" s="62" t="n">
        <v>4.8</v>
      </c>
      <c r="D115" s="29" t="s">
        <v>56</v>
      </c>
      <c r="E115" s="29" t="s">
        <v>58</v>
      </c>
    </row>
    <row r="116" customFormat="false" ht="14.25" hidden="false" customHeight="false" outlineLevel="0" collapsed="false">
      <c r="A116" s="1" t="n">
        <v>1119</v>
      </c>
      <c r="B116" s="29" t="s">
        <v>49</v>
      </c>
      <c r="C116" s="62" t="n">
        <v>2.1</v>
      </c>
      <c r="D116" s="29" t="s">
        <v>56</v>
      </c>
      <c r="E116" s="29" t="s">
        <v>53</v>
      </c>
    </row>
    <row r="117" customFormat="false" ht="14.25" hidden="false" customHeight="false" outlineLevel="0" collapsed="false">
      <c r="A117" s="1" t="n">
        <v>1120</v>
      </c>
      <c r="B117" s="29" t="s">
        <v>49</v>
      </c>
      <c r="C117" s="62" t="n">
        <v>12.2</v>
      </c>
      <c r="D117" s="29" t="s">
        <v>59</v>
      </c>
      <c r="E117" s="29" t="s">
        <v>58</v>
      </c>
    </row>
    <row r="118" customFormat="false" ht="14.25" hidden="false" customHeight="false" outlineLevel="0" collapsed="false">
      <c r="A118" s="1" t="n">
        <v>1121</v>
      </c>
      <c r="B118" s="29" t="s">
        <v>49</v>
      </c>
      <c r="C118" s="62" t="n">
        <v>7.8</v>
      </c>
      <c r="D118" s="29" t="s">
        <v>67</v>
      </c>
      <c r="E118" s="29" t="s">
        <v>53</v>
      </c>
    </row>
    <row r="119" customFormat="false" ht="14.25" hidden="false" customHeight="false" outlineLevel="0" collapsed="false">
      <c r="A119" s="1" t="n">
        <v>1122</v>
      </c>
      <c r="B119" s="29" t="s">
        <v>61</v>
      </c>
      <c r="C119" s="62" t="n">
        <v>4.3</v>
      </c>
      <c r="D119" s="29" t="s">
        <v>67</v>
      </c>
      <c r="E119" s="29" t="s">
        <v>58</v>
      </c>
    </row>
    <row r="120" customFormat="false" ht="14.25" hidden="false" customHeight="false" outlineLevel="0" collapsed="false">
      <c r="A120" s="1" t="n">
        <v>1123</v>
      </c>
      <c r="B120" s="29" t="s">
        <v>49</v>
      </c>
      <c r="C120" s="62" t="n">
        <v>5</v>
      </c>
      <c r="D120" s="29" t="s">
        <v>59</v>
      </c>
      <c r="E120" s="29" t="s">
        <v>58</v>
      </c>
    </row>
    <row r="121" customFormat="false" ht="14.25" hidden="false" customHeight="false" outlineLevel="0" collapsed="false">
      <c r="A121" s="1" t="n">
        <v>1124</v>
      </c>
      <c r="B121" s="29" t="s">
        <v>49</v>
      </c>
      <c r="C121" s="62" t="n">
        <v>3.1</v>
      </c>
      <c r="D121" s="29" t="s">
        <v>62</v>
      </c>
      <c r="E121" s="29" t="s">
        <v>53</v>
      </c>
    </row>
    <row r="122" customFormat="false" ht="14.25" hidden="false" customHeight="false" outlineLevel="0" collapsed="false">
      <c r="A122" s="1" t="n">
        <v>1125</v>
      </c>
      <c r="B122" s="29" t="s">
        <v>54</v>
      </c>
      <c r="C122" s="62" t="n">
        <v>75.1</v>
      </c>
      <c r="D122" s="29" t="s">
        <v>62</v>
      </c>
      <c r="E122" s="29" t="s">
        <v>66</v>
      </c>
    </row>
    <row r="123" customFormat="false" ht="14.25" hidden="false" customHeight="false" outlineLevel="0" collapsed="false">
      <c r="A123" s="1" t="n">
        <v>1126</v>
      </c>
      <c r="B123" s="29" t="s">
        <v>49</v>
      </c>
      <c r="C123" s="62" t="n">
        <v>1.4</v>
      </c>
      <c r="D123" s="29" t="s">
        <v>63</v>
      </c>
      <c r="E123" s="29" t="s">
        <v>57</v>
      </c>
    </row>
    <row r="124" customFormat="false" ht="14.25" hidden="false" customHeight="false" outlineLevel="0" collapsed="false">
      <c r="A124" s="1" t="n">
        <v>1127</v>
      </c>
      <c r="B124" s="29" t="s">
        <v>49</v>
      </c>
      <c r="C124" s="62" t="n">
        <v>6.6</v>
      </c>
      <c r="D124" s="29" t="s">
        <v>63</v>
      </c>
      <c r="E124" s="29" t="s">
        <v>57</v>
      </c>
    </row>
    <row r="125" customFormat="false" ht="14.25" hidden="false" customHeight="false" outlineLevel="0" collapsed="false">
      <c r="A125" s="1" t="n">
        <v>1128</v>
      </c>
      <c r="B125" s="29" t="s">
        <v>49</v>
      </c>
      <c r="C125" s="62" t="n">
        <v>6.9</v>
      </c>
      <c r="D125" s="29" t="s">
        <v>52</v>
      </c>
      <c r="E125" s="29" t="s">
        <v>58</v>
      </c>
    </row>
    <row r="126" customFormat="false" ht="14.25" hidden="false" customHeight="false" outlineLevel="0" collapsed="false">
      <c r="A126" s="1" t="n">
        <v>1129</v>
      </c>
      <c r="B126" s="29" t="s">
        <v>49</v>
      </c>
      <c r="C126" s="62" t="n">
        <v>4.2</v>
      </c>
      <c r="D126" s="29" t="s">
        <v>68</v>
      </c>
      <c r="E126" s="29" t="s">
        <v>53</v>
      </c>
    </row>
    <row r="127" customFormat="false" ht="14.25" hidden="false" customHeight="false" outlineLevel="0" collapsed="false">
      <c r="A127" s="1" t="n">
        <v>1130</v>
      </c>
      <c r="B127" s="29" t="s">
        <v>54</v>
      </c>
      <c r="C127" s="62" t="n">
        <v>15</v>
      </c>
      <c r="D127" s="29" t="s">
        <v>68</v>
      </c>
      <c r="E127" s="29" t="s">
        <v>66</v>
      </c>
    </row>
    <row r="128" customFormat="false" ht="14.25" hidden="false" customHeight="false" outlineLevel="0" collapsed="false">
      <c r="A128" s="1" t="n">
        <v>1131</v>
      </c>
      <c r="B128" s="29" t="s">
        <v>49</v>
      </c>
      <c r="C128" s="62" t="n">
        <v>4.3</v>
      </c>
      <c r="D128" s="29" t="s">
        <v>68</v>
      </c>
      <c r="E128" s="29" t="s">
        <v>58</v>
      </c>
    </row>
    <row r="129" customFormat="false" ht="14.25" hidden="false" customHeight="false" outlineLevel="0" collapsed="false">
      <c r="A129" s="1" t="n">
        <v>1132</v>
      </c>
      <c r="B129" s="29" t="s">
        <v>49</v>
      </c>
      <c r="C129" s="62" t="n">
        <v>3.7</v>
      </c>
      <c r="D129" s="29" t="s">
        <v>68</v>
      </c>
      <c r="E129" s="29" t="s">
        <v>58</v>
      </c>
    </row>
    <row r="130" customFormat="false" ht="14.25" hidden="false" customHeight="false" outlineLevel="0" collapsed="false">
      <c r="A130" s="1" t="n">
        <v>1133</v>
      </c>
      <c r="B130" s="29" t="s">
        <v>49</v>
      </c>
      <c r="C130" s="62" t="n">
        <v>5.8</v>
      </c>
      <c r="D130" s="29" t="s">
        <v>62</v>
      </c>
      <c r="E130" s="29" t="s">
        <v>58</v>
      </c>
    </row>
    <row r="131" customFormat="false" ht="14.25" hidden="false" customHeight="false" outlineLevel="0" collapsed="false">
      <c r="A131" s="1" t="n">
        <v>1134</v>
      </c>
      <c r="B131" s="29" t="s">
        <v>49</v>
      </c>
      <c r="C131" s="62" t="n">
        <v>1.6</v>
      </c>
      <c r="D131" s="29" t="s">
        <v>62</v>
      </c>
      <c r="E131" s="29" t="s">
        <v>58</v>
      </c>
    </row>
    <row r="132" customFormat="false" ht="14.25" hidden="false" customHeight="false" outlineLevel="0" collapsed="false">
      <c r="A132" s="1" t="n">
        <v>1135</v>
      </c>
      <c r="B132" s="29" t="s">
        <v>49</v>
      </c>
      <c r="C132" s="62" t="n">
        <v>5.6</v>
      </c>
      <c r="D132" s="29" t="s">
        <v>60</v>
      </c>
      <c r="E132" s="29" t="s">
        <v>58</v>
      </c>
    </row>
    <row r="133" customFormat="false" ht="14.25" hidden="false" customHeight="false" outlineLevel="0" collapsed="false">
      <c r="A133" s="1" t="n">
        <v>1136</v>
      </c>
      <c r="B133" s="29" t="s">
        <v>61</v>
      </c>
      <c r="C133" s="62" t="n">
        <v>15</v>
      </c>
      <c r="D133" s="29" t="s">
        <v>63</v>
      </c>
      <c r="E133" s="29" t="s">
        <v>51</v>
      </c>
    </row>
    <row r="134" customFormat="false" ht="14.25" hidden="false" customHeight="false" outlineLevel="0" collapsed="false">
      <c r="A134" s="1" t="n">
        <v>1137</v>
      </c>
      <c r="B134" s="29" t="s">
        <v>49</v>
      </c>
      <c r="C134" s="62" t="n">
        <v>12</v>
      </c>
      <c r="D134" s="29" t="s">
        <v>63</v>
      </c>
      <c r="E134" s="29" t="s">
        <v>58</v>
      </c>
    </row>
    <row r="135" customFormat="false" ht="14.25" hidden="false" customHeight="false" outlineLevel="0" collapsed="false">
      <c r="A135" s="1" t="n">
        <v>1138</v>
      </c>
      <c r="B135" s="29" t="s">
        <v>49</v>
      </c>
      <c r="C135" s="62" t="n">
        <v>5.4</v>
      </c>
      <c r="D135" s="29" t="s">
        <v>59</v>
      </c>
      <c r="E135" s="29" t="s">
        <v>57</v>
      </c>
    </row>
    <row r="136" customFormat="false" ht="14.25" hidden="false" customHeight="false" outlineLevel="0" collapsed="false">
      <c r="A136" s="1" t="n">
        <v>1139</v>
      </c>
      <c r="B136" s="29" t="s">
        <v>61</v>
      </c>
      <c r="C136" s="62" t="n">
        <v>2.1</v>
      </c>
      <c r="D136" s="29" t="s">
        <v>62</v>
      </c>
      <c r="E136" s="29" t="s">
        <v>53</v>
      </c>
    </row>
    <row r="137" customFormat="false" ht="14.25" hidden="false" customHeight="false" outlineLevel="0" collapsed="false">
      <c r="A137" s="1" t="n">
        <v>1140</v>
      </c>
      <c r="B137" s="29" t="s">
        <v>49</v>
      </c>
      <c r="C137" s="62" t="n">
        <v>5.5</v>
      </c>
      <c r="D137" s="29" t="s">
        <v>59</v>
      </c>
      <c r="E137" s="29" t="s">
        <v>58</v>
      </c>
    </row>
    <row r="138" customFormat="false" ht="14.25" hidden="false" customHeight="false" outlineLevel="0" collapsed="false">
      <c r="A138" s="1" t="n">
        <v>1141</v>
      </c>
      <c r="B138" s="29" t="s">
        <v>49</v>
      </c>
      <c r="C138" s="62" t="n">
        <v>0.5</v>
      </c>
      <c r="D138" s="29" t="s">
        <v>64</v>
      </c>
      <c r="E138" s="29" t="s">
        <v>58</v>
      </c>
    </row>
    <row r="139" customFormat="false" ht="14.25" hidden="false" customHeight="false" outlineLevel="0" collapsed="false">
      <c r="A139" s="1" t="n">
        <v>1142</v>
      </c>
      <c r="B139" s="29" t="s">
        <v>54</v>
      </c>
      <c r="C139" s="62" t="n">
        <v>58.6</v>
      </c>
      <c r="D139" s="29" t="s">
        <v>63</v>
      </c>
      <c r="E139" s="29" t="s">
        <v>55</v>
      </c>
    </row>
    <row r="140" customFormat="false" ht="14.25" hidden="false" customHeight="false" outlineLevel="0" collapsed="false">
      <c r="A140" s="1" t="n">
        <v>1143</v>
      </c>
      <c r="B140" s="29" t="s">
        <v>49</v>
      </c>
      <c r="C140" s="62" t="n">
        <v>4.3</v>
      </c>
      <c r="D140" s="29" t="s">
        <v>63</v>
      </c>
      <c r="E140" s="29" t="s">
        <v>58</v>
      </c>
    </row>
    <row r="141" customFormat="false" ht="14.25" hidden="false" customHeight="false" outlineLevel="0" collapsed="false">
      <c r="A141" s="1" t="n">
        <v>1144</v>
      </c>
      <c r="B141" s="29" t="s">
        <v>49</v>
      </c>
      <c r="C141" s="62" t="n">
        <v>5.7</v>
      </c>
      <c r="D141" s="29" t="s">
        <v>56</v>
      </c>
      <c r="E141" s="29" t="s">
        <v>58</v>
      </c>
    </row>
    <row r="142" customFormat="false" ht="14.25" hidden="false" customHeight="false" outlineLevel="0" collapsed="false">
      <c r="A142" s="1" t="n">
        <v>1145</v>
      </c>
      <c r="B142" s="29" t="s">
        <v>49</v>
      </c>
      <c r="C142" s="62" t="n">
        <v>9.6</v>
      </c>
      <c r="D142" s="29" t="s">
        <v>63</v>
      </c>
      <c r="E142" s="29" t="s">
        <v>53</v>
      </c>
    </row>
    <row r="143" customFormat="false" ht="14.25" hidden="false" customHeight="false" outlineLevel="0" collapsed="false">
      <c r="A143" s="1" t="n">
        <v>1146</v>
      </c>
      <c r="B143" s="29" t="s">
        <v>54</v>
      </c>
      <c r="C143" s="62" t="n">
        <v>42</v>
      </c>
      <c r="D143" s="29" t="s">
        <v>59</v>
      </c>
      <c r="E143" s="29" t="s">
        <v>55</v>
      </c>
    </row>
    <row r="144" customFormat="false" ht="14.25" hidden="false" customHeight="false" outlineLevel="0" collapsed="false">
      <c r="A144" s="1" t="n">
        <v>1147</v>
      </c>
      <c r="B144" s="29" t="s">
        <v>49</v>
      </c>
      <c r="C144" s="62" t="n">
        <v>9.6</v>
      </c>
      <c r="D144" s="29" t="s">
        <v>56</v>
      </c>
      <c r="E144" s="29" t="s">
        <v>53</v>
      </c>
    </row>
    <row r="145" customFormat="false" ht="14.25" hidden="false" customHeight="false" outlineLevel="0" collapsed="false">
      <c r="A145" s="1" t="n">
        <v>1148</v>
      </c>
      <c r="B145" s="29" t="s">
        <v>49</v>
      </c>
      <c r="C145" s="62" t="n">
        <v>9.6</v>
      </c>
      <c r="D145" s="29" t="s">
        <v>56</v>
      </c>
      <c r="E145" s="29" t="s">
        <v>53</v>
      </c>
    </row>
    <row r="146" customFormat="false" ht="14.25" hidden="false" customHeight="false" outlineLevel="0" collapsed="false">
      <c r="A146" s="1" t="n">
        <v>1149</v>
      </c>
      <c r="B146" s="29" t="s">
        <v>54</v>
      </c>
      <c r="C146" s="62" t="n">
        <v>46.8</v>
      </c>
      <c r="D146" s="29" t="s">
        <v>59</v>
      </c>
      <c r="E146" s="29" t="s">
        <v>55</v>
      </c>
    </row>
    <row r="147" customFormat="false" ht="14.25" hidden="false" customHeight="false" outlineLevel="0" collapsed="false">
      <c r="A147" s="1" t="n">
        <v>1150</v>
      </c>
      <c r="B147" s="29" t="s">
        <v>49</v>
      </c>
      <c r="C147" s="62" t="n">
        <v>3.2</v>
      </c>
      <c r="D147" s="29" t="s">
        <v>67</v>
      </c>
      <c r="E147" s="29" t="s">
        <v>58</v>
      </c>
    </row>
    <row r="148" customFormat="false" ht="14.25" hidden="false" customHeight="false" outlineLevel="0" collapsed="false">
      <c r="A148" s="1" t="n">
        <v>1151</v>
      </c>
      <c r="B148" s="29" t="s">
        <v>61</v>
      </c>
      <c r="C148" s="62" t="n">
        <v>10</v>
      </c>
      <c r="D148" s="29" t="s">
        <v>56</v>
      </c>
      <c r="E148" s="29" t="s">
        <v>58</v>
      </c>
    </row>
    <row r="149" customFormat="false" ht="14.25" hidden="false" customHeight="false" outlineLevel="0" collapsed="false">
      <c r="A149" s="1" t="n">
        <v>1152</v>
      </c>
      <c r="B149" s="29" t="s">
        <v>49</v>
      </c>
      <c r="C149" s="62" t="n">
        <v>3.8</v>
      </c>
      <c r="D149" s="29" t="s">
        <v>56</v>
      </c>
      <c r="E149" s="29" t="s">
        <v>53</v>
      </c>
    </row>
    <row r="150" customFormat="false" ht="14.25" hidden="false" customHeight="false" outlineLevel="0" collapsed="false">
      <c r="A150" s="1" t="n">
        <v>1153</v>
      </c>
      <c r="B150" s="29" t="s">
        <v>49</v>
      </c>
      <c r="C150" s="62" t="n">
        <v>3.9</v>
      </c>
      <c r="D150" s="29" t="s">
        <v>50</v>
      </c>
      <c r="E150" s="29" t="s">
        <v>57</v>
      </c>
    </row>
    <row r="151" customFormat="false" ht="14.25" hidden="false" customHeight="false" outlineLevel="0" collapsed="false">
      <c r="A151" s="1" t="n">
        <v>1154</v>
      </c>
      <c r="B151" s="29" t="s">
        <v>49</v>
      </c>
      <c r="C151" s="62" t="n">
        <v>8.2</v>
      </c>
      <c r="D151" s="29" t="s">
        <v>64</v>
      </c>
      <c r="E151" s="29" t="s">
        <v>58</v>
      </c>
    </row>
    <row r="152" customFormat="false" ht="14.25" hidden="false" customHeight="false" outlineLevel="0" collapsed="false">
      <c r="A152" s="1" t="n">
        <v>1155</v>
      </c>
      <c r="B152" s="29" t="s">
        <v>49</v>
      </c>
      <c r="C152" s="62" t="n">
        <v>9.6</v>
      </c>
      <c r="D152" s="29" t="s">
        <v>64</v>
      </c>
      <c r="E152" s="29" t="s">
        <v>58</v>
      </c>
    </row>
    <row r="153" customFormat="false" ht="14.25" hidden="false" customHeight="false" outlineLevel="0" collapsed="false">
      <c r="A153" s="1" t="n">
        <v>1156</v>
      </c>
      <c r="B153" s="29" t="s">
        <v>49</v>
      </c>
      <c r="C153" s="62" t="n">
        <v>0.5</v>
      </c>
      <c r="D153" s="29" t="s">
        <v>64</v>
      </c>
      <c r="E153" s="29" t="s">
        <v>58</v>
      </c>
    </row>
    <row r="154" customFormat="false" ht="14.25" hidden="false" customHeight="false" outlineLevel="0" collapsed="false">
      <c r="A154" s="1" t="n">
        <v>1157</v>
      </c>
      <c r="B154" s="29" t="s">
        <v>61</v>
      </c>
      <c r="C154" s="62" t="n">
        <v>6.9</v>
      </c>
      <c r="D154" s="29" t="s">
        <v>64</v>
      </c>
      <c r="E154" s="29" t="s">
        <v>58</v>
      </c>
    </row>
    <row r="155" customFormat="false" ht="14.25" hidden="false" customHeight="false" outlineLevel="0" collapsed="false">
      <c r="A155" s="1" t="n">
        <v>1158</v>
      </c>
      <c r="B155" s="29" t="s">
        <v>49</v>
      </c>
      <c r="C155" s="62" t="n">
        <v>0.5</v>
      </c>
      <c r="D155" s="29" t="s">
        <v>60</v>
      </c>
      <c r="E155" s="29" t="s">
        <v>58</v>
      </c>
    </row>
    <row r="156" customFormat="false" ht="14.25" hidden="false" customHeight="false" outlineLevel="0" collapsed="false">
      <c r="A156" s="1" t="n">
        <v>1159</v>
      </c>
      <c r="B156" s="29" t="s">
        <v>54</v>
      </c>
      <c r="C156" s="62" t="n">
        <v>31.3</v>
      </c>
      <c r="D156" s="29" t="s">
        <v>59</v>
      </c>
      <c r="E156" s="29" t="s">
        <v>55</v>
      </c>
    </row>
    <row r="157" customFormat="false" ht="14.25" hidden="false" customHeight="false" outlineLevel="0" collapsed="false">
      <c r="A157" s="1" t="n">
        <v>1160</v>
      </c>
      <c r="B157" s="29" t="s">
        <v>49</v>
      </c>
      <c r="C157" s="62" t="n">
        <v>6.1</v>
      </c>
      <c r="D157" s="29" t="s">
        <v>67</v>
      </c>
      <c r="E157" s="29" t="s">
        <v>58</v>
      </c>
    </row>
    <row r="158" customFormat="false" ht="14.25" hidden="false" customHeight="false" outlineLevel="0" collapsed="false">
      <c r="A158" s="1" t="n">
        <v>1161</v>
      </c>
      <c r="B158" s="29" t="s">
        <v>54</v>
      </c>
      <c r="C158" s="62" t="n">
        <v>44.9</v>
      </c>
      <c r="D158" s="29" t="s">
        <v>52</v>
      </c>
      <c r="E158" s="29" t="s">
        <v>66</v>
      </c>
    </row>
    <row r="159" customFormat="false" ht="14.25" hidden="false" customHeight="false" outlineLevel="0" collapsed="false">
      <c r="A159" s="1" t="n">
        <v>1162</v>
      </c>
      <c r="B159" s="29" t="s">
        <v>49</v>
      </c>
      <c r="C159" s="62" t="n">
        <v>4.3</v>
      </c>
      <c r="D159" s="29" t="s">
        <v>52</v>
      </c>
      <c r="E159" s="29" t="s">
        <v>53</v>
      </c>
    </row>
    <row r="160" customFormat="false" ht="14.25" hidden="false" customHeight="false" outlineLevel="0" collapsed="false">
      <c r="A160" s="1" t="n">
        <v>1163</v>
      </c>
      <c r="B160" s="29" t="s">
        <v>61</v>
      </c>
      <c r="C160" s="62" t="n">
        <v>9.4</v>
      </c>
      <c r="D160" s="29" t="s">
        <v>60</v>
      </c>
      <c r="E160" s="29" t="s">
        <v>58</v>
      </c>
    </row>
    <row r="161" customFormat="false" ht="14.25" hidden="false" customHeight="false" outlineLevel="0" collapsed="false">
      <c r="A161" s="1" t="n">
        <v>1164</v>
      </c>
      <c r="B161" s="29" t="s">
        <v>54</v>
      </c>
      <c r="C161" s="62" t="n">
        <v>69.3</v>
      </c>
      <c r="D161" s="29" t="s">
        <v>69</v>
      </c>
      <c r="E161" s="29" t="s">
        <v>66</v>
      </c>
    </row>
    <row r="162" customFormat="false" ht="14.25" hidden="false" customHeight="false" outlineLevel="0" collapsed="false">
      <c r="A162" s="1" t="n">
        <v>1165</v>
      </c>
      <c r="B162" s="29" t="s">
        <v>49</v>
      </c>
      <c r="C162" s="62" t="n">
        <v>14.2</v>
      </c>
      <c r="D162" s="29" t="s">
        <v>67</v>
      </c>
      <c r="E162" s="29" t="s">
        <v>58</v>
      </c>
    </row>
    <row r="163" customFormat="false" ht="14.25" hidden="false" customHeight="false" outlineLevel="0" collapsed="false">
      <c r="A163" s="1" t="n">
        <v>1166</v>
      </c>
      <c r="B163" s="29" t="s">
        <v>54</v>
      </c>
      <c r="C163" s="62" t="n">
        <v>69.2</v>
      </c>
      <c r="D163" s="29" t="s">
        <v>67</v>
      </c>
      <c r="E163" s="29" t="s">
        <v>55</v>
      </c>
    </row>
    <row r="164" customFormat="false" ht="14.25" hidden="false" customHeight="false" outlineLevel="0" collapsed="false">
      <c r="A164" s="1" t="n">
        <v>1167</v>
      </c>
      <c r="B164" s="29" t="s">
        <v>61</v>
      </c>
      <c r="C164" s="62" t="n">
        <v>13.5</v>
      </c>
      <c r="D164" s="29" t="s">
        <v>70</v>
      </c>
      <c r="E164" s="29" t="s">
        <v>51</v>
      </c>
    </row>
    <row r="165" customFormat="false" ht="14.25" hidden="false" customHeight="false" outlineLevel="0" collapsed="false">
      <c r="A165" s="1" t="n">
        <v>1168</v>
      </c>
      <c r="B165" s="29" t="s">
        <v>49</v>
      </c>
      <c r="C165" s="62" t="n">
        <v>3.1</v>
      </c>
      <c r="D165" s="29" t="s">
        <v>63</v>
      </c>
      <c r="E165" s="29" t="s">
        <v>57</v>
      </c>
    </row>
    <row r="166" customFormat="false" ht="14.25" hidden="false" customHeight="false" outlineLevel="0" collapsed="false">
      <c r="A166" s="1" t="n">
        <v>1169</v>
      </c>
      <c r="B166" s="29" t="s">
        <v>61</v>
      </c>
      <c r="C166" s="62" t="n">
        <v>5.7</v>
      </c>
      <c r="D166" s="29" t="s">
        <v>52</v>
      </c>
      <c r="E166" s="29" t="s">
        <v>58</v>
      </c>
    </row>
    <row r="167" customFormat="false" ht="14.25" hidden="false" customHeight="false" outlineLevel="0" collapsed="false">
      <c r="A167" s="1" t="n">
        <v>1170</v>
      </c>
      <c r="B167" s="29" t="s">
        <v>49</v>
      </c>
      <c r="C167" s="62" t="n">
        <v>1.1</v>
      </c>
      <c r="D167" s="29" t="s">
        <v>52</v>
      </c>
      <c r="E167" s="29" t="s">
        <v>58</v>
      </c>
    </row>
    <row r="168" customFormat="false" ht="14.25" hidden="false" customHeight="false" outlineLevel="0" collapsed="false">
      <c r="A168" s="1" t="n">
        <v>1171</v>
      </c>
      <c r="B168" s="29" t="s">
        <v>49</v>
      </c>
      <c r="C168" s="62" t="n">
        <v>2.1</v>
      </c>
      <c r="D168" s="29" t="s">
        <v>52</v>
      </c>
      <c r="E168" s="29" t="s">
        <v>53</v>
      </c>
    </row>
    <row r="169" customFormat="false" ht="14.25" hidden="false" customHeight="false" outlineLevel="0" collapsed="false">
      <c r="A169" s="1" t="n">
        <v>1172</v>
      </c>
      <c r="B169" s="29" t="s">
        <v>61</v>
      </c>
      <c r="C169" s="62" t="n">
        <v>6.4</v>
      </c>
      <c r="D169" s="29" t="s">
        <v>59</v>
      </c>
      <c r="E169" s="29" t="s">
        <v>58</v>
      </c>
    </row>
    <row r="170" customFormat="false" ht="14.25" hidden="false" customHeight="false" outlineLevel="0" collapsed="false">
      <c r="A170" s="1" t="n">
        <v>1173</v>
      </c>
      <c r="B170" s="29" t="s">
        <v>54</v>
      </c>
      <c r="C170" s="62" t="n">
        <v>32.1</v>
      </c>
      <c r="D170" s="29" t="s">
        <v>62</v>
      </c>
      <c r="E170" s="29" t="s">
        <v>66</v>
      </c>
    </row>
    <row r="171" customFormat="false" ht="14.25" hidden="false" customHeight="false" outlineLevel="0" collapsed="false">
      <c r="A171" s="1" t="n">
        <v>1174</v>
      </c>
      <c r="B171" s="29" t="s">
        <v>49</v>
      </c>
      <c r="C171" s="62" t="n">
        <v>22.7</v>
      </c>
      <c r="D171" s="29" t="s">
        <v>62</v>
      </c>
      <c r="E171" s="29" t="s">
        <v>65</v>
      </c>
    </row>
    <row r="172" customFormat="false" ht="14.25" hidden="false" customHeight="false" outlineLevel="0" collapsed="false">
      <c r="A172" s="1" t="n">
        <v>1175</v>
      </c>
      <c r="B172" s="29" t="s">
        <v>49</v>
      </c>
      <c r="C172" s="62" t="n">
        <v>3.2</v>
      </c>
      <c r="D172" s="29" t="s">
        <v>64</v>
      </c>
      <c r="E172" s="29" t="s">
        <v>58</v>
      </c>
    </row>
    <row r="173" customFormat="false" ht="14.25" hidden="false" customHeight="false" outlineLevel="0" collapsed="false">
      <c r="A173" s="1" t="n">
        <v>1176</v>
      </c>
      <c r="B173" s="29" t="s">
        <v>49</v>
      </c>
      <c r="C173" s="62" t="n">
        <v>5.4</v>
      </c>
      <c r="D173" s="29" t="s">
        <v>50</v>
      </c>
      <c r="E173" s="29" t="s">
        <v>51</v>
      </c>
    </row>
    <row r="174" customFormat="false" ht="14.25" hidden="false" customHeight="false" outlineLevel="0" collapsed="false">
      <c r="A174" s="1" t="n">
        <v>1177</v>
      </c>
      <c r="B174" s="29" t="s">
        <v>49</v>
      </c>
      <c r="C174" s="62" t="n">
        <v>5.6</v>
      </c>
      <c r="D174" s="29" t="s">
        <v>50</v>
      </c>
      <c r="E174" s="29" t="s">
        <v>58</v>
      </c>
    </row>
    <row r="175" customFormat="false" ht="14.25" hidden="false" customHeight="false" outlineLevel="0" collapsed="false">
      <c r="A175" s="1" t="n">
        <v>1178</v>
      </c>
      <c r="B175" s="29" t="s">
        <v>49</v>
      </c>
      <c r="C175" s="62" t="n">
        <v>1.3</v>
      </c>
      <c r="D175" s="29" t="s">
        <v>50</v>
      </c>
      <c r="E175" s="29" t="s">
        <v>53</v>
      </c>
    </row>
    <row r="176" customFormat="false" ht="14.25" hidden="false" customHeight="false" outlineLevel="0" collapsed="false">
      <c r="A176" s="1" t="n">
        <v>1179</v>
      </c>
      <c r="B176" s="29" t="s">
        <v>49</v>
      </c>
      <c r="C176" s="62" t="n">
        <v>26.2</v>
      </c>
      <c r="D176" s="29" t="s">
        <v>59</v>
      </c>
      <c r="E176" s="29" t="s">
        <v>65</v>
      </c>
    </row>
    <row r="177" customFormat="false" ht="14.25" hidden="false" customHeight="false" outlineLevel="0" collapsed="false">
      <c r="A177" s="1" t="n">
        <v>1180</v>
      </c>
      <c r="B177" s="29" t="s">
        <v>49</v>
      </c>
      <c r="C177" s="62" t="n">
        <v>5.4</v>
      </c>
      <c r="D177" s="29" t="s">
        <v>52</v>
      </c>
      <c r="E177" s="29" t="s">
        <v>53</v>
      </c>
    </row>
    <row r="178" customFormat="false" ht="14.25" hidden="false" customHeight="false" outlineLevel="0" collapsed="false">
      <c r="A178" s="1" t="n">
        <v>1181</v>
      </c>
      <c r="B178" s="29" t="s">
        <v>49</v>
      </c>
      <c r="C178" s="62" t="n">
        <v>11.1</v>
      </c>
      <c r="D178" s="29" t="s">
        <v>52</v>
      </c>
      <c r="E178" s="29" t="s">
        <v>58</v>
      </c>
    </row>
    <row r="179" customFormat="false" ht="14.25" hidden="false" customHeight="false" outlineLevel="0" collapsed="false">
      <c r="A179" s="1" t="n">
        <v>1182</v>
      </c>
      <c r="B179" s="29" t="s">
        <v>49</v>
      </c>
      <c r="C179" s="62" t="n">
        <v>5.4</v>
      </c>
      <c r="D179" s="29" t="s">
        <v>64</v>
      </c>
      <c r="E179" s="29" t="s">
        <v>51</v>
      </c>
    </row>
    <row r="180" customFormat="false" ht="14.25" hidden="false" customHeight="false" outlineLevel="0" collapsed="false">
      <c r="A180" s="1" t="n">
        <v>1183</v>
      </c>
      <c r="B180" s="29" t="s">
        <v>49</v>
      </c>
      <c r="C180" s="62" t="n">
        <v>2.4</v>
      </c>
      <c r="D180" s="29" t="s">
        <v>60</v>
      </c>
      <c r="E180" s="29" t="s">
        <v>57</v>
      </c>
    </row>
    <row r="181" customFormat="false" ht="14.25" hidden="false" customHeight="false" outlineLevel="0" collapsed="false">
      <c r="A181" s="1" t="n">
        <v>1184</v>
      </c>
      <c r="B181" s="29" t="s">
        <v>49</v>
      </c>
      <c r="C181" s="62" t="n">
        <v>21.4</v>
      </c>
      <c r="D181" s="29" t="s">
        <v>62</v>
      </c>
      <c r="E181" s="29" t="s">
        <v>58</v>
      </c>
    </row>
    <row r="182" customFormat="false" ht="14.25" hidden="false" customHeight="false" outlineLevel="0" collapsed="false">
      <c r="A182" s="1" t="n">
        <v>1185</v>
      </c>
      <c r="B182" s="29" t="s">
        <v>49</v>
      </c>
      <c r="C182" s="62" t="n">
        <v>4.1</v>
      </c>
      <c r="D182" s="29" t="s">
        <v>62</v>
      </c>
      <c r="E182" s="29" t="s">
        <v>53</v>
      </c>
    </row>
    <row r="183" customFormat="false" ht="14.25" hidden="false" customHeight="false" outlineLevel="0" collapsed="false">
      <c r="A183" s="1" t="n">
        <v>1186</v>
      </c>
      <c r="B183" s="29" t="s">
        <v>49</v>
      </c>
      <c r="C183" s="62" t="n">
        <v>3.2</v>
      </c>
      <c r="D183" s="29" t="s">
        <v>62</v>
      </c>
      <c r="E183" s="29" t="s">
        <v>58</v>
      </c>
    </row>
    <row r="184" customFormat="false" ht="14.25" hidden="false" customHeight="false" outlineLevel="0" collapsed="false">
      <c r="A184" s="1" t="n">
        <v>1187</v>
      </c>
      <c r="B184" s="29" t="s">
        <v>54</v>
      </c>
      <c r="C184" s="62" t="n">
        <v>45.5</v>
      </c>
      <c r="D184" s="29" t="s">
        <v>67</v>
      </c>
      <c r="E184" s="29" t="s">
        <v>66</v>
      </c>
    </row>
    <row r="185" customFormat="false" ht="14.25" hidden="false" customHeight="false" outlineLevel="0" collapsed="false">
      <c r="A185" s="1" t="n">
        <v>1188</v>
      </c>
      <c r="B185" s="29" t="s">
        <v>49</v>
      </c>
      <c r="C185" s="62" t="n">
        <v>42.4</v>
      </c>
      <c r="D185" s="29" t="s">
        <v>64</v>
      </c>
      <c r="E185" s="29" t="s">
        <v>51</v>
      </c>
    </row>
    <row r="186" customFormat="false" ht="14.25" hidden="false" customHeight="false" outlineLevel="0" collapsed="false">
      <c r="A186" s="1" t="n">
        <v>1189</v>
      </c>
      <c r="B186" s="29" t="s">
        <v>49</v>
      </c>
      <c r="C186" s="62" t="n">
        <v>1.1</v>
      </c>
      <c r="D186" s="29" t="s">
        <v>64</v>
      </c>
      <c r="E186" s="29" t="s">
        <v>57</v>
      </c>
    </row>
    <row r="187" customFormat="false" ht="14.25" hidden="false" customHeight="false" outlineLevel="0" collapsed="false">
      <c r="A187" s="1" t="n">
        <v>1190</v>
      </c>
      <c r="B187" s="29" t="s">
        <v>49</v>
      </c>
      <c r="C187" s="62" t="n">
        <v>26.2</v>
      </c>
      <c r="D187" s="29" t="s">
        <v>63</v>
      </c>
      <c r="E187" s="29" t="s">
        <v>65</v>
      </c>
    </row>
    <row r="188" customFormat="false" ht="14.25" hidden="false" customHeight="false" outlineLevel="0" collapsed="false">
      <c r="A188" s="1" t="n">
        <v>1191</v>
      </c>
      <c r="B188" s="29" t="s">
        <v>54</v>
      </c>
      <c r="C188" s="62" t="n">
        <v>64.2</v>
      </c>
      <c r="D188" s="29" t="s">
        <v>63</v>
      </c>
      <c r="E188" s="29" t="s">
        <v>66</v>
      </c>
    </row>
    <row r="189" customFormat="false" ht="14.25" hidden="false" customHeight="false" outlineLevel="0" collapsed="false">
      <c r="A189" s="1" t="n">
        <v>1192</v>
      </c>
      <c r="B189" s="29" t="s">
        <v>49</v>
      </c>
      <c r="C189" s="62" t="n">
        <v>5.7</v>
      </c>
      <c r="D189" s="29" t="s">
        <v>63</v>
      </c>
      <c r="E189" s="29" t="s">
        <v>51</v>
      </c>
    </row>
    <row r="190" customFormat="false" ht="14.25" hidden="false" customHeight="false" outlineLevel="0" collapsed="false">
      <c r="A190" s="1" t="n">
        <v>1193</v>
      </c>
      <c r="B190" s="29" t="s">
        <v>49</v>
      </c>
      <c r="C190" s="62" t="n">
        <v>1.4</v>
      </c>
      <c r="D190" s="29" t="s">
        <v>63</v>
      </c>
      <c r="E190" s="29" t="s">
        <v>57</v>
      </c>
    </row>
    <row r="191" customFormat="false" ht="14.25" hidden="false" customHeight="false" outlineLevel="0" collapsed="false">
      <c r="A191" s="1" t="n">
        <v>1194</v>
      </c>
      <c r="B191" s="29" t="s">
        <v>61</v>
      </c>
      <c r="C191" s="62" t="n">
        <v>5.7</v>
      </c>
      <c r="D191" s="29" t="s">
        <v>63</v>
      </c>
      <c r="E191" s="29" t="s">
        <v>58</v>
      </c>
    </row>
    <row r="192" customFormat="false" ht="14.25" hidden="false" customHeight="false" outlineLevel="0" collapsed="false">
      <c r="A192" s="1" t="n">
        <v>1195</v>
      </c>
      <c r="B192" s="29" t="s">
        <v>61</v>
      </c>
      <c r="C192" s="62" t="n">
        <v>11.4</v>
      </c>
      <c r="D192" s="29" t="s">
        <v>63</v>
      </c>
      <c r="E192" s="29" t="s">
        <v>58</v>
      </c>
    </row>
    <row r="193" customFormat="false" ht="14.25" hidden="false" customHeight="false" outlineLevel="0" collapsed="false">
      <c r="A193" s="1" t="n">
        <v>1196</v>
      </c>
      <c r="B193" s="29" t="s">
        <v>49</v>
      </c>
      <c r="C193" s="62" t="n">
        <v>21.4</v>
      </c>
      <c r="D193" s="29" t="s">
        <v>60</v>
      </c>
      <c r="E193" s="29" t="s">
        <v>58</v>
      </c>
    </row>
    <row r="194" customFormat="false" ht="14.25" hidden="false" customHeight="false" outlineLevel="0" collapsed="false">
      <c r="A194" s="1" t="n">
        <v>1197</v>
      </c>
      <c r="B194" s="29" t="s">
        <v>61</v>
      </c>
      <c r="C194" s="62" t="n">
        <v>7.1</v>
      </c>
      <c r="D194" s="29" t="s">
        <v>60</v>
      </c>
      <c r="E194" s="29" t="s">
        <v>58</v>
      </c>
    </row>
    <row r="195" customFormat="false" ht="14.25" hidden="false" customHeight="false" outlineLevel="0" collapsed="false">
      <c r="A195" s="1" t="n">
        <v>1198</v>
      </c>
      <c r="B195" s="29" t="s">
        <v>49</v>
      </c>
      <c r="C195" s="62" t="n">
        <v>5.5</v>
      </c>
      <c r="D195" s="29" t="s">
        <v>60</v>
      </c>
      <c r="E195" s="29" t="s">
        <v>58</v>
      </c>
    </row>
    <row r="196" customFormat="false" ht="14.25" hidden="false" customHeight="false" outlineLevel="0" collapsed="false">
      <c r="A196" s="1" t="n">
        <v>1199</v>
      </c>
      <c r="B196" s="29" t="s">
        <v>49</v>
      </c>
      <c r="C196" s="62" t="n">
        <v>4.3</v>
      </c>
      <c r="D196" s="29" t="s">
        <v>50</v>
      </c>
      <c r="E196" s="29" t="s">
        <v>58</v>
      </c>
    </row>
    <row r="197" customFormat="false" ht="14.25" hidden="false" customHeight="false" outlineLevel="0" collapsed="false">
      <c r="A197" s="1" t="n">
        <v>1200</v>
      </c>
      <c r="B197" s="29" t="s">
        <v>61</v>
      </c>
      <c r="C197" s="62" t="n">
        <v>4.4</v>
      </c>
      <c r="D197" s="29" t="s">
        <v>56</v>
      </c>
      <c r="E197" s="29" t="s">
        <v>53</v>
      </c>
    </row>
    <row r="198" customFormat="false" ht="14.25" hidden="false" customHeight="false" outlineLevel="0" collapsed="false">
      <c r="A198" s="1" t="n">
        <v>1201</v>
      </c>
      <c r="B198" s="29" t="s">
        <v>49</v>
      </c>
      <c r="C198" s="62" t="n">
        <v>7.1</v>
      </c>
      <c r="D198" s="29" t="s">
        <v>50</v>
      </c>
      <c r="E198" s="29" t="s">
        <v>58</v>
      </c>
    </row>
    <row r="199" customFormat="false" ht="14.25" hidden="false" customHeight="false" outlineLevel="0" collapsed="false">
      <c r="A199" s="1" t="n">
        <v>1202</v>
      </c>
      <c r="B199" s="29" t="s">
        <v>61</v>
      </c>
      <c r="C199" s="62" t="n">
        <v>6.5</v>
      </c>
      <c r="D199" s="29" t="s">
        <v>52</v>
      </c>
      <c r="E199" s="29" t="s">
        <v>58</v>
      </c>
    </row>
    <row r="200" customFormat="false" ht="14.25" hidden="false" customHeight="false" outlineLevel="0" collapsed="false">
      <c r="A200" s="1" t="n">
        <v>1203</v>
      </c>
      <c r="B200" s="29" t="s">
        <v>49</v>
      </c>
      <c r="C200" s="62" t="n">
        <v>40.2</v>
      </c>
      <c r="D200" s="29" t="s">
        <v>56</v>
      </c>
      <c r="E200" s="29" t="s">
        <v>57</v>
      </c>
    </row>
    <row r="201" customFormat="false" ht="14.25" hidden="false" customHeight="false" outlineLevel="0" collapsed="false">
      <c r="A201" s="1" t="n">
        <v>1204</v>
      </c>
      <c r="B201" s="29" t="s">
        <v>54</v>
      </c>
      <c r="C201" s="62" t="n">
        <v>91.6</v>
      </c>
      <c r="D201" s="29" t="s">
        <v>56</v>
      </c>
      <c r="E201" s="29" t="s">
        <v>55</v>
      </c>
    </row>
    <row r="202" customFormat="false" ht="14.25" hidden="false" customHeight="false" outlineLevel="0" collapsed="false">
      <c r="A202" s="1" t="n">
        <v>1205</v>
      </c>
      <c r="B202" s="29" t="s">
        <v>61</v>
      </c>
      <c r="C202" s="62" t="n">
        <v>3.9</v>
      </c>
      <c r="D202" s="29" t="s">
        <v>56</v>
      </c>
      <c r="E202" s="29" t="s">
        <v>53</v>
      </c>
    </row>
    <row r="203" customFormat="false" ht="14.25" hidden="false" customHeight="false" outlineLevel="0" collapsed="false">
      <c r="A203" s="1" t="n">
        <v>1206</v>
      </c>
      <c r="B203" s="29" t="s">
        <v>49</v>
      </c>
      <c r="C203" s="62" t="n">
        <v>0.7</v>
      </c>
      <c r="D203" s="29" t="s">
        <v>56</v>
      </c>
      <c r="E203" s="29" t="s">
        <v>57</v>
      </c>
    </row>
    <row r="204" customFormat="false" ht="14.25" hidden="false" customHeight="false" outlineLevel="0" collapsed="false">
      <c r="A204" s="1" t="n">
        <v>1207</v>
      </c>
      <c r="B204" s="29" t="s">
        <v>49</v>
      </c>
      <c r="C204" s="62" t="n">
        <v>5</v>
      </c>
      <c r="D204" s="29" t="s">
        <v>68</v>
      </c>
      <c r="E204" s="29" t="s">
        <v>53</v>
      </c>
    </row>
    <row r="205" customFormat="false" ht="14.25" hidden="false" customHeight="false" outlineLevel="0" collapsed="false">
      <c r="A205" s="1" t="n">
        <v>1208</v>
      </c>
      <c r="B205" s="29" t="s">
        <v>49</v>
      </c>
      <c r="C205" s="62" t="n">
        <v>21.4</v>
      </c>
      <c r="D205" s="29" t="s">
        <v>59</v>
      </c>
      <c r="E205" s="29" t="s">
        <v>58</v>
      </c>
    </row>
    <row r="206" customFormat="false" ht="14.25" hidden="false" customHeight="false" outlineLevel="0" collapsed="false">
      <c r="A206" s="1" t="n">
        <v>1209</v>
      </c>
      <c r="B206" s="29" t="s">
        <v>49</v>
      </c>
      <c r="C206" s="62" t="n">
        <v>4.8</v>
      </c>
      <c r="D206" s="29" t="s">
        <v>59</v>
      </c>
      <c r="E206" s="29" t="s">
        <v>58</v>
      </c>
    </row>
    <row r="207" customFormat="false" ht="14.25" hidden="false" customHeight="false" outlineLevel="0" collapsed="false">
      <c r="A207" s="1" t="n">
        <v>1210</v>
      </c>
      <c r="B207" s="29" t="s">
        <v>49</v>
      </c>
      <c r="C207" s="62" t="n">
        <v>0.5</v>
      </c>
      <c r="D207" s="29" t="s">
        <v>60</v>
      </c>
      <c r="E207" s="29" t="s">
        <v>58</v>
      </c>
    </row>
    <row r="208" customFormat="false" ht="14.25" hidden="false" customHeight="false" outlineLevel="0" collapsed="false">
      <c r="A208" s="1" t="n">
        <v>1211</v>
      </c>
      <c r="B208" s="29" t="s">
        <v>61</v>
      </c>
      <c r="C208" s="62" t="n">
        <v>2.1</v>
      </c>
      <c r="D208" s="29" t="s">
        <v>67</v>
      </c>
      <c r="E208" s="29" t="s">
        <v>57</v>
      </c>
    </row>
    <row r="209" customFormat="false" ht="14.25" hidden="false" customHeight="false" outlineLevel="0" collapsed="false">
      <c r="A209" s="1" t="n">
        <v>1212</v>
      </c>
      <c r="B209" s="29" t="s">
        <v>61</v>
      </c>
      <c r="C209" s="62" t="n">
        <v>6.2</v>
      </c>
      <c r="D209" s="29" t="s">
        <v>59</v>
      </c>
      <c r="E209" s="29" t="s">
        <v>57</v>
      </c>
    </row>
    <row r="210" customFormat="false" ht="14.25" hidden="false" customHeight="false" outlineLevel="0" collapsed="false">
      <c r="A210" s="1" t="n">
        <v>1213</v>
      </c>
      <c r="B210" s="29" t="s">
        <v>49</v>
      </c>
      <c r="C210" s="62" t="n">
        <v>5.5</v>
      </c>
      <c r="D210" s="29" t="s">
        <v>59</v>
      </c>
      <c r="E210" s="29" t="s">
        <v>58</v>
      </c>
    </row>
    <row r="211" customFormat="false" ht="14.25" hidden="false" customHeight="false" outlineLevel="0" collapsed="false">
      <c r="A211" s="1" t="n">
        <v>1214</v>
      </c>
      <c r="B211" s="29" t="s">
        <v>49</v>
      </c>
      <c r="C211" s="62" t="n">
        <v>3.7</v>
      </c>
      <c r="D211" s="29" t="s">
        <v>52</v>
      </c>
      <c r="E211" s="29" t="s">
        <v>58</v>
      </c>
    </row>
    <row r="212" customFormat="false" ht="14.25" hidden="false" customHeight="false" outlineLevel="0" collapsed="false">
      <c r="A212" s="1" t="n">
        <v>1215</v>
      </c>
      <c r="B212" s="29" t="s">
        <v>54</v>
      </c>
      <c r="C212" s="62" t="n">
        <v>38.2</v>
      </c>
      <c r="D212" s="29" t="s">
        <v>52</v>
      </c>
      <c r="E212" s="29" t="s">
        <v>55</v>
      </c>
    </row>
    <row r="213" customFormat="false" ht="14.25" hidden="false" customHeight="false" outlineLevel="0" collapsed="false">
      <c r="A213" s="1" t="n">
        <v>1216</v>
      </c>
      <c r="B213" s="29" t="s">
        <v>49</v>
      </c>
      <c r="C213" s="62" t="n">
        <v>4.3</v>
      </c>
      <c r="D213" s="29" t="s">
        <v>63</v>
      </c>
      <c r="E213" s="29" t="s">
        <v>58</v>
      </c>
    </row>
    <row r="214" customFormat="false" ht="14.25" hidden="false" customHeight="false" outlineLevel="0" collapsed="false">
      <c r="A214" s="1" t="n">
        <v>1217</v>
      </c>
      <c r="B214" s="29" t="s">
        <v>49</v>
      </c>
      <c r="C214" s="62" t="n">
        <v>2.1</v>
      </c>
      <c r="D214" s="29" t="s">
        <v>63</v>
      </c>
      <c r="E214" s="29" t="s">
        <v>53</v>
      </c>
    </row>
    <row r="215" customFormat="false" ht="14.25" hidden="false" customHeight="false" outlineLevel="0" collapsed="false">
      <c r="A215" s="1" t="n">
        <v>1218</v>
      </c>
      <c r="B215" s="29" t="s">
        <v>54</v>
      </c>
      <c r="C215" s="62" t="n">
        <v>30.1</v>
      </c>
      <c r="D215" s="29" t="s">
        <v>67</v>
      </c>
      <c r="E215" s="29" t="s">
        <v>66</v>
      </c>
    </row>
    <row r="216" customFormat="false" ht="14.25" hidden="false" customHeight="false" outlineLevel="0" collapsed="false">
      <c r="A216" s="1" t="n">
        <v>1219</v>
      </c>
      <c r="B216" s="29" t="s">
        <v>49</v>
      </c>
      <c r="C216" s="62" t="n">
        <v>5.6</v>
      </c>
      <c r="D216" s="29" t="s">
        <v>59</v>
      </c>
      <c r="E216" s="29" t="s">
        <v>58</v>
      </c>
    </row>
    <row r="217" customFormat="false" ht="14.25" hidden="false" customHeight="false" outlineLevel="0" collapsed="false">
      <c r="A217" s="1" t="n">
        <v>1220</v>
      </c>
      <c r="B217" s="29" t="s">
        <v>49</v>
      </c>
      <c r="C217" s="62" t="n">
        <v>6.5</v>
      </c>
      <c r="D217" s="29" t="s">
        <v>59</v>
      </c>
      <c r="E217" s="29" t="s">
        <v>58</v>
      </c>
    </row>
    <row r="218" customFormat="false" ht="14.25" hidden="false" customHeight="false" outlineLevel="0" collapsed="false">
      <c r="A218" s="1" t="n">
        <v>1221</v>
      </c>
      <c r="B218" s="29" t="s">
        <v>49</v>
      </c>
      <c r="C218" s="62" t="n">
        <v>0.8</v>
      </c>
      <c r="D218" s="29" t="s">
        <v>63</v>
      </c>
      <c r="E218" s="29" t="s">
        <v>57</v>
      </c>
    </row>
    <row r="219" customFormat="false" ht="14.25" hidden="false" customHeight="false" outlineLevel="0" collapsed="false">
      <c r="A219" s="1" t="n">
        <v>1222</v>
      </c>
      <c r="B219" s="29" t="s">
        <v>61</v>
      </c>
      <c r="C219" s="62" t="n">
        <v>1</v>
      </c>
      <c r="D219" s="29" t="s">
        <v>63</v>
      </c>
      <c r="E219" s="29" t="s">
        <v>57</v>
      </c>
    </row>
    <row r="220" customFormat="false" ht="14.25" hidden="false" customHeight="false" outlineLevel="0" collapsed="false">
      <c r="A220" s="1" t="n">
        <v>1223</v>
      </c>
      <c r="B220" s="29" t="s">
        <v>61</v>
      </c>
      <c r="C220" s="62" t="n">
        <v>10.9</v>
      </c>
      <c r="D220" s="29" t="s">
        <v>50</v>
      </c>
      <c r="E220" s="29" t="s">
        <v>51</v>
      </c>
    </row>
    <row r="221" customFormat="false" ht="14.25" hidden="false" customHeight="false" outlineLevel="0" collapsed="false">
      <c r="A221" s="1" t="n">
        <v>1224</v>
      </c>
      <c r="B221" s="29" t="s">
        <v>49</v>
      </c>
      <c r="C221" s="62" t="n">
        <v>6.4</v>
      </c>
      <c r="D221" s="29" t="s">
        <v>60</v>
      </c>
      <c r="E221" s="29" t="s">
        <v>51</v>
      </c>
    </row>
    <row r="222" customFormat="false" ht="14.25" hidden="false" customHeight="false" outlineLevel="0" collapsed="false">
      <c r="A222" s="1" t="n">
        <v>1225</v>
      </c>
      <c r="B222" s="29" t="s">
        <v>49</v>
      </c>
      <c r="C222" s="62" t="n">
        <v>2.1</v>
      </c>
      <c r="D222" s="29" t="s">
        <v>59</v>
      </c>
      <c r="E222" s="29" t="s">
        <v>53</v>
      </c>
    </row>
    <row r="223" customFormat="false" ht="14.25" hidden="false" customHeight="false" outlineLevel="0" collapsed="false">
      <c r="A223" s="1" t="n">
        <v>1226</v>
      </c>
      <c r="B223" s="29" t="s">
        <v>49</v>
      </c>
      <c r="C223" s="62" t="n">
        <v>19.7</v>
      </c>
      <c r="D223" s="29" t="s">
        <v>62</v>
      </c>
      <c r="E223" s="29" t="s">
        <v>51</v>
      </c>
    </row>
    <row r="224" customFormat="false" ht="14.25" hidden="false" customHeight="false" outlineLevel="0" collapsed="false">
      <c r="A224" s="1" t="n">
        <v>1227</v>
      </c>
      <c r="B224" s="29" t="s">
        <v>54</v>
      </c>
      <c r="C224" s="62" t="n">
        <v>61.4</v>
      </c>
      <c r="D224" s="29" t="s">
        <v>64</v>
      </c>
      <c r="E224" s="29" t="s">
        <v>55</v>
      </c>
    </row>
    <row r="225" customFormat="false" ht="14.25" hidden="false" customHeight="false" outlineLevel="0" collapsed="false">
      <c r="A225" s="1" t="n">
        <v>1228</v>
      </c>
      <c r="B225" s="29" t="s">
        <v>49</v>
      </c>
      <c r="C225" s="62" t="n">
        <v>11.2</v>
      </c>
      <c r="D225" s="29" t="s">
        <v>64</v>
      </c>
      <c r="E225" s="29" t="s">
        <v>58</v>
      </c>
    </row>
    <row r="226" customFormat="false" ht="14.25" hidden="false" customHeight="false" outlineLevel="0" collapsed="false">
      <c r="A226" s="1" t="n">
        <v>1229</v>
      </c>
      <c r="B226" s="29" t="s">
        <v>61</v>
      </c>
      <c r="C226" s="62" t="n">
        <v>2.1</v>
      </c>
      <c r="D226" s="29" t="s">
        <v>64</v>
      </c>
      <c r="E226" s="29" t="s">
        <v>53</v>
      </c>
    </row>
    <row r="227" customFormat="false" ht="14.25" hidden="false" customHeight="false" outlineLevel="0" collapsed="false">
      <c r="A227" s="1" t="n">
        <v>1230</v>
      </c>
      <c r="B227" s="29" t="s">
        <v>49</v>
      </c>
      <c r="C227" s="62" t="n">
        <v>11.4</v>
      </c>
      <c r="D227" s="29" t="s">
        <v>60</v>
      </c>
      <c r="E227" s="29" t="s">
        <v>58</v>
      </c>
    </row>
    <row r="228" customFormat="false" ht="14.25" hidden="false" customHeight="false" outlineLevel="0" collapsed="false">
      <c r="A228" s="1" t="n">
        <v>1231</v>
      </c>
      <c r="B228" s="29" t="s">
        <v>49</v>
      </c>
      <c r="C228" s="62" t="n">
        <v>2.8</v>
      </c>
      <c r="D228" s="29" t="s">
        <v>60</v>
      </c>
      <c r="E228" s="29" t="s">
        <v>57</v>
      </c>
    </row>
    <row r="229" customFormat="false" ht="14.25" hidden="false" customHeight="false" outlineLevel="0" collapsed="false">
      <c r="A229" s="1" t="n">
        <v>1232</v>
      </c>
      <c r="B229" s="29" t="s">
        <v>49</v>
      </c>
      <c r="C229" s="62" t="n">
        <v>6.4</v>
      </c>
      <c r="D229" s="29" t="s">
        <v>50</v>
      </c>
      <c r="E229" s="29" t="s">
        <v>51</v>
      </c>
    </row>
    <row r="230" customFormat="false" ht="14.25" hidden="false" customHeight="false" outlineLevel="0" collapsed="false">
      <c r="A230" s="1" t="n">
        <v>1233</v>
      </c>
      <c r="B230" s="29" t="s">
        <v>49</v>
      </c>
      <c r="C230" s="62" t="n">
        <v>26.2</v>
      </c>
      <c r="D230" s="29" t="s">
        <v>64</v>
      </c>
      <c r="E230" s="29" t="s">
        <v>65</v>
      </c>
    </row>
    <row r="231" customFormat="false" ht="14.25" hidden="false" customHeight="false" outlineLevel="0" collapsed="false">
      <c r="A231" s="1" t="n">
        <v>1234</v>
      </c>
      <c r="B231" s="29" t="s">
        <v>49</v>
      </c>
      <c r="C231" s="62" t="n">
        <v>0.5</v>
      </c>
      <c r="D231" s="29" t="s">
        <v>50</v>
      </c>
      <c r="E231" s="29" t="s">
        <v>58</v>
      </c>
    </row>
    <row r="232" customFormat="false" ht="14.25" hidden="false" customHeight="false" outlineLevel="0" collapsed="false">
      <c r="A232" s="1" t="n">
        <v>1235</v>
      </c>
      <c r="B232" s="29" t="s">
        <v>49</v>
      </c>
      <c r="C232" s="62" t="n">
        <v>9.6</v>
      </c>
      <c r="D232" s="29" t="s">
        <v>52</v>
      </c>
      <c r="E232" s="29" t="s">
        <v>58</v>
      </c>
    </row>
    <row r="233" customFormat="false" ht="14.25" hidden="false" customHeight="false" outlineLevel="0" collapsed="false">
      <c r="A233" s="1" t="n">
        <v>1236</v>
      </c>
      <c r="B233" s="29" t="s">
        <v>49</v>
      </c>
      <c r="C233" s="62" t="n">
        <v>1.1</v>
      </c>
      <c r="D233" s="29" t="s">
        <v>52</v>
      </c>
      <c r="E233" s="29" t="s">
        <v>57</v>
      </c>
    </row>
    <row r="234" customFormat="false" ht="14.25" hidden="false" customHeight="false" outlineLevel="0" collapsed="false">
      <c r="A234" s="1" t="n">
        <v>1237</v>
      </c>
      <c r="B234" s="29" t="s">
        <v>49</v>
      </c>
      <c r="C234" s="62" t="n">
        <v>21.4</v>
      </c>
      <c r="D234" s="29" t="s">
        <v>59</v>
      </c>
      <c r="E234" s="29" t="s">
        <v>58</v>
      </c>
    </row>
    <row r="235" customFormat="false" ht="14.25" hidden="false" customHeight="false" outlineLevel="0" collapsed="false">
      <c r="A235" s="1" t="n">
        <v>1238</v>
      </c>
      <c r="B235" s="29" t="s">
        <v>61</v>
      </c>
      <c r="C235" s="62" t="n">
        <v>1</v>
      </c>
      <c r="D235" s="29" t="s">
        <v>67</v>
      </c>
      <c r="E235" s="29" t="s">
        <v>57</v>
      </c>
    </row>
    <row r="236" customFormat="false" ht="14.25" hidden="false" customHeight="false" outlineLevel="0" collapsed="false">
      <c r="A236" s="1" t="n">
        <v>1239</v>
      </c>
      <c r="B236" s="29" t="s">
        <v>49</v>
      </c>
      <c r="C236" s="62" t="n">
        <v>2.9</v>
      </c>
      <c r="D236" s="29" t="s">
        <v>69</v>
      </c>
      <c r="E236" s="29" t="s">
        <v>53</v>
      </c>
    </row>
    <row r="237" customFormat="false" ht="14.25" hidden="false" customHeight="false" outlineLevel="0" collapsed="false">
      <c r="A237" s="1" t="n">
        <v>1240</v>
      </c>
      <c r="B237" s="29" t="s">
        <v>61</v>
      </c>
      <c r="C237" s="62" t="n">
        <v>5.9</v>
      </c>
      <c r="D237" s="29" t="s">
        <v>59</v>
      </c>
      <c r="E237" s="29" t="s">
        <v>53</v>
      </c>
    </row>
    <row r="238" customFormat="false" ht="14.25" hidden="false" customHeight="false" outlineLevel="0" collapsed="false">
      <c r="A238" s="1" t="n">
        <v>1241</v>
      </c>
      <c r="B238" s="29" t="s">
        <v>61</v>
      </c>
      <c r="C238" s="62" t="n">
        <v>2.7</v>
      </c>
      <c r="D238" s="29" t="s">
        <v>59</v>
      </c>
      <c r="E238" s="29" t="s">
        <v>58</v>
      </c>
    </row>
    <row r="239" customFormat="false" ht="14.25" hidden="false" customHeight="false" outlineLevel="0" collapsed="false">
      <c r="A239" s="1" t="n">
        <v>1242</v>
      </c>
      <c r="B239" s="29" t="s">
        <v>49</v>
      </c>
      <c r="C239" s="62" t="n">
        <v>1.3</v>
      </c>
      <c r="D239" s="29" t="s">
        <v>50</v>
      </c>
      <c r="E239" s="29" t="s">
        <v>53</v>
      </c>
    </row>
    <row r="240" customFormat="false" ht="14.25" hidden="false" customHeight="false" outlineLevel="0" collapsed="false">
      <c r="A240" s="1" t="n">
        <v>1243</v>
      </c>
      <c r="B240" s="29" t="s">
        <v>49</v>
      </c>
      <c r="C240" s="62" t="n">
        <v>21.4</v>
      </c>
      <c r="D240" s="29" t="s">
        <v>50</v>
      </c>
      <c r="E240" s="29" t="s">
        <v>58</v>
      </c>
    </row>
    <row r="241" customFormat="false" ht="14.25" hidden="false" customHeight="false" outlineLevel="0" collapsed="false">
      <c r="A241" s="1" t="n">
        <v>1244</v>
      </c>
      <c r="B241" s="29" t="s">
        <v>54</v>
      </c>
      <c r="C241" s="62" t="n">
        <v>31.2</v>
      </c>
      <c r="D241" s="29" t="s">
        <v>63</v>
      </c>
      <c r="E241" s="29" t="s">
        <v>55</v>
      </c>
    </row>
    <row r="242" customFormat="false" ht="14.25" hidden="false" customHeight="false" outlineLevel="0" collapsed="false">
      <c r="A242" s="1" t="n">
        <v>1245</v>
      </c>
      <c r="B242" s="29" t="s">
        <v>49</v>
      </c>
      <c r="C242" s="62" t="n">
        <v>20.8</v>
      </c>
      <c r="D242" s="29" t="s">
        <v>63</v>
      </c>
      <c r="E242" s="29" t="s">
        <v>58</v>
      </c>
    </row>
    <row r="243" customFormat="false" ht="14.25" hidden="false" customHeight="false" outlineLevel="0" collapsed="false">
      <c r="A243" s="1" t="n">
        <v>1246</v>
      </c>
      <c r="B243" s="29" t="s">
        <v>49</v>
      </c>
      <c r="C243" s="62" t="n">
        <v>5.3</v>
      </c>
      <c r="D243" s="29" t="s">
        <v>63</v>
      </c>
      <c r="E243" s="29" t="s">
        <v>53</v>
      </c>
    </row>
    <row r="244" customFormat="false" ht="14.25" hidden="false" customHeight="false" outlineLevel="0" collapsed="false">
      <c r="A244" s="1" t="n">
        <v>1247</v>
      </c>
      <c r="B244" s="29" t="s">
        <v>49</v>
      </c>
      <c r="C244" s="62" t="n">
        <v>1.6</v>
      </c>
      <c r="D244" s="29" t="s">
        <v>60</v>
      </c>
      <c r="E244" s="29" t="s">
        <v>58</v>
      </c>
    </row>
    <row r="245" customFormat="false" ht="14.25" hidden="false" customHeight="false" outlineLevel="0" collapsed="false">
      <c r="A245" s="1" t="n">
        <v>1248</v>
      </c>
      <c r="B245" s="29" t="s">
        <v>49</v>
      </c>
      <c r="C245" s="62" t="n">
        <v>6.3</v>
      </c>
      <c r="D245" s="29" t="s">
        <v>60</v>
      </c>
      <c r="E245" s="29" t="s">
        <v>58</v>
      </c>
    </row>
    <row r="246" customFormat="false" ht="14.25" hidden="false" customHeight="false" outlineLevel="0" collapsed="false">
      <c r="A246" s="1" t="n">
        <v>1249</v>
      </c>
      <c r="B246" s="29" t="s">
        <v>49</v>
      </c>
      <c r="C246" s="62" t="n">
        <v>5.2</v>
      </c>
      <c r="D246" s="29" t="s">
        <v>60</v>
      </c>
      <c r="E246" s="29" t="s">
        <v>58</v>
      </c>
    </row>
    <row r="247" customFormat="false" ht="14.25" hidden="false" customHeight="false" outlineLevel="0" collapsed="false">
      <c r="A247" s="1" t="n">
        <v>1250</v>
      </c>
      <c r="B247" s="29" t="s">
        <v>49</v>
      </c>
      <c r="C247" s="62" t="n">
        <v>21.4</v>
      </c>
      <c r="D247" s="29" t="s">
        <v>60</v>
      </c>
      <c r="E247" s="29" t="s">
        <v>58</v>
      </c>
    </row>
    <row r="248" customFormat="false" ht="14.25" hidden="false" customHeight="false" outlineLevel="0" collapsed="false">
      <c r="A248" s="1" t="n">
        <v>1251</v>
      </c>
      <c r="B248" s="29" t="s">
        <v>49</v>
      </c>
      <c r="C248" s="62" t="n">
        <v>3.6</v>
      </c>
      <c r="D248" s="29" t="s">
        <v>62</v>
      </c>
      <c r="E248" s="29" t="s">
        <v>57</v>
      </c>
    </row>
    <row r="249" customFormat="false" ht="14.25" hidden="false" customHeight="false" outlineLevel="0" collapsed="false">
      <c r="A249" s="1" t="n">
        <v>1252</v>
      </c>
      <c r="B249" s="29" t="s">
        <v>49</v>
      </c>
      <c r="C249" s="62" t="n">
        <v>3.7</v>
      </c>
      <c r="D249" s="29" t="s">
        <v>62</v>
      </c>
      <c r="E249" s="29" t="s">
        <v>53</v>
      </c>
    </row>
    <row r="250" customFormat="false" ht="14.25" hidden="false" customHeight="false" outlineLevel="0" collapsed="false">
      <c r="A250" s="1" t="n">
        <v>1253</v>
      </c>
      <c r="B250" s="29" t="s">
        <v>54</v>
      </c>
      <c r="C250" s="62" t="n">
        <v>59.7</v>
      </c>
      <c r="D250" s="29" t="s">
        <v>62</v>
      </c>
      <c r="E250" s="29" t="s">
        <v>55</v>
      </c>
    </row>
    <row r="251" customFormat="false" ht="14.25" hidden="false" customHeight="false" outlineLevel="0" collapsed="false">
      <c r="A251" s="1" t="n">
        <v>1254</v>
      </c>
      <c r="B251" s="29" t="s">
        <v>61</v>
      </c>
      <c r="C251" s="62" t="n">
        <v>5.6</v>
      </c>
      <c r="D251" s="29" t="s">
        <v>59</v>
      </c>
      <c r="E251" s="29" t="s">
        <v>58</v>
      </c>
    </row>
    <row r="252" customFormat="false" ht="14.25" hidden="false" customHeight="false" outlineLevel="0" collapsed="false">
      <c r="A252" s="1" t="n">
        <v>1255</v>
      </c>
      <c r="B252" s="29" t="s">
        <v>54</v>
      </c>
      <c r="C252" s="62" t="n">
        <v>67.3</v>
      </c>
      <c r="D252" s="29" t="s">
        <v>62</v>
      </c>
      <c r="E252" s="29" t="s">
        <v>66</v>
      </c>
    </row>
    <row r="253" customFormat="false" ht="14.25" hidden="false" customHeight="false" outlineLevel="0" collapsed="false">
      <c r="A253" s="1" t="n">
        <v>1256</v>
      </c>
      <c r="B253" s="29" t="s">
        <v>49</v>
      </c>
      <c r="C253" s="62" t="n">
        <v>5.4</v>
      </c>
      <c r="D253" s="29" t="s">
        <v>52</v>
      </c>
      <c r="E253" s="29" t="s">
        <v>58</v>
      </c>
    </row>
    <row r="254" customFormat="false" ht="14.25" hidden="false" customHeight="false" outlineLevel="0" collapsed="false">
      <c r="A254" s="1" t="n">
        <v>1257</v>
      </c>
      <c r="B254" s="29" t="s">
        <v>49</v>
      </c>
      <c r="C254" s="62" t="n">
        <v>5.4</v>
      </c>
      <c r="D254" s="29" t="s">
        <v>52</v>
      </c>
      <c r="E254" s="29" t="s">
        <v>53</v>
      </c>
    </row>
    <row r="255" customFormat="false" ht="14.25" hidden="false" customHeight="false" outlineLevel="0" collapsed="false">
      <c r="A255" s="1" t="n">
        <v>1258</v>
      </c>
      <c r="B255" s="29" t="s">
        <v>49</v>
      </c>
      <c r="C255" s="62" t="n">
        <v>4.2</v>
      </c>
      <c r="D255" s="29" t="s">
        <v>60</v>
      </c>
      <c r="E255" s="29" t="s">
        <v>57</v>
      </c>
    </row>
    <row r="256" customFormat="false" ht="14.25" hidden="false" customHeight="false" outlineLevel="0" collapsed="false">
      <c r="A256" s="1" t="n">
        <v>1259</v>
      </c>
      <c r="B256" s="29" t="s">
        <v>61</v>
      </c>
      <c r="C256" s="62" t="n">
        <v>11.9</v>
      </c>
      <c r="D256" s="29" t="s">
        <v>60</v>
      </c>
      <c r="E256" s="29" t="s">
        <v>58</v>
      </c>
    </row>
    <row r="257" customFormat="false" ht="14.25" hidden="false" customHeight="false" outlineLevel="0" collapsed="false">
      <c r="A257" s="1" t="n">
        <v>1260</v>
      </c>
      <c r="B257" s="29" t="s">
        <v>49</v>
      </c>
      <c r="C257" s="62" t="n">
        <v>3.9</v>
      </c>
      <c r="D257" s="29" t="s">
        <v>60</v>
      </c>
      <c r="E257" s="29" t="s">
        <v>57</v>
      </c>
    </row>
    <row r="258" customFormat="false" ht="14.25" hidden="false" customHeight="false" outlineLevel="0" collapsed="false">
      <c r="A258" s="1" t="n">
        <v>1261</v>
      </c>
      <c r="B258" s="29" t="s">
        <v>49</v>
      </c>
      <c r="C258" s="62" t="n">
        <v>11</v>
      </c>
      <c r="D258" s="29" t="s">
        <v>62</v>
      </c>
      <c r="E258" s="29" t="s">
        <v>58</v>
      </c>
    </row>
    <row r="259" customFormat="false" ht="14.25" hidden="false" customHeight="false" outlineLevel="0" collapsed="false">
      <c r="A259" s="1" t="n">
        <v>1262</v>
      </c>
      <c r="B259" s="29" t="s">
        <v>61</v>
      </c>
      <c r="C259" s="62" t="n">
        <v>2.7</v>
      </c>
      <c r="D259" s="29" t="s">
        <v>59</v>
      </c>
      <c r="E259" s="29" t="s">
        <v>57</v>
      </c>
    </row>
    <row r="260" customFormat="false" ht="14.25" hidden="false" customHeight="false" outlineLevel="0" collapsed="false">
      <c r="A260" s="1" t="n">
        <v>1263</v>
      </c>
      <c r="B260" s="29" t="s">
        <v>54</v>
      </c>
      <c r="C260" s="62" t="n">
        <v>69.3</v>
      </c>
      <c r="D260" s="29" t="s">
        <v>64</v>
      </c>
      <c r="E260" s="29" t="s">
        <v>66</v>
      </c>
    </row>
    <row r="261" customFormat="false" ht="14.25" hidden="false" customHeight="false" outlineLevel="0" collapsed="false">
      <c r="A261" s="1" t="n">
        <v>1264</v>
      </c>
      <c r="B261" s="29" t="s">
        <v>49</v>
      </c>
      <c r="C261" s="62" t="n">
        <v>7.5</v>
      </c>
      <c r="D261" s="29" t="s">
        <v>64</v>
      </c>
      <c r="E261" s="29" t="s">
        <v>58</v>
      </c>
    </row>
    <row r="262" customFormat="false" ht="14.25" hidden="false" customHeight="false" outlineLevel="0" collapsed="false">
      <c r="A262" s="1" t="n">
        <v>1265</v>
      </c>
      <c r="B262" s="29" t="s">
        <v>61</v>
      </c>
      <c r="C262" s="62" t="n">
        <v>6.4</v>
      </c>
      <c r="D262" s="29" t="s">
        <v>64</v>
      </c>
      <c r="E262" s="29" t="s">
        <v>58</v>
      </c>
    </row>
    <row r="263" customFormat="false" ht="14.25" hidden="false" customHeight="false" outlineLevel="0" collapsed="false">
      <c r="A263" s="1" t="n">
        <v>1266</v>
      </c>
      <c r="B263" s="29" t="s">
        <v>49</v>
      </c>
      <c r="C263" s="62" t="n">
        <v>9.4</v>
      </c>
      <c r="D263" s="29" t="s">
        <v>59</v>
      </c>
      <c r="E263" s="29" t="s">
        <v>58</v>
      </c>
    </row>
    <row r="264" customFormat="false" ht="14.25" hidden="false" customHeight="false" outlineLevel="0" collapsed="false">
      <c r="A264" s="1" t="n">
        <v>1267</v>
      </c>
      <c r="B264" s="29" t="s">
        <v>49</v>
      </c>
      <c r="C264" s="62" t="n">
        <v>8.2</v>
      </c>
      <c r="D264" s="29" t="s">
        <v>59</v>
      </c>
      <c r="E264" s="29" t="s">
        <v>58</v>
      </c>
    </row>
    <row r="265" customFormat="false" ht="14.25" hidden="false" customHeight="false" outlineLevel="0" collapsed="false">
      <c r="A265" s="1" t="n">
        <v>1268</v>
      </c>
      <c r="B265" s="29" t="s">
        <v>61</v>
      </c>
      <c r="C265" s="62" t="n">
        <v>4.8</v>
      </c>
      <c r="D265" s="29" t="s">
        <v>60</v>
      </c>
      <c r="E265" s="29" t="s">
        <v>58</v>
      </c>
    </row>
    <row r="266" customFormat="false" ht="14.25" hidden="false" customHeight="false" outlineLevel="0" collapsed="false">
      <c r="A266" s="1" t="n">
        <v>1269</v>
      </c>
      <c r="B266" s="29" t="s">
        <v>49</v>
      </c>
      <c r="C266" s="62" t="n">
        <v>9.1</v>
      </c>
      <c r="D266" s="29" t="s">
        <v>59</v>
      </c>
      <c r="E266" s="29" t="s">
        <v>51</v>
      </c>
    </row>
    <row r="267" customFormat="false" ht="14.25" hidden="false" customHeight="false" outlineLevel="0" collapsed="false">
      <c r="A267" s="1" t="n">
        <v>1270</v>
      </c>
      <c r="B267" s="29" t="s">
        <v>49</v>
      </c>
      <c r="C267" s="62" t="n">
        <v>6.1</v>
      </c>
      <c r="D267" s="29" t="s">
        <v>68</v>
      </c>
      <c r="E267" s="29" t="s">
        <v>58</v>
      </c>
    </row>
    <row r="268" customFormat="false" ht="14.25" hidden="false" customHeight="false" outlineLevel="0" collapsed="false">
      <c r="A268" s="1" t="n">
        <v>1271</v>
      </c>
      <c r="B268" s="29" t="s">
        <v>49</v>
      </c>
      <c r="C268" s="62" t="n">
        <v>9.9</v>
      </c>
      <c r="D268" s="29" t="s">
        <v>62</v>
      </c>
      <c r="E268" s="29" t="s">
        <v>58</v>
      </c>
    </row>
    <row r="269" customFormat="false" ht="14.25" hidden="false" customHeight="false" outlineLevel="0" collapsed="false">
      <c r="A269" s="1" t="n">
        <v>1272</v>
      </c>
      <c r="B269" s="29" t="s">
        <v>49</v>
      </c>
      <c r="C269" s="62" t="n">
        <v>7.5</v>
      </c>
      <c r="D269" s="29" t="s">
        <v>62</v>
      </c>
      <c r="E269" s="29" t="s">
        <v>58</v>
      </c>
    </row>
    <row r="270" customFormat="false" ht="14.25" hidden="false" customHeight="false" outlineLevel="0" collapsed="false">
      <c r="A270" s="1" t="n">
        <v>1273</v>
      </c>
      <c r="B270" s="29" t="s">
        <v>49</v>
      </c>
      <c r="C270" s="62" t="n">
        <v>1.2</v>
      </c>
      <c r="D270" s="29" t="s">
        <v>68</v>
      </c>
      <c r="E270" s="29" t="s">
        <v>57</v>
      </c>
    </row>
    <row r="271" customFormat="false" ht="14.25" hidden="false" customHeight="false" outlineLevel="0" collapsed="false">
      <c r="A271" s="1" t="n">
        <v>1274</v>
      </c>
      <c r="B271" s="29" t="s">
        <v>49</v>
      </c>
      <c r="C271" s="62" t="n">
        <v>1.1</v>
      </c>
      <c r="D271" s="29" t="s">
        <v>68</v>
      </c>
      <c r="E271" s="29" t="s">
        <v>57</v>
      </c>
    </row>
    <row r="272" customFormat="false" ht="14.25" hidden="false" customHeight="false" outlineLevel="0" collapsed="false">
      <c r="A272" s="1" t="n">
        <v>1275</v>
      </c>
      <c r="B272" s="29" t="s">
        <v>49</v>
      </c>
      <c r="C272" s="62" t="n">
        <v>5.7</v>
      </c>
      <c r="D272" s="29" t="s">
        <v>50</v>
      </c>
      <c r="E272" s="29" t="s">
        <v>58</v>
      </c>
    </row>
    <row r="273" customFormat="false" ht="14.25" hidden="false" customHeight="false" outlineLevel="0" collapsed="false">
      <c r="A273" s="1" t="n">
        <v>1276</v>
      </c>
      <c r="B273" s="29" t="s">
        <v>49</v>
      </c>
      <c r="C273" s="62" t="n">
        <v>5.4</v>
      </c>
      <c r="D273" s="29" t="s">
        <v>67</v>
      </c>
      <c r="E273" s="29" t="s">
        <v>53</v>
      </c>
    </row>
    <row r="274" customFormat="false" ht="14.25" hidden="false" customHeight="false" outlineLevel="0" collapsed="false">
      <c r="A274" s="1" t="n">
        <v>1277</v>
      </c>
      <c r="B274" s="29" t="s">
        <v>49</v>
      </c>
      <c r="C274" s="62" t="n">
        <v>26.2</v>
      </c>
      <c r="D274" s="29" t="s">
        <v>52</v>
      </c>
      <c r="E274" s="29" t="s">
        <v>65</v>
      </c>
    </row>
    <row r="275" customFormat="false" ht="14.25" hidden="false" customHeight="false" outlineLevel="0" collapsed="false">
      <c r="A275" s="1" t="n">
        <v>1278</v>
      </c>
      <c r="B275" s="29" t="s">
        <v>61</v>
      </c>
      <c r="C275" s="62" t="n">
        <v>6.7</v>
      </c>
      <c r="D275" s="29" t="s">
        <v>63</v>
      </c>
      <c r="E275" s="29" t="s">
        <v>51</v>
      </c>
    </row>
    <row r="276" customFormat="false" ht="14.25" hidden="false" customHeight="false" outlineLevel="0" collapsed="false">
      <c r="A276" s="1" t="n">
        <v>1279</v>
      </c>
      <c r="B276" s="29" t="s">
        <v>49</v>
      </c>
      <c r="C276" s="62" t="n">
        <v>6.4</v>
      </c>
      <c r="D276" s="29" t="s">
        <v>50</v>
      </c>
      <c r="E276" s="29" t="s">
        <v>58</v>
      </c>
    </row>
    <row r="277" customFormat="false" ht="14.25" hidden="false" customHeight="false" outlineLevel="0" collapsed="false">
      <c r="A277" s="1" t="n">
        <v>1280</v>
      </c>
      <c r="B277" s="29" t="s">
        <v>54</v>
      </c>
      <c r="C277" s="62" t="n">
        <v>64.2</v>
      </c>
      <c r="D277" s="29" t="s">
        <v>50</v>
      </c>
      <c r="E277" s="29" t="s">
        <v>66</v>
      </c>
    </row>
    <row r="278" customFormat="false" ht="14.25" hidden="false" customHeight="false" outlineLevel="0" collapsed="false">
      <c r="A278" s="1" t="n">
        <v>1281</v>
      </c>
      <c r="B278" s="29" t="s">
        <v>49</v>
      </c>
      <c r="C278" s="62" t="n">
        <v>4.3</v>
      </c>
      <c r="D278" s="29" t="s">
        <v>59</v>
      </c>
      <c r="E278" s="29" t="s">
        <v>58</v>
      </c>
    </row>
    <row r="279" customFormat="false" ht="14.25" hidden="false" customHeight="false" outlineLevel="0" collapsed="false">
      <c r="A279" s="1" t="n">
        <v>1282</v>
      </c>
      <c r="B279" s="29" t="s">
        <v>61</v>
      </c>
      <c r="C279" s="62" t="n">
        <v>0.5</v>
      </c>
      <c r="D279" s="29" t="s">
        <v>62</v>
      </c>
      <c r="E279" s="29" t="s">
        <v>58</v>
      </c>
    </row>
    <row r="280" customFormat="false" ht="14.25" hidden="false" customHeight="false" outlineLevel="0" collapsed="false">
      <c r="A280" s="1" t="n">
        <v>1283</v>
      </c>
      <c r="B280" s="29" t="s">
        <v>61</v>
      </c>
      <c r="C280" s="62" t="n">
        <v>6.3</v>
      </c>
      <c r="D280" s="29" t="s">
        <v>71</v>
      </c>
      <c r="E280" s="29" t="s">
        <v>58</v>
      </c>
    </row>
    <row r="281" customFormat="false" ht="14.25" hidden="false" customHeight="false" outlineLevel="0" collapsed="false">
      <c r="A281" s="1" t="n">
        <v>1284</v>
      </c>
      <c r="B281" s="29" t="s">
        <v>61</v>
      </c>
      <c r="C281" s="62" t="n">
        <v>1.6</v>
      </c>
      <c r="D281" s="29" t="s">
        <v>64</v>
      </c>
      <c r="E281" s="29" t="s">
        <v>58</v>
      </c>
    </row>
    <row r="282" customFormat="false" ht="14.25" hidden="false" customHeight="false" outlineLevel="0" collapsed="false">
      <c r="A282" s="1" t="n">
        <v>1285</v>
      </c>
      <c r="B282" s="29" t="s">
        <v>49</v>
      </c>
      <c r="C282" s="62" t="n">
        <v>0.8</v>
      </c>
      <c r="D282" s="29" t="s">
        <v>71</v>
      </c>
      <c r="E282" s="29" t="s">
        <v>57</v>
      </c>
    </row>
    <row r="283" customFormat="false" ht="14.25" hidden="false" customHeight="false" outlineLevel="0" collapsed="false">
      <c r="A283" s="1" t="n">
        <v>1286</v>
      </c>
      <c r="B283" s="29" t="s">
        <v>49</v>
      </c>
      <c r="C283" s="62" t="n">
        <v>8.8</v>
      </c>
      <c r="D283" s="29" t="s">
        <v>71</v>
      </c>
      <c r="E283" s="29" t="s">
        <v>58</v>
      </c>
    </row>
    <row r="284" customFormat="false" ht="14.25" hidden="false" customHeight="false" outlineLevel="0" collapsed="false">
      <c r="A284" s="1" t="n">
        <v>1287</v>
      </c>
      <c r="B284" s="29" t="s">
        <v>61</v>
      </c>
      <c r="C284" s="62" t="n">
        <v>22.7</v>
      </c>
      <c r="D284" s="29" t="s">
        <v>71</v>
      </c>
      <c r="E284" s="29" t="s">
        <v>65</v>
      </c>
    </row>
    <row r="285" customFormat="false" ht="14.25" hidden="false" customHeight="false" outlineLevel="0" collapsed="false">
      <c r="A285" s="1" t="n">
        <v>1288</v>
      </c>
      <c r="B285" s="29" t="s">
        <v>49</v>
      </c>
      <c r="C285" s="62" t="n">
        <v>9.6</v>
      </c>
      <c r="D285" s="29" t="s">
        <v>62</v>
      </c>
      <c r="E285" s="29" t="s">
        <v>58</v>
      </c>
    </row>
    <row r="286" customFormat="false" ht="14.25" hidden="false" customHeight="false" outlineLevel="0" collapsed="false">
      <c r="A286" s="1" t="n">
        <v>1289</v>
      </c>
      <c r="B286" s="29" t="s">
        <v>49</v>
      </c>
      <c r="C286" s="62" t="n">
        <v>1.1</v>
      </c>
      <c r="D286" s="29" t="s">
        <v>70</v>
      </c>
      <c r="E286" s="29" t="s">
        <v>53</v>
      </c>
    </row>
    <row r="287" customFormat="false" ht="14.25" hidden="false" customHeight="false" outlineLevel="0" collapsed="false">
      <c r="A287" s="1" t="n">
        <v>1290</v>
      </c>
      <c r="B287" s="29" t="s">
        <v>49</v>
      </c>
      <c r="C287" s="62" t="n">
        <v>9.6</v>
      </c>
      <c r="D287" s="29" t="s">
        <v>69</v>
      </c>
      <c r="E287" s="29" t="s">
        <v>53</v>
      </c>
    </row>
    <row r="288" customFormat="false" ht="14.25" hidden="false" customHeight="false" outlineLevel="0" collapsed="false">
      <c r="A288" s="1" t="n">
        <v>1291</v>
      </c>
      <c r="B288" s="29" t="s">
        <v>49</v>
      </c>
      <c r="C288" s="62" t="n">
        <v>1.1</v>
      </c>
      <c r="D288" s="29" t="s">
        <v>67</v>
      </c>
      <c r="E288" s="29" t="s">
        <v>57</v>
      </c>
    </row>
    <row r="289" customFormat="false" ht="14.25" hidden="false" customHeight="false" outlineLevel="0" collapsed="false">
      <c r="A289" s="1" t="n">
        <v>1292</v>
      </c>
      <c r="B289" s="29" t="s">
        <v>49</v>
      </c>
      <c r="C289" s="62" t="n">
        <v>3</v>
      </c>
      <c r="D289" s="29" t="s">
        <v>63</v>
      </c>
      <c r="E289" s="29" t="s">
        <v>53</v>
      </c>
    </row>
    <row r="290" customFormat="false" ht="14.25" hidden="false" customHeight="false" outlineLevel="0" collapsed="false">
      <c r="A290" s="1" t="n">
        <v>1293</v>
      </c>
      <c r="B290" s="29" t="s">
        <v>49</v>
      </c>
      <c r="C290" s="62" t="n">
        <v>6.7</v>
      </c>
      <c r="D290" s="29" t="s">
        <v>52</v>
      </c>
      <c r="E290" s="29" t="s">
        <v>51</v>
      </c>
    </row>
    <row r="291" customFormat="false" ht="14.25" hidden="false" customHeight="false" outlineLevel="0" collapsed="false">
      <c r="A291" s="1" t="n">
        <v>1294</v>
      </c>
      <c r="B291" s="29" t="s">
        <v>49</v>
      </c>
      <c r="C291" s="62" t="n">
        <v>7</v>
      </c>
      <c r="D291" s="29" t="s">
        <v>62</v>
      </c>
      <c r="E291" s="29" t="s">
        <v>58</v>
      </c>
    </row>
    <row r="292" customFormat="false" ht="14.25" hidden="false" customHeight="false" outlineLevel="0" collapsed="false">
      <c r="A292" s="1" t="n">
        <v>1295</v>
      </c>
      <c r="B292" s="29" t="s">
        <v>49</v>
      </c>
      <c r="C292" s="62" t="n">
        <v>7.8</v>
      </c>
      <c r="D292" s="29" t="s">
        <v>62</v>
      </c>
      <c r="E292" s="29" t="s">
        <v>58</v>
      </c>
    </row>
    <row r="293" customFormat="false" ht="14.25" hidden="false" customHeight="false" outlineLevel="0" collapsed="false">
      <c r="A293" s="1" t="n">
        <v>1296</v>
      </c>
      <c r="B293" s="29" t="s">
        <v>61</v>
      </c>
      <c r="C293" s="62" t="n">
        <v>37.5</v>
      </c>
      <c r="D293" s="29" t="s">
        <v>71</v>
      </c>
      <c r="E293" s="29" t="s">
        <v>65</v>
      </c>
    </row>
    <row r="294" customFormat="false" ht="14.25" hidden="false" customHeight="false" outlineLevel="0" collapsed="false">
      <c r="A294" s="1" t="n">
        <v>1297</v>
      </c>
      <c r="B294" s="29" t="s">
        <v>54</v>
      </c>
      <c r="C294" s="62" t="n">
        <v>59.1</v>
      </c>
      <c r="D294" s="29" t="s">
        <v>70</v>
      </c>
      <c r="E294" s="29" t="s">
        <v>66</v>
      </c>
    </row>
    <row r="295" customFormat="false" ht="14.25" hidden="false" customHeight="false" outlineLevel="0" collapsed="false">
      <c r="A295" s="1" t="n">
        <v>1298</v>
      </c>
      <c r="B295" s="29" t="s">
        <v>49</v>
      </c>
      <c r="C295" s="62" t="n">
        <v>21.4</v>
      </c>
      <c r="D295" s="29" t="s">
        <v>50</v>
      </c>
      <c r="E295" s="29" t="s">
        <v>58</v>
      </c>
    </row>
    <row r="296" customFormat="false" ht="14.25" hidden="false" customHeight="false" outlineLevel="0" collapsed="false">
      <c r="A296" s="1" t="n">
        <v>1299</v>
      </c>
      <c r="B296" s="29" t="s">
        <v>49</v>
      </c>
      <c r="C296" s="62" t="n">
        <v>52.4</v>
      </c>
      <c r="D296" s="29" t="s">
        <v>50</v>
      </c>
      <c r="E296" s="29" t="s">
        <v>65</v>
      </c>
    </row>
    <row r="297" customFormat="false" ht="14.25" hidden="false" customHeight="false" outlineLevel="0" collapsed="false">
      <c r="A297" s="1" t="n">
        <v>1300</v>
      </c>
      <c r="B297" s="29" t="s">
        <v>49</v>
      </c>
      <c r="C297" s="62" t="n">
        <v>0.9</v>
      </c>
      <c r="D297" s="29" t="s">
        <v>50</v>
      </c>
      <c r="E297" s="29" t="s">
        <v>57</v>
      </c>
    </row>
    <row r="298" customFormat="false" ht="14.25" hidden="false" customHeight="false" outlineLevel="0" collapsed="false">
      <c r="A298" s="1" t="n">
        <v>1301</v>
      </c>
      <c r="B298" s="29" t="s">
        <v>49</v>
      </c>
      <c r="C298" s="62" t="n">
        <v>9.6</v>
      </c>
      <c r="D298" s="29" t="s">
        <v>63</v>
      </c>
      <c r="E298" s="29" t="s">
        <v>58</v>
      </c>
    </row>
    <row r="299" customFormat="false" ht="14.25" hidden="false" customHeight="false" outlineLevel="0" collapsed="false">
      <c r="A299" s="1" t="n">
        <v>1302</v>
      </c>
      <c r="B299" s="29" t="s">
        <v>49</v>
      </c>
      <c r="C299" s="62" t="n">
        <v>37.5</v>
      </c>
      <c r="D299" s="29" t="s">
        <v>63</v>
      </c>
      <c r="E299" s="29" t="s">
        <v>65</v>
      </c>
    </row>
    <row r="300" customFormat="false" ht="14.25" hidden="false" customHeight="false" outlineLevel="0" collapsed="false">
      <c r="A300" s="1" t="n">
        <v>1303</v>
      </c>
      <c r="B300" s="29" t="s">
        <v>49</v>
      </c>
      <c r="C300" s="62" t="n">
        <v>0.5</v>
      </c>
      <c r="D300" s="29" t="s">
        <v>60</v>
      </c>
      <c r="E300" s="29" t="s">
        <v>58</v>
      </c>
    </row>
    <row r="301" customFormat="false" ht="14.25" hidden="false" customHeight="false" outlineLevel="0" collapsed="false">
      <c r="A301" s="1" t="n">
        <v>1304</v>
      </c>
      <c r="B301" s="29" t="s">
        <v>49</v>
      </c>
      <c r="C301" s="62" t="n">
        <v>5.8</v>
      </c>
      <c r="D301" s="29" t="s">
        <v>70</v>
      </c>
      <c r="E301" s="29" t="s">
        <v>58</v>
      </c>
    </row>
    <row r="302" customFormat="false" ht="14.25" hidden="false" customHeight="false" outlineLevel="0" collapsed="false">
      <c r="A302" s="1" t="n">
        <v>1305</v>
      </c>
      <c r="B302" s="29" t="s">
        <v>54</v>
      </c>
      <c r="C302" s="62" t="n">
        <v>70.9</v>
      </c>
      <c r="D302" s="29" t="s">
        <v>70</v>
      </c>
      <c r="E302" s="29" t="s">
        <v>55</v>
      </c>
    </row>
    <row r="303" customFormat="false" ht="14.25" hidden="false" customHeight="false" outlineLevel="0" collapsed="false">
      <c r="A303" s="1" t="n">
        <v>1306</v>
      </c>
      <c r="B303" s="29" t="s">
        <v>49</v>
      </c>
      <c r="C303" s="62" t="n">
        <v>7.7</v>
      </c>
      <c r="D303" s="29" t="s">
        <v>70</v>
      </c>
      <c r="E303" s="29" t="s">
        <v>58</v>
      </c>
    </row>
    <row r="304" customFormat="false" ht="14.25" hidden="false" customHeight="false" outlineLevel="0" collapsed="false">
      <c r="A304" s="1" t="n">
        <v>1307</v>
      </c>
      <c r="B304" s="29" t="s">
        <v>49</v>
      </c>
      <c r="C304" s="62" t="n">
        <v>1.6</v>
      </c>
      <c r="D304" s="29" t="s">
        <v>52</v>
      </c>
      <c r="E304" s="29" t="s">
        <v>58</v>
      </c>
    </row>
    <row r="305" customFormat="false" ht="14.25" hidden="false" customHeight="false" outlineLevel="0" collapsed="false">
      <c r="A305" s="1" t="n">
        <v>1308</v>
      </c>
      <c r="B305" s="29" t="s">
        <v>54</v>
      </c>
      <c r="C305" s="62" t="n">
        <v>46.4</v>
      </c>
      <c r="D305" s="29" t="s">
        <v>50</v>
      </c>
      <c r="E305" s="29" t="s">
        <v>66</v>
      </c>
    </row>
    <row r="306" customFormat="false" ht="14.25" hidden="false" customHeight="false" outlineLevel="0" collapsed="false">
      <c r="A306" s="1" t="n">
        <v>1309</v>
      </c>
      <c r="B306" s="29" t="s">
        <v>49</v>
      </c>
      <c r="C306" s="62" t="n">
        <v>3.2</v>
      </c>
      <c r="D306" s="29" t="s">
        <v>50</v>
      </c>
      <c r="E306" s="29" t="s">
        <v>58</v>
      </c>
    </row>
    <row r="307" customFormat="false" ht="14.25" hidden="false" customHeight="false" outlineLevel="0" collapsed="false">
      <c r="A307" s="1" t="n">
        <v>1310</v>
      </c>
      <c r="B307" s="29" t="s">
        <v>49</v>
      </c>
      <c r="C307" s="62" t="n">
        <v>2.1</v>
      </c>
      <c r="D307" s="29" t="s">
        <v>62</v>
      </c>
      <c r="E307" s="29" t="s">
        <v>57</v>
      </c>
    </row>
    <row r="308" customFormat="false" ht="14.25" hidden="false" customHeight="false" outlineLevel="0" collapsed="false">
      <c r="A308" s="1" t="n">
        <v>1311</v>
      </c>
      <c r="B308" s="29" t="s">
        <v>49</v>
      </c>
      <c r="C308" s="62" t="n">
        <v>0.5</v>
      </c>
      <c r="D308" s="29" t="s">
        <v>71</v>
      </c>
      <c r="E308" s="29" t="s">
        <v>58</v>
      </c>
    </row>
    <row r="309" customFormat="false" ht="14.25" hidden="false" customHeight="false" outlineLevel="0" collapsed="false">
      <c r="A309" s="1" t="n">
        <v>1312</v>
      </c>
      <c r="B309" s="29" t="s">
        <v>49</v>
      </c>
      <c r="C309" s="62" t="n">
        <v>8.3</v>
      </c>
      <c r="D309" s="29" t="s">
        <v>56</v>
      </c>
      <c r="E309" s="29" t="s">
        <v>58</v>
      </c>
    </row>
    <row r="310" customFormat="false" ht="14.25" hidden="false" customHeight="false" outlineLevel="0" collapsed="false">
      <c r="A310" s="1" t="n">
        <v>1313</v>
      </c>
      <c r="B310" s="29" t="s">
        <v>49</v>
      </c>
      <c r="C310" s="62" t="n">
        <v>0.5</v>
      </c>
      <c r="D310" s="29" t="s">
        <v>63</v>
      </c>
      <c r="E310" s="29" t="s">
        <v>58</v>
      </c>
    </row>
    <row r="311" customFormat="false" ht="14.25" hidden="false" customHeight="false" outlineLevel="0" collapsed="false">
      <c r="A311" s="1" t="n">
        <v>1314</v>
      </c>
      <c r="B311" s="29" t="s">
        <v>49</v>
      </c>
      <c r="C311" s="62" t="n">
        <v>1.1</v>
      </c>
      <c r="D311" s="29" t="s">
        <v>63</v>
      </c>
      <c r="E311" s="29" t="s">
        <v>57</v>
      </c>
    </row>
    <row r="312" customFormat="false" ht="14.25" hidden="false" customHeight="false" outlineLevel="0" collapsed="false">
      <c r="A312" s="1" t="n">
        <v>1315</v>
      </c>
      <c r="B312" s="29" t="s">
        <v>61</v>
      </c>
      <c r="C312" s="62" t="n">
        <v>4.8</v>
      </c>
      <c r="D312" s="29" t="s">
        <v>63</v>
      </c>
      <c r="E312" s="29" t="s">
        <v>58</v>
      </c>
    </row>
    <row r="313" customFormat="false" ht="14.25" hidden="false" customHeight="false" outlineLevel="0" collapsed="false">
      <c r="A313" s="1" t="n">
        <v>1316</v>
      </c>
      <c r="B313" s="29" t="s">
        <v>49</v>
      </c>
      <c r="C313" s="62" t="n">
        <v>12.4</v>
      </c>
      <c r="D313" s="29" t="s">
        <v>52</v>
      </c>
      <c r="E313" s="29" t="s">
        <v>58</v>
      </c>
    </row>
    <row r="314" customFormat="false" ht="14.25" hidden="false" customHeight="false" outlineLevel="0" collapsed="false">
      <c r="A314" s="1" t="n">
        <v>1317</v>
      </c>
      <c r="B314" s="29" t="s">
        <v>49</v>
      </c>
      <c r="C314" s="62" t="n">
        <v>0.5</v>
      </c>
      <c r="D314" s="29" t="s">
        <v>52</v>
      </c>
      <c r="E314" s="29" t="s">
        <v>58</v>
      </c>
    </row>
    <row r="315" customFormat="false" ht="14.25" hidden="false" customHeight="false" outlineLevel="0" collapsed="false">
      <c r="A315" s="1" t="n">
        <v>1318</v>
      </c>
      <c r="B315" s="29" t="s">
        <v>49</v>
      </c>
      <c r="C315" s="62" t="n">
        <v>0.7</v>
      </c>
      <c r="D315" s="29" t="s">
        <v>59</v>
      </c>
      <c r="E315" s="29" t="s">
        <v>57</v>
      </c>
    </row>
    <row r="316" customFormat="false" ht="14.25" hidden="false" customHeight="false" outlineLevel="0" collapsed="false">
      <c r="A316" s="1" t="n">
        <v>1319</v>
      </c>
      <c r="B316" s="29" t="s">
        <v>49</v>
      </c>
      <c r="C316" s="62" t="n">
        <v>1.5</v>
      </c>
      <c r="D316" s="29" t="s">
        <v>52</v>
      </c>
      <c r="E316" s="29" t="s">
        <v>58</v>
      </c>
    </row>
    <row r="317" customFormat="false" ht="14.25" hidden="false" customHeight="false" outlineLevel="0" collapsed="false">
      <c r="A317" s="1" t="n">
        <v>1320</v>
      </c>
      <c r="B317" s="29" t="s">
        <v>54</v>
      </c>
      <c r="C317" s="62" t="n">
        <v>38.2</v>
      </c>
      <c r="D317" s="29" t="s">
        <v>67</v>
      </c>
      <c r="E317" s="29" t="s">
        <v>55</v>
      </c>
    </row>
    <row r="318" customFormat="false" ht="14.25" hidden="false" customHeight="false" outlineLevel="0" collapsed="false">
      <c r="A318" s="1" t="n">
        <v>1321</v>
      </c>
      <c r="B318" s="29" t="s">
        <v>49</v>
      </c>
      <c r="C318" s="62" t="n">
        <v>4.3</v>
      </c>
      <c r="D318" s="29" t="s">
        <v>52</v>
      </c>
      <c r="E318" s="29" t="s">
        <v>58</v>
      </c>
    </row>
    <row r="319" customFormat="false" ht="14.25" hidden="false" customHeight="false" outlineLevel="0" collapsed="false">
      <c r="A319" s="1" t="n">
        <v>1322</v>
      </c>
      <c r="B319" s="29" t="s">
        <v>49</v>
      </c>
      <c r="C319" s="62" t="n">
        <v>7.6</v>
      </c>
      <c r="D319" s="29" t="s">
        <v>52</v>
      </c>
      <c r="E319" s="29" t="s">
        <v>58</v>
      </c>
    </row>
    <row r="320" customFormat="false" ht="14.25" hidden="false" customHeight="false" outlineLevel="0" collapsed="false">
      <c r="A320" s="1" t="n">
        <v>1323</v>
      </c>
      <c r="B320" s="29" t="s">
        <v>54</v>
      </c>
      <c r="C320" s="62" t="n">
        <v>57.2</v>
      </c>
      <c r="D320" s="29" t="s">
        <v>71</v>
      </c>
      <c r="E320" s="29" t="s">
        <v>55</v>
      </c>
    </row>
    <row r="321" customFormat="false" ht="14.25" hidden="false" customHeight="false" outlineLevel="0" collapsed="false">
      <c r="A321" s="1" t="n">
        <v>1324</v>
      </c>
      <c r="B321" s="29" t="s">
        <v>49</v>
      </c>
      <c r="C321" s="62" t="n">
        <v>19.3</v>
      </c>
      <c r="D321" s="29" t="s">
        <v>71</v>
      </c>
      <c r="E321" s="29" t="s">
        <v>65</v>
      </c>
    </row>
    <row r="322" customFormat="false" ht="14.25" hidden="false" customHeight="false" outlineLevel="0" collapsed="false">
      <c r="A322" s="1" t="n">
        <v>1325</v>
      </c>
      <c r="B322" s="29" t="s">
        <v>61</v>
      </c>
      <c r="C322" s="62" t="n">
        <v>7</v>
      </c>
      <c r="D322" s="29" t="s">
        <v>71</v>
      </c>
      <c r="E322" s="29" t="s">
        <v>58</v>
      </c>
    </row>
    <row r="323" customFormat="false" ht="14.25" hidden="false" customHeight="false" outlineLevel="0" collapsed="false">
      <c r="A323" s="1" t="n">
        <v>1326</v>
      </c>
      <c r="B323" s="29" t="s">
        <v>49</v>
      </c>
      <c r="C323" s="62" t="n">
        <v>5.2</v>
      </c>
      <c r="D323" s="29" t="s">
        <v>50</v>
      </c>
      <c r="E323" s="29" t="s">
        <v>58</v>
      </c>
    </row>
    <row r="324" customFormat="false" ht="14.25" hidden="false" customHeight="false" outlineLevel="0" collapsed="false">
      <c r="A324" s="1" t="n">
        <v>1327</v>
      </c>
      <c r="B324" s="29" t="s">
        <v>49</v>
      </c>
      <c r="C324" s="62" t="n">
        <v>6.4</v>
      </c>
      <c r="D324" s="29" t="s">
        <v>60</v>
      </c>
      <c r="E324" s="29" t="s">
        <v>58</v>
      </c>
    </row>
    <row r="325" customFormat="false" ht="14.25" hidden="false" customHeight="false" outlineLevel="0" collapsed="false">
      <c r="A325" s="1" t="n">
        <v>1328</v>
      </c>
      <c r="B325" s="29" t="s">
        <v>49</v>
      </c>
      <c r="C325" s="62" t="n">
        <v>51.6</v>
      </c>
      <c r="D325" s="29" t="s">
        <v>60</v>
      </c>
      <c r="E325" s="29" t="s">
        <v>51</v>
      </c>
    </row>
    <row r="326" customFormat="false" ht="14.25" hidden="false" customHeight="false" outlineLevel="0" collapsed="false">
      <c r="A326" s="1" t="n">
        <v>1329</v>
      </c>
      <c r="B326" s="29" t="s">
        <v>54</v>
      </c>
      <c r="C326" s="62" t="n">
        <v>63</v>
      </c>
      <c r="D326" s="29" t="s">
        <v>56</v>
      </c>
      <c r="E326" s="29" t="s">
        <v>66</v>
      </c>
    </row>
    <row r="327" customFormat="false" ht="14.25" hidden="false" customHeight="false" outlineLevel="0" collapsed="false">
      <c r="A327" s="1" t="n">
        <v>1330</v>
      </c>
      <c r="B327" s="29" t="s">
        <v>54</v>
      </c>
      <c r="C327" s="62" t="n">
        <v>32.1</v>
      </c>
      <c r="D327" s="29" t="s">
        <v>56</v>
      </c>
      <c r="E327" s="29" t="s">
        <v>66</v>
      </c>
    </row>
    <row r="328" customFormat="false" ht="14.25" hidden="false" customHeight="false" outlineLevel="0" collapsed="false">
      <c r="A328" s="1" t="n">
        <v>1331</v>
      </c>
      <c r="B328" s="29" t="s">
        <v>54</v>
      </c>
      <c r="C328" s="62" t="n">
        <v>38.2</v>
      </c>
      <c r="D328" s="29" t="s">
        <v>56</v>
      </c>
      <c r="E328" s="29" t="s">
        <v>55</v>
      </c>
    </row>
    <row r="329" customFormat="false" ht="14.25" hidden="false" customHeight="false" outlineLevel="0" collapsed="false">
      <c r="A329" s="1" t="n">
        <v>1332</v>
      </c>
      <c r="B329" s="29" t="s">
        <v>49</v>
      </c>
      <c r="C329" s="62" t="n">
        <v>15.5</v>
      </c>
      <c r="D329" s="29" t="s">
        <v>52</v>
      </c>
      <c r="E329" s="29" t="s">
        <v>58</v>
      </c>
    </row>
    <row r="330" customFormat="false" ht="14.25" hidden="false" customHeight="false" outlineLevel="0" collapsed="false">
      <c r="A330" s="1" t="n">
        <v>1333</v>
      </c>
      <c r="B330" s="29" t="s">
        <v>49</v>
      </c>
      <c r="C330" s="62" t="n">
        <v>4.3</v>
      </c>
      <c r="D330" s="29" t="s">
        <v>63</v>
      </c>
      <c r="E330" s="29" t="s">
        <v>58</v>
      </c>
    </row>
    <row r="331" customFormat="false" ht="14.25" hidden="false" customHeight="false" outlineLevel="0" collapsed="false">
      <c r="A331" s="1" t="n">
        <v>1334</v>
      </c>
      <c r="B331" s="29" t="s">
        <v>49</v>
      </c>
      <c r="C331" s="62" t="n">
        <v>5.1</v>
      </c>
      <c r="D331" s="29" t="s">
        <v>68</v>
      </c>
      <c r="E331" s="29" t="s">
        <v>58</v>
      </c>
    </row>
    <row r="332" customFormat="false" ht="14.25" hidden="false" customHeight="false" outlineLevel="0" collapsed="false">
      <c r="A332" s="1" t="n">
        <v>1335</v>
      </c>
      <c r="B332" s="29" t="s">
        <v>54</v>
      </c>
      <c r="C332" s="62" t="n">
        <v>61.4</v>
      </c>
      <c r="D332" s="29" t="s">
        <v>63</v>
      </c>
      <c r="E332" s="29" t="s">
        <v>55</v>
      </c>
    </row>
    <row r="333" customFormat="false" ht="14.25" hidden="false" customHeight="false" outlineLevel="0" collapsed="false">
      <c r="A333" s="1" t="n">
        <v>1336</v>
      </c>
      <c r="B333" s="29" t="s">
        <v>49</v>
      </c>
      <c r="C333" s="62" t="n">
        <v>7.5</v>
      </c>
      <c r="D333" s="29" t="s">
        <v>67</v>
      </c>
      <c r="E333" s="29" t="s">
        <v>58</v>
      </c>
    </row>
    <row r="334" customFormat="false" ht="14.25" hidden="false" customHeight="false" outlineLevel="0" collapsed="false">
      <c r="A334" s="1" t="n">
        <v>1337</v>
      </c>
      <c r="B334" s="29" t="s">
        <v>54</v>
      </c>
      <c r="C334" s="62" t="n">
        <v>75.1</v>
      </c>
      <c r="D334" s="29" t="s">
        <v>59</v>
      </c>
      <c r="E334" s="29" t="s">
        <v>66</v>
      </c>
    </row>
    <row r="335" customFormat="false" ht="14.25" hidden="false" customHeight="false" outlineLevel="0" collapsed="false">
      <c r="A335" s="1" t="n">
        <v>1338</v>
      </c>
      <c r="B335" s="29" t="s">
        <v>54</v>
      </c>
      <c r="C335" s="62" t="n">
        <v>28.6</v>
      </c>
      <c r="D335" s="29" t="s">
        <v>52</v>
      </c>
      <c r="E335" s="29" t="s">
        <v>55</v>
      </c>
    </row>
    <row r="336" customFormat="false" ht="14.25" hidden="false" customHeight="false" outlineLevel="0" collapsed="false">
      <c r="A336" s="1" t="n">
        <v>1339</v>
      </c>
      <c r="B336" s="29" t="s">
        <v>49</v>
      </c>
      <c r="C336" s="62" t="n">
        <v>9.6</v>
      </c>
      <c r="D336" s="29" t="s">
        <v>52</v>
      </c>
      <c r="E336" s="29" t="s">
        <v>58</v>
      </c>
    </row>
    <row r="337" customFormat="false" ht="14.25" hidden="false" customHeight="false" outlineLevel="0" collapsed="false">
      <c r="A337" s="1" t="n">
        <v>1340</v>
      </c>
      <c r="B337" s="29" t="s">
        <v>54</v>
      </c>
      <c r="C337" s="62" t="n">
        <v>49.9</v>
      </c>
      <c r="D337" s="29" t="s">
        <v>67</v>
      </c>
      <c r="E337" s="29" t="s">
        <v>55</v>
      </c>
    </row>
    <row r="338" customFormat="false" ht="14.25" hidden="false" customHeight="false" outlineLevel="0" collapsed="false">
      <c r="A338" s="1" t="n">
        <v>1341</v>
      </c>
      <c r="B338" s="29" t="s">
        <v>54</v>
      </c>
      <c r="C338" s="62" t="n">
        <v>15</v>
      </c>
      <c r="D338" s="29" t="s">
        <v>69</v>
      </c>
      <c r="E338" s="29" t="s">
        <v>66</v>
      </c>
    </row>
    <row r="339" customFormat="false" ht="14.25" hidden="false" customHeight="false" outlineLevel="0" collapsed="false">
      <c r="A339" s="1" t="n">
        <v>1342</v>
      </c>
      <c r="B339" s="29" t="s">
        <v>49</v>
      </c>
      <c r="C339" s="62" t="n">
        <v>22.7</v>
      </c>
      <c r="D339" s="29" t="s">
        <v>63</v>
      </c>
      <c r="E339" s="29" t="s">
        <v>65</v>
      </c>
    </row>
    <row r="340" customFormat="false" ht="14.25" hidden="false" customHeight="false" outlineLevel="0" collapsed="false">
      <c r="A340" s="1" t="n">
        <v>1343</v>
      </c>
      <c r="B340" s="29" t="s">
        <v>49</v>
      </c>
      <c r="C340" s="62" t="n">
        <v>5.9</v>
      </c>
      <c r="D340" s="29" t="s">
        <v>59</v>
      </c>
      <c r="E340" s="29" t="s">
        <v>53</v>
      </c>
    </row>
    <row r="341" customFormat="false" ht="14.25" hidden="false" customHeight="false" outlineLevel="0" collapsed="false">
      <c r="A341" s="1" t="n">
        <v>1344</v>
      </c>
      <c r="B341" s="29" t="s">
        <v>49</v>
      </c>
      <c r="C341" s="62" t="n">
        <v>15</v>
      </c>
      <c r="D341" s="29" t="s">
        <v>59</v>
      </c>
      <c r="E341" s="29" t="s">
        <v>51</v>
      </c>
    </row>
    <row r="342" customFormat="false" ht="14.25" hidden="false" customHeight="false" outlineLevel="0" collapsed="false">
      <c r="A342" s="1" t="n">
        <v>1345</v>
      </c>
      <c r="B342" s="29" t="s">
        <v>49</v>
      </c>
      <c r="C342" s="62" t="n">
        <v>26.2</v>
      </c>
      <c r="D342" s="29" t="s">
        <v>59</v>
      </c>
      <c r="E342" s="29" t="s">
        <v>65</v>
      </c>
    </row>
    <row r="343" customFormat="false" ht="14.25" hidden="false" customHeight="false" outlineLevel="0" collapsed="false">
      <c r="A343" s="1" t="n">
        <v>1346</v>
      </c>
      <c r="B343" s="29" t="s">
        <v>49</v>
      </c>
      <c r="C343" s="62" t="n">
        <v>12.5</v>
      </c>
      <c r="D343" s="29" t="s">
        <v>59</v>
      </c>
      <c r="E343" s="29" t="s">
        <v>65</v>
      </c>
    </row>
    <row r="344" customFormat="false" ht="14.25" hidden="false" customHeight="false" outlineLevel="0" collapsed="false">
      <c r="A344" s="1" t="n">
        <v>1347</v>
      </c>
      <c r="B344" s="29" t="s">
        <v>54</v>
      </c>
      <c r="C344" s="62" t="n">
        <v>62.8</v>
      </c>
      <c r="D344" s="29" t="s">
        <v>59</v>
      </c>
      <c r="E344" s="29" t="s">
        <v>55</v>
      </c>
    </row>
    <row r="345" customFormat="false" ht="14.25" hidden="false" customHeight="false" outlineLevel="0" collapsed="false">
      <c r="A345" s="1" t="n">
        <v>1348</v>
      </c>
      <c r="B345" s="29" t="s">
        <v>61</v>
      </c>
      <c r="C345" s="62" t="n">
        <v>15</v>
      </c>
      <c r="D345" s="29" t="s">
        <v>59</v>
      </c>
      <c r="E345" s="29" t="s">
        <v>51</v>
      </c>
    </row>
    <row r="346" customFormat="false" ht="14.25" hidden="false" customHeight="false" outlineLevel="0" collapsed="false">
      <c r="A346" s="1" t="n">
        <v>1349</v>
      </c>
      <c r="B346" s="29" t="s">
        <v>49</v>
      </c>
      <c r="C346" s="62" t="n">
        <v>15.5</v>
      </c>
      <c r="D346" s="29" t="s">
        <v>59</v>
      </c>
      <c r="E346" s="29" t="s">
        <v>65</v>
      </c>
    </row>
    <row r="347" customFormat="false" ht="14.25" hidden="false" customHeight="false" outlineLevel="0" collapsed="false">
      <c r="A347" s="1" t="n">
        <v>1350</v>
      </c>
      <c r="B347" s="29" t="s">
        <v>49</v>
      </c>
      <c r="C347" s="62" t="n">
        <v>5.3</v>
      </c>
      <c r="D347" s="29" t="s">
        <v>56</v>
      </c>
      <c r="E347" s="29" t="s">
        <v>58</v>
      </c>
    </row>
    <row r="348" customFormat="false" ht="14.25" hidden="false" customHeight="false" outlineLevel="0" collapsed="false">
      <c r="A348" s="1" t="n">
        <v>1351</v>
      </c>
      <c r="B348" s="29" t="s">
        <v>49</v>
      </c>
      <c r="C348" s="62" t="n">
        <v>9.6</v>
      </c>
      <c r="D348" s="29" t="s">
        <v>56</v>
      </c>
      <c r="E348" s="29" t="s">
        <v>53</v>
      </c>
    </row>
    <row r="349" customFormat="false" ht="14.25" hidden="false" customHeight="false" outlineLevel="0" collapsed="false">
      <c r="A349" s="1" t="n">
        <v>1352</v>
      </c>
      <c r="B349" s="29" t="s">
        <v>49</v>
      </c>
      <c r="C349" s="62" t="n">
        <v>1.1</v>
      </c>
      <c r="D349" s="29" t="s">
        <v>60</v>
      </c>
      <c r="E349" s="29" t="s">
        <v>57</v>
      </c>
    </row>
    <row r="350" customFormat="false" ht="14.25" hidden="false" customHeight="false" outlineLevel="0" collapsed="false">
      <c r="A350" s="1" t="n">
        <v>1353</v>
      </c>
      <c r="B350" s="29" t="s">
        <v>49</v>
      </c>
      <c r="C350" s="62" t="n">
        <v>0.7</v>
      </c>
      <c r="D350" s="29" t="s">
        <v>71</v>
      </c>
      <c r="E350" s="29" t="s">
        <v>57</v>
      </c>
    </row>
    <row r="351" customFormat="false" ht="14.25" hidden="false" customHeight="false" outlineLevel="0" collapsed="false">
      <c r="A351" s="1" t="n">
        <v>1354</v>
      </c>
      <c r="B351" s="29" t="s">
        <v>49</v>
      </c>
      <c r="C351" s="62" t="n">
        <v>21.4</v>
      </c>
      <c r="D351" s="29" t="s">
        <v>71</v>
      </c>
      <c r="E351" s="29" t="s">
        <v>58</v>
      </c>
    </row>
    <row r="352" customFormat="false" ht="14.25" hidden="false" customHeight="false" outlineLevel="0" collapsed="false">
      <c r="A352" s="1" t="n">
        <v>1355</v>
      </c>
      <c r="B352" s="29" t="s">
        <v>49</v>
      </c>
      <c r="C352" s="62" t="n">
        <v>7.3</v>
      </c>
      <c r="D352" s="29" t="s">
        <v>63</v>
      </c>
      <c r="E352" s="29" t="s">
        <v>58</v>
      </c>
    </row>
    <row r="353" customFormat="false" ht="14.25" hidden="false" customHeight="false" outlineLevel="0" collapsed="false">
      <c r="A353" s="1" t="n">
        <v>1356</v>
      </c>
      <c r="B353" s="29" t="s">
        <v>49</v>
      </c>
      <c r="C353" s="62" t="n">
        <v>2.7</v>
      </c>
      <c r="D353" s="29" t="s">
        <v>62</v>
      </c>
      <c r="E353" s="29" t="s">
        <v>58</v>
      </c>
    </row>
    <row r="354" customFormat="false" ht="14.25" hidden="false" customHeight="false" outlineLevel="0" collapsed="false">
      <c r="A354" s="1" t="n">
        <v>1357</v>
      </c>
      <c r="B354" s="29" t="s">
        <v>49</v>
      </c>
      <c r="C354" s="62" t="n">
        <v>6.1</v>
      </c>
      <c r="D354" s="29" t="s">
        <v>60</v>
      </c>
      <c r="E354" s="29" t="s">
        <v>58</v>
      </c>
    </row>
    <row r="355" customFormat="false" ht="14.25" hidden="false" customHeight="false" outlineLevel="0" collapsed="false">
      <c r="A355" s="1" t="n">
        <v>1358</v>
      </c>
      <c r="B355" s="29" t="s">
        <v>49</v>
      </c>
      <c r="C355" s="62" t="n">
        <v>14.1</v>
      </c>
      <c r="D355" s="29" t="s">
        <v>60</v>
      </c>
      <c r="E355" s="29" t="s">
        <v>58</v>
      </c>
    </row>
    <row r="356" customFormat="false" ht="14.25" hidden="false" customHeight="false" outlineLevel="0" collapsed="false">
      <c r="A356" s="1" t="n">
        <v>1359</v>
      </c>
      <c r="B356" s="29" t="s">
        <v>49</v>
      </c>
      <c r="C356" s="62" t="n">
        <v>6.2</v>
      </c>
      <c r="D356" s="29" t="s">
        <v>71</v>
      </c>
      <c r="E356" s="29" t="s">
        <v>58</v>
      </c>
    </row>
    <row r="357" customFormat="false" ht="14.25" hidden="false" customHeight="false" outlineLevel="0" collapsed="false">
      <c r="A357" s="1" t="n">
        <v>1360</v>
      </c>
      <c r="B357" s="29" t="s">
        <v>61</v>
      </c>
      <c r="C357" s="62" t="n">
        <v>9.6</v>
      </c>
      <c r="D357" s="29" t="s">
        <v>50</v>
      </c>
      <c r="E357" s="29" t="s">
        <v>53</v>
      </c>
    </row>
    <row r="358" customFormat="false" ht="14.25" hidden="false" customHeight="false" outlineLevel="0" collapsed="false">
      <c r="A358" s="1" t="n">
        <v>1361</v>
      </c>
      <c r="B358" s="29" t="s">
        <v>49</v>
      </c>
      <c r="C358" s="62" t="n">
        <v>0.7</v>
      </c>
      <c r="D358" s="29" t="s">
        <v>50</v>
      </c>
      <c r="E358" s="29" t="s">
        <v>57</v>
      </c>
    </row>
    <row r="359" customFormat="false" ht="14.25" hidden="false" customHeight="false" outlineLevel="0" collapsed="false">
      <c r="A359" s="1" t="n">
        <v>1362</v>
      </c>
      <c r="B359" s="29" t="s">
        <v>49</v>
      </c>
      <c r="C359" s="62" t="n">
        <v>5.4</v>
      </c>
      <c r="D359" s="29" t="s">
        <v>56</v>
      </c>
      <c r="E359" s="29" t="s">
        <v>58</v>
      </c>
    </row>
    <row r="360" customFormat="false" ht="14.25" hidden="false" customHeight="false" outlineLevel="0" collapsed="false">
      <c r="A360" s="1" t="n">
        <v>1363</v>
      </c>
      <c r="B360" s="29" t="s">
        <v>49</v>
      </c>
      <c r="C360" s="62" t="n">
        <v>9.1</v>
      </c>
      <c r="D360" s="29" t="s">
        <v>56</v>
      </c>
      <c r="E360" s="29" t="s">
        <v>51</v>
      </c>
    </row>
    <row r="361" customFormat="false" ht="14.25" hidden="false" customHeight="false" outlineLevel="0" collapsed="false">
      <c r="A361" s="1" t="n">
        <v>1364</v>
      </c>
      <c r="B361" s="29" t="s">
        <v>61</v>
      </c>
      <c r="C361" s="62" t="n">
        <v>6.3</v>
      </c>
      <c r="D361" s="29" t="s">
        <v>52</v>
      </c>
      <c r="E361" s="29" t="s">
        <v>58</v>
      </c>
    </row>
    <row r="362" customFormat="false" ht="14.25" hidden="false" customHeight="false" outlineLevel="0" collapsed="false">
      <c r="A362" s="1" t="n">
        <v>1365</v>
      </c>
      <c r="B362" s="29" t="s">
        <v>49</v>
      </c>
      <c r="C362" s="62" t="n">
        <v>4.2</v>
      </c>
      <c r="D362" s="29" t="s">
        <v>52</v>
      </c>
      <c r="E362" s="29" t="s">
        <v>53</v>
      </c>
    </row>
    <row r="363" customFormat="false" ht="14.25" hidden="false" customHeight="false" outlineLevel="0" collapsed="false">
      <c r="A363" s="1" t="n">
        <v>1366</v>
      </c>
      <c r="B363" s="29" t="s">
        <v>49</v>
      </c>
      <c r="C363" s="62" t="n">
        <v>7.2</v>
      </c>
      <c r="D363" s="29" t="s">
        <v>59</v>
      </c>
      <c r="E363" s="29" t="s">
        <v>58</v>
      </c>
    </row>
    <row r="364" customFormat="false" ht="14.25" hidden="false" customHeight="false" outlineLevel="0" collapsed="false">
      <c r="A364" s="1" t="n">
        <v>1367</v>
      </c>
      <c r="B364" s="29" t="s">
        <v>49</v>
      </c>
      <c r="C364" s="62" t="n">
        <v>6.4</v>
      </c>
      <c r="D364" s="29" t="s">
        <v>56</v>
      </c>
      <c r="E364" s="29" t="s">
        <v>58</v>
      </c>
    </row>
    <row r="365" customFormat="false" ht="14.25" hidden="false" customHeight="false" outlineLevel="0" collapsed="false">
      <c r="A365" s="1" t="n">
        <v>1368</v>
      </c>
      <c r="B365" s="29" t="s">
        <v>49</v>
      </c>
      <c r="C365" s="62" t="n">
        <v>3.9</v>
      </c>
      <c r="D365" s="29" t="s">
        <v>56</v>
      </c>
      <c r="E365" s="29" t="s">
        <v>53</v>
      </c>
    </row>
    <row r="366" customFormat="false" ht="14.25" hidden="false" customHeight="false" outlineLevel="0" collapsed="false">
      <c r="A366" s="1" t="n">
        <v>1369</v>
      </c>
      <c r="B366" s="29" t="s">
        <v>49</v>
      </c>
      <c r="C366" s="62" t="n">
        <v>1.8</v>
      </c>
      <c r="D366" s="29" t="s">
        <v>52</v>
      </c>
      <c r="E366" s="29" t="s">
        <v>57</v>
      </c>
    </row>
    <row r="367" customFormat="false" ht="14.25" hidden="false" customHeight="false" outlineLevel="0" collapsed="false">
      <c r="A367" s="1" t="n">
        <v>1370</v>
      </c>
      <c r="B367" s="29" t="s">
        <v>49</v>
      </c>
      <c r="C367" s="62" t="n">
        <v>36.6</v>
      </c>
      <c r="D367" s="29" t="s">
        <v>59</v>
      </c>
      <c r="E367" s="29" t="s">
        <v>57</v>
      </c>
    </row>
    <row r="368" customFormat="false" ht="14.25" hidden="false" customHeight="false" outlineLevel="0" collapsed="false">
      <c r="A368" s="1" t="n">
        <v>1371</v>
      </c>
      <c r="B368" s="29" t="s">
        <v>49</v>
      </c>
      <c r="C368" s="62" t="n">
        <v>7.9</v>
      </c>
      <c r="D368" s="29" t="s">
        <v>59</v>
      </c>
      <c r="E368" s="29" t="s">
        <v>58</v>
      </c>
    </row>
    <row r="369" customFormat="false" ht="14.25" hidden="false" customHeight="false" outlineLevel="0" collapsed="false">
      <c r="A369" s="1" t="n">
        <v>1372</v>
      </c>
      <c r="B369" s="29" t="s">
        <v>49</v>
      </c>
      <c r="C369" s="62" t="n">
        <v>5.1</v>
      </c>
      <c r="D369" s="29" t="s">
        <v>59</v>
      </c>
      <c r="E369" s="29" t="s">
        <v>58</v>
      </c>
    </row>
    <row r="370" customFormat="false" ht="14.25" hidden="false" customHeight="false" outlineLevel="0" collapsed="false">
      <c r="A370" s="1" t="n">
        <v>1373</v>
      </c>
      <c r="B370" s="29" t="s">
        <v>61</v>
      </c>
      <c r="C370" s="62" t="n">
        <v>6.6</v>
      </c>
      <c r="D370" s="29" t="s">
        <v>62</v>
      </c>
      <c r="E370" s="29" t="s">
        <v>58</v>
      </c>
    </row>
    <row r="371" customFormat="false" ht="14.25" hidden="false" customHeight="false" outlineLevel="0" collapsed="false">
      <c r="A371" s="1" t="n">
        <v>1374</v>
      </c>
      <c r="B371" s="29" t="s">
        <v>49</v>
      </c>
      <c r="C371" s="62" t="n">
        <v>4.2</v>
      </c>
      <c r="D371" s="29" t="s">
        <v>67</v>
      </c>
      <c r="E371" s="29" t="s">
        <v>57</v>
      </c>
    </row>
    <row r="372" customFormat="false" ht="14.25" hidden="false" customHeight="false" outlineLevel="0" collapsed="false">
      <c r="A372" s="1" t="n">
        <v>1375</v>
      </c>
      <c r="B372" s="29" t="s">
        <v>61</v>
      </c>
      <c r="C372" s="62" t="n">
        <v>9.6</v>
      </c>
      <c r="D372" s="29" t="s">
        <v>59</v>
      </c>
      <c r="E372" s="29" t="s">
        <v>58</v>
      </c>
    </row>
    <row r="373" customFormat="false" ht="14.25" hidden="false" customHeight="false" outlineLevel="0" collapsed="false">
      <c r="A373" s="1" t="n">
        <v>1376</v>
      </c>
      <c r="B373" s="29" t="s">
        <v>49</v>
      </c>
      <c r="C373" s="62" t="n">
        <v>6.7</v>
      </c>
      <c r="D373" s="29" t="s">
        <v>59</v>
      </c>
      <c r="E373" s="29" t="s">
        <v>58</v>
      </c>
    </row>
    <row r="374" customFormat="false" ht="14.25" hidden="false" customHeight="false" outlineLevel="0" collapsed="false">
      <c r="A374" s="1" t="n">
        <v>1377</v>
      </c>
      <c r="B374" s="29" t="s">
        <v>49</v>
      </c>
      <c r="C374" s="62" t="n">
        <v>1.3</v>
      </c>
      <c r="D374" s="29" t="s">
        <v>59</v>
      </c>
      <c r="E374" s="29" t="s">
        <v>57</v>
      </c>
    </row>
    <row r="375" customFormat="false" ht="14.25" hidden="false" customHeight="false" outlineLevel="0" collapsed="false">
      <c r="A375" s="1" t="n">
        <v>1378</v>
      </c>
      <c r="B375" s="29" t="s">
        <v>54</v>
      </c>
      <c r="C375" s="62" t="n">
        <v>46.8</v>
      </c>
      <c r="D375" s="29" t="s">
        <v>71</v>
      </c>
      <c r="E375" s="29" t="s">
        <v>55</v>
      </c>
    </row>
    <row r="376" customFormat="false" ht="14.25" hidden="false" customHeight="false" outlineLevel="0" collapsed="false">
      <c r="A376" s="1" t="n">
        <v>1379</v>
      </c>
      <c r="B376" s="29" t="s">
        <v>49</v>
      </c>
      <c r="C376" s="62" t="n">
        <v>7.5</v>
      </c>
      <c r="D376" s="29" t="s">
        <v>50</v>
      </c>
      <c r="E376" s="29" t="s">
        <v>58</v>
      </c>
    </row>
    <row r="377" customFormat="false" ht="14.25" hidden="false" customHeight="false" outlineLevel="0" collapsed="false">
      <c r="A377" s="1" t="n">
        <v>1380</v>
      </c>
      <c r="B377" s="29" t="s">
        <v>49</v>
      </c>
      <c r="C377" s="62" t="n">
        <v>2.1</v>
      </c>
      <c r="D377" s="29" t="s">
        <v>50</v>
      </c>
      <c r="E377" s="29" t="s">
        <v>53</v>
      </c>
    </row>
    <row r="378" customFormat="false" ht="14.25" hidden="false" customHeight="false" outlineLevel="0" collapsed="false">
      <c r="A378" s="1" t="n">
        <v>1381</v>
      </c>
      <c r="B378" s="29" t="s">
        <v>61</v>
      </c>
      <c r="C378" s="62" t="n">
        <v>1</v>
      </c>
      <c r="D378" s="29" t="s">
        <v>50</v>
      </c>
      <c r="E378" s="29" t="s">
        <v>57</v>
      </c>
    </row>
    <row r="379" customFormat="false" ht="14.25" hidden="false" customHeight="false" outlineLevel="0" collapsed="false">
      <c r="A379" s="1" t="n">
        <v>1382</v>
      </c>
      <c r="B379" s="29" t="s">
        <v>49</v>
      </c>
      <c r="C379" s="62" t="n">
        <v>2.2</v>
      </c>
      <c r="D379" s="29" t="s">
        <v>59</v>
      </c>
      <c r="E379" s="29" t="s">
        <v>57</v>
      </c>
    </row>
    <row r="380" customFormat="false" ht="14.25" hidden="false" customHeight="false" outlineLevel="0" collapsed="false">
      <c r="A380" s="1" t="n">
        <v>1383</v>
      </c>
      <c r="B380" s="29" t="s">
        <v>49</v>
      </c>
      <c r="C380" s="62" t="n">
        <v>11.1</v>
      </c>
      <c r="D380" s="29" t="s">
        <v>59</v>
      </c>
      <c r="E380" s="29" t="s">
        <v>58</v>
      </c>
    </row>
    <row r="381" customFormat="false" ht="14.25" hidden="false" customHeight="false" outlineLevel="0" collapsed="false">
      <c r="A381" s="1" t="n">
        <v>1384</v>
      </c>
      <c r="B381" s="29" t="s">
        <v>49</v>
      </c>
      <c r="C381" s="62" t="n">
        <v>5.9</v>
      </c>
      <c r="D381" s="29" t="s">
        <v>59</v>
      </c>
      <c r="E381" s="29" t="s">
        <v>58</v>
      </c>
    </row>
    <row r="382" customFormat="false" ht="14.25" hidden="false" customHeight="false" outlineLevel="0" collapsed="false">
      <c r="A382" s="1" t="n">
        <v>1385</v>
      </c>
      <c r="B382" s="29" t="s">
        <v>49</v>
      </c>
      <c r="C382" s="62" t="n">
        <v>9.6</v>
      </c>
      <c r="D382" s="29" t="s">
        <v>59</v>
      </c>
      <c r="E382" s="29" t="s">
        <v>58</v>
      </c>
    </row>
    <row r="383" customFormat="false" ht="14.25" hidden="false" customHeight="false" outlineLevel="0" collapsed="false">
      <c r="A383" s="1" t="n">
        <v>1386</v>
      </c>
      <c r="B383" s="29" t="s">
        <v>49</v>
      </c>
      <c r="C383" s="62" t="n">
        <v>1.9</v>
      </c>
      <c r="D383" s="29" t="s">
        <v>60</v>
      </c>
      <c r="E383" s="29" t="s">
        <v>57</v>
      </c>
    </row>
    <row r="384" customFormat="false" ht="14.25" hidden="false" customHeight="false" outlineLevel="0" collapsed="false">
      <c r="A384" s="1" t="n">
        <v>1387</v>
      </c>
      <c r="B384" s="29" t="s">
        <v>49</v>
      </c>
      <c r="C384" s="62" t="n">
        <v>9.2</v>
      </c>
      <c r="D384" s="29" t="s">
        <v>62</v>
      </c>
      <c r="E384" s="29" t="s">
        <v>51</v>
      </c>
    </row>
    <row r="385" customFormat="false" ht="14.25" hidden="false" customHeight="false" outlineLevel="0" collapsed="false">
      <c r="A385" s="1" t="n">
        <v>1388</v>
      </c>
      <c r="B385" s="29" t="s">
        <v>54</v>
      </c>
      <c r="C385" s="62" t="n">
        <v>74.2</v>
      </c>
      <c r="D385" s="29" t="s">
        <v>62</v>
      </c>
      <c r="E385" s="29" t="s">
        <v>66</v>
      </c>
    </row>
    <row r="386" customFormat="false" ht="14.25" hidden="false" customHeight="false" outlineLevel="0" collapsed="false">
      <c r="A386" s="1" t="n">
        <v>1389</v>
      </c>
      <c r="B386" s="29" t="s">
        <v>49</v>
      </c>
      <c r="C386" s="62" t="n">
        <v>9.6</v>
      </c>
      <c r="D386" s="29" t="s">
        <v>62</v>
      </c>
      <c r="E386" s="29" t="s">
        <v>53</v>
      </c>
    </row>
    <row r="387" customFormat="false" ht="14.25" hidden="false" customHeight="false" outlineLevel="0" collapsed="false">
      <c r="A387" s="1" t="n">
        <v>1390</v>
      </c>
      <c r="B387" s="29" t="s">
        <v>49</v>
      </c>
      <c r="C387" s="62" t="n">
        <v>7.9</v>
      </c>
      <c r="D387" s="29" t="s">
        <v>62</v>
      </c>
      <c r="E387" s="29" t="s">
        <v>53</v>
      </c>
    </row>
    <row r="388" customFormat="false" ht="14.25" hidden="false" customHeight="false" outlineLevel="0" collapsed="false">
      <c r="A388" s="1" t="n">
        <v>1391</v>
      </c>
      <c r="B388" s="29" t="s">
        <v>49</v>
      </c>
      <c r="C388" s="62" t="n">
        <v>6.2</v>
      </c>
      <c r="D388" s="29" t="s">
        <v>59</v>
      </c>
      <c r="E388" s="29" t="s">
        <v>51</v>
      </c>
    </row>
    <row r="389" customFormat="false" ht="14.25" hidden="false" customHeight="false" outlineLevel="0" collapsed="false">
      <c r="A389" s="1" t="n">
        <v>1392</v>
      </c>
      <c r="B389" s="29" t="s">
        <v>49</v>
      </c>
      <c r="C389" s="62" t="n">
        <v>5.1</v>
      </c>
      <c r="D389" s="29" t="s">
        <v>50</v>
      </c>
      <c r="E389" s="29" t="s">
        <v>58</v>
      </c>
    </row>
    <row r="390" customFormat="false" ht="14.25" hidden="false" customHeight="false" outlineLevel="0" collapsed="false">
      <c r="A390" s="1" t="n">
        <v>1393</v>
      </c>
      <c r="B390" s="29" t="s">
        <v>49</v>
      </c>
      <c r="C390" s="62" t="n">
        <v>0.9</v>
      </c>
      <c r="D390" s="29" t="s">
        <v>70</v>
      </c>
      <c r="E390" s="29" t="s">
        <v>57</v>
      </c>
    </row>
    <row r="391" customFormat="false" ht="14.25" hidden="false" customHeight="false" outlineLevel="0" collapsed="false">
      <c r="A391" s="1" t="n">
        <v>1394</v>
      </c>
      <c r="B391" s="29" t="s">
        <v>49</v>
      </c>
      <c r="C391" s="62" t="n">
        <v>6.1</v>
      </c>
      <c r="D391" s="29" t="s">
        <v>59</v>
      </c>
      <c r="E391" s="29" t="s">
        <v>58</v>
      </c>
    </row>
    <row r="392" customFormat="false" ht="14.25" hidden="false" customHeight="false" outlineLevel="0" collapsed="false">
      <c r="A392" s="1" t="n">
        <v>1395</v>
      </c>
      <c r="B392" s="29" t="s">
        <v>49</v>
      </c>
      <c r="C392" s="62" t="n">
        <v>4.7</v>
      </c>
      <c r="D392" s="29" t="s">
        <v>68</v>
      </c>
      <c r="E392" s="29" t="s">
        <v>57</v>
      </c>
    </row>
    <row r="393" customFormat="false" ht="14.25" hidden="false" customHeight="false" outlineLevel="0" collapsed="false">
      <c r="A393" s="1" t="n">
        <v>1396</v>
      </c>
      <c r="B393" s="29" t="s">
        <v>49</v>
      </c>
      <c r="C393" s="62" t="n">
        <v>8.6</v>
      </c>
      <c r="D393" s="29" t="s">
        <v>63</v>
      </c>
      <c r="E393" s="29" t="s">
        <v>58</v>
      </c>
    </row>
    <row r="394" customFormat="false" ht="14.25" hidden="false" customHeight="false" outlineLevel="0" collapsed="false">
      <c r="A394" s="1" t="n">
        <v>1397</v>
      </c>
      <c r="B394" s="29" t="s">
        <v>49</v>
      </c>
      <c r="C394" s="62" t="n">
        <v>6.4</v>
      </c>
      <c r="D394" s="29" t="s">
        <v>59</v>
      </c>
      <c r="E394" s="29" t="s">
        <v>57</v>
      </c>
    </row>
    <row r="395" customFormat="false" ht="14.25" hidden="false" customHeight="false" outlineLevel="0" collapsed="false">
      <c r="A395" s="1" t="n">
        <v>1398</v>
      </c>
      <c r="B395" s="29" t="s">
        <v>49</v>
      </c>
      <c r="C395" s="62" t="n">
        <v>3.9</v>
      </c>
      <c r="D395" s="29" t="s">
        <v>59</v>
      </c>
      <c r="E395" s="29" t="s">
        <v>57</v>
      </c>
    </row>
    <row r="396" customFormat="false" ht="14.25" hidden="false" customHeight="false" outlineLevel="0" collapsed="false">
      <c r="A396" s="1" t="n">
        <v>1399</v>
      </c>
      <c r="B396" s="29" t="s">
        <v>49</v>
      </c>
      <c r="C396" s="62" t="n">
        <v>4.3</v>
      </c>
      <c r="D396" s="29" t="s">
        <v>52</v>
      </c>
      <c r="E396" s="29" t="s">
        <v>58</v>
      </c>
    </row>
    <row r="397" customFormat="false" ht="14.25" hidden="false" customHeight="false" outlineLevel="0" collapsed="false">
      <c r="A397" s="1" t="n">
        <v>1400</v>
      </c>
      <c r="B397" s="29" t="s">
        <v>49</v>
      </c>
      <c r="C397" s="62" t="n">
        <v>5.6</v>
      </c>
      <c r="D397" s="29" t="s">
        <v>56</v>
      </c>
      <c r="E397" s="29" t="s">
        <v>58</v>
      </c>
    </row>
    <row r="398" customFormat="false" ht="14.25" hidden="false" customHeight="false" outlineLevel="0" collapsed="false">
      <c r="A398" s="1" t="n">
        <v>1401</v>
      </c>
      <c r="B398" s="29" t="s">
        <v>49</v>
      </c>
      <c r="C398" s="62" t="n">
        <v>7.6</v>
      </c>
      <c r="D398" s="29" t="s">
        <v>56</v>
      </c>
      <c r="E398" s="29" t="s">
        <v>58</v>
      </c>
    </row>
    <row r="399" customFormat="false" ht="14.25" hidden="false" customHeight="false" outlineLevel="0" collapsed="false">
      <c r="A399" s="1" t="n">
        <v>1402</v>
      </c>
      <c r="B399" s="29" t="s">
        <v>54</v>
      </c>
      <c r="C399" s="62" t="n">
        <v>48.7</v>
      </c>
      <c r="D399" s="29" t="s">
        <v>63</v>
      </c>
      <c r="E399" s="29" t="s">
        <v>55</v>
      </c>
    </row>
    <row r="400" customFormat="false" ht="14.25" hidden="false" customHeight="false" outlineLevel="0" collapsed="false">
      <c r="A400" s="1" t="n">
        <v>1403</v>
      </c>
      <c r="B400" s="29" t="s">
        <v>49</v>
      </c>
      <c r="C400" s="62" t="n">
        <v>4.3</v>
      </c>
      <c r="D400" s="29" t="s">
        <v>59</v>
      </c>
      <c r="E400" s="29" t="s">
        <v>58</v>
      </c>
    </row>
    <row r="401" customFormat="false" ht="14.25" hidden="false" customHeight="false" outlineLevel="0" collapsed="false">
      <c r="A401" s="1" t="n">
        <v>1404</v>
      </c>
      <c r="B401" s="29" t="s">
        <v>49</v>
      </c>
      <c r="C401" s="62" t="n">
        <v>7.6</v>
      </c>
      <c r="D401" s="29" t="s">
        <v>71</v>
      </c>
      <c r="E401" s="29" t="s">
        <v>51</v>
      </c>
    </row>
    <row r="402" customFormat="false" ht="14.25" hidden="false" customHeight="false" outlineLevel="0" collapsed="false">
      <c r="A402" s="1" t="n">
        <v>1405</v>
      </c>
      <c r="B402" s="29" t="s">
        <v>49</v>
      </c>
      <c r="C402" s="62" t="n">
        <v>1.5</v>
      </c>
      <c r="D402" s="29" t="s">
        <v>70</v>
      </c>
      <c r="E402" s="29" t="s">
        <v>58</v>
      </c>
    </row>
    <row r="403" customFormat="false" ht="14.25" hidden="false" customHeight="false" outlineLevel="0" collapsed="false">
      <c r="A403" s="1" t="n">
        <v>1406</v>
      </c>
      <c r="B403" s="29" t="s">
        <v>54</v>
      </c>
      <c r="C403" s="62" t="n">
        <v>29.7</v>
      </c>
      <c r="D403" s="29" t="s">
        <v>59</v>
      </c>
      <c r="E403" s="29" t="s">
        <v>55</v>
      </c>
    </row>
    <row r="404" customFormat="false" ht="14.25" hidden="false" customHeight="false" outlineLevel="0" collapsed="false">
      <c r="A404" s="1" t="n">
        <v>1407</v>
      </c>
      <c r="B404" s="29" t="s">
        <v>61</v>
      </c>
      <c r="C404" s="62" t="n">
        <v>42.4</v>
      </c>
      <c r="D404" s="29" t="s">
        <v>59</v>
      </c>
      <c r="E404" s="29" t="s">
        <v>51</v>
      </c>
    </row>
    <row r="405" customFormat="false" ht="14.25" hidden="false" customHeight="false" outlineLevel="0" collapsed="false">
      <c r="A405" s="1" t="n">
        <v>1408</v>
      </c>
      <c r="B405" s="29" t="s">
        <v>49</v>
      </c>
      <c r="C405" s="62" t="n">
        <v>10.8</v>
      </c>
      <c r="D405" s="29" t="s">
        <v>59</v>
      </c>
      <c r="E405" s="29" t="s">
        <v>58</v>
      </c>
    </row>
    <row r="406" customFormat="false" ht="14.25" hidden="false" customHeight="false" outlineLevel="0" collapsed="false">
      <c r="A406" s="1" t="n">
        <v>1409</v>
      </c>
      <c r="B406" s="29" t="s">
        <v>49</v>
      </c>
      <c r="C406" s="62" t="n">
        <v>5.6</v>
      </c>
      <c r="D406" s="29" t="s">
        <v>59</v>
      </c>
      <c r="E406" s="29" t="s">
        <v>58</v>
      </c>
    </row>
    <row r="407" customFormat="false" ht="14.25" hidden="false" customHeight="false" outlineLevel="0" collapsed="false">
      <c r="A407" s="1" t="n">
        <v>1410</v>
      </c>
      <c r="B407" s="29" t="s">
        <v>49</v>
      </c>
      <c r="C407" s="62" t="n">
        <v>61.9</v>
      </c>
      <c r="D407" s="29" t="s">
        <v>59</v>
      </c>
      <c r="E407" s="29" t="s">
        <v>58</v>
      </c>
    </row>
    <row r="408" customFormat="false" ht="14.25" hidden="false" customHeight="false" outlineLevel="0" collapsed="false">
      <c r="A408" s="1" t="n">
        <v>1411</v>
      </c>
      <c r="B408" s="29" t="s">
        <v>49</v>
      </c>
      <c r="C408" s="62" t="n">
        <v>8</v>
      </c>
      <c r="D408" s="29" t="s">
        <v>52</v>
      </c>
      <c r="E408" s="29" t="s">
        <v>58</v>
      </c>
    </row>
    <row r="409" customFormat="false" ht="14.25" hidden="false" customHeight="false" outlineLevel="0" collapsed="false">
      <c r="A409" s="1" t="n">
        <v>1412</v>
      </c>
      <c r="B409" s="29" t="s">
        <v>49</v>
      </c>
      <c r="C409" s="62" t="n">
        <v>5.5</v>
      </c>
      <c r="D409" s="29" t="s">
        <v>67</v>
      </c>
      <c r="E409" s="29" t="s">
        <v>58</v>
      </c>
    </row>
    <row r="410" customFormat="false" ht="14.25" hidden="false" customHeight="false" outlineLevel="0" collapsed="false">
      <c r="A410" s="1" t="n">
        <v>1413</v>
      </c>
      <c r="B410" s="29" t="s">
        <v>49</v>
      </c>
      <c r="C410" s="62" t="n">
        <v>6.1</v>
      </c>
      <c r="D410" s="29" t="s">
        <v>52</v>
      </c>
      <c r="E410" s="29" t="s">
        <v>58</v>
      </c>
    </row>
    <row r="411" customFormat="false" ht="14.25" hidden="false" customHeight="false" outlineLevel="0" collapsed="false">
      <c r="A411" s="1" t="n">
        <v>1414</v>
      </c>
      <c r="B411" s="29" t="s">
        <v>49</v>
      </c>
      <c r="C411" s="62" t="n">
        <v>15</v>
      </c>
      <c r="D411" s="29" t="s">
        <v>71</v>
      </c>
      <c r="E411" s="29" t="s">
        <v>51</v>
      </c>
    </row>
    <row r="412" customFormat="false" ht="14.25" hidden="false" customHeight="false" outlineLevel="0" collapsed="false">
      <c r="A412" s="1" t="n">
        <v>1415</v>
      </c>
      <c r="B412" s="29" t="s">
        <v>49</v>
      </c>
      <c r="C412" s="62" t="n">
        <v>12.3</v>
      </c>
      <c r="D412" s="29" t="s">
        <v>60</v>
      </c>
      <c r="E412" s="29" t="s">
        <v>58</v>
      </c>
    </row>
    <row r="413" customFormat="false" ht="14.25" hidden="false" customHeight="false" outlineLevel="0" collapsed="false">
      <c r="A413" s="1" t="n">
        <v>1416</v>
      </c>
      <c r="B413" s="29" t="s">
        <v>54</v>
      </c>
      <c r="C413" s="62" t="n">
        <v>74.4</v>
      </c>
      <c r="D413" s="29" t="s">
        <v>60</v>
      </c>
      <c r="E413" s="29" t="s">
        <v>66</v>
      </c>
    </row>
    <row r="414" customFormat="false" ht="14.25" hidden="false" customHeight="false" outlineLevel="0" collapsed="false">
      <c r="A414" s="1" t="n">
        <v>1417</v>
      </c>
      <c r="B414" s="29" t="s">
        <v>49</v>
      </c>
      <c r="C414" s="62" t="n">
        <v>2.1</v>
      </c>
      <c r="D414" s="29" t="s">
        <v>50</v>
      </c>
      <c r="E414" s="29" t="s">
        <v>53</v>
      </c>
    </row>
    <row r="415" customFormat="false" ht="14.25" hidden="false" customHeight="false" outlineLevel="0" collapsed="false">
      <c r="A415" s="1" t="n">
        <v>1418</v>
      </c>
      <c r="B415" s="29" t="s">
        <v>49</v>
      </c>
      <c r="C415" s="62" t="n">
        <v>1.1</v>
      </c>
      <c r="D415" s="29" t="s">
        <v>50</v>
      </c>
      <c r="E415" s="29" t="s">
        <v>53</v>
      </c>
    </row>
    <row r="416" customFormat="false" ht="14.25" hidden="false" customHeight="false" outlineLevel="0" collapsed="false">
      <c r="A416" s="1" t="n">
        <v>1419</v>
      </c>
      <c r="B416" s="29" t="s">
        <v>49</v>
      </c>
      <c r="C416" s="62" t="n">
        <v>7.7</v>
      </c>
      <c r="D416" s="29" t="s">
        <v>63</v>
      </c>
      <c r="E416" s="29" t="s">
        <v>58</v>
      </c>
    </row>
    <row r="417" customFormat="false" ht="14.25" hidden="false" customHeight="false" outlineLevel="0" collapsed="false">
      <c r="A417" s="1" t="n">
        <v>1420</v>
      </c>
      <c r="B417" s="29" t="s">
        <v>54</v>
      </c>
      <c r="C417" s="62" t="n">
        <v>61.4</v>
      </c>
      <c r="D417" s="29" t="s">
        <v>63</v>
      </c>
      <c r="E417" s="29" t="s">
        <v>55</v>
      </c>
    </row>
    <row r="418" customFormat="false" ht="14.25" hidden="false" customHeight="false" outlineLevel="0" collapsed="false">
      <c r="A418" s="1" t="n">
        <v>1421</v>
      </c>
      <c r="B418" s="29" t="s">
        <v>49</v>
      </c>
      <c r="C418" s="62" t="n">
        <v>2.1</v>
      </c>
      <c r="D418" s="29" t="s">
        <v>56</v>
      </c>
      <c r="E418" s="29" t="s">
        <v>57</v>
      </c>
    </row>
    <row r="419" customFormat="false" ht="14.25" hidden="false" customHeight="false" outlineLevel="0" collapsed="false">
      <c r="A419" s="1" t="n">
        <v>1422</v>
      </c>
      <c r="B419" s="29" t="s">
        <v>61</v>
      </c>
      <c r="C419" s="62" t="n">
        <v>1.6</v>
      </c>
      <c r="D419" s="29" t="s">
        <v>52</v>
      </c>
      <c r="E419" s="29" t="s">
        <v>58</v>
      </c>
    </row>
    <row r="420" customFormat="false" ht="14.25" hidden="false" customHeight="false" outlineLevel="0" collapsed="false">
      <c r="A420" s="1" t="n">
        <v>1423</v>
      </c>
      <c r="B420" s="29" t="s">
        <v>49</v>
      </c>
      <c r="C420" s="62" t="n">
        <v>5.2</v>
      </c>
      <c r="D420" s="29" t="s">
        <v>50</v>
      </c>
      <c r="E420" s="29" t="s">
        <v>58</v>
      </c>
    </row>
    <row r="421" customFormat="false" ht="14.25" hidden="false" customHeight="false" outlineLevel="0" collapsed="false">
      <c r="A421" s="1" t="n">
        <v>1424</v>
      </c>
      <c r="B421" s="29" t="s">
        <v>49</v>
      </c>
      <c r="C421" s="62" t="n">
        <v>6.3</v>
      </c>
      <c r="D421" s="29" t="s">
        <v>50</v>
      </c>
      <c r="E421" s="29" t="s">
        <v>58</v>
      </c>
    </row>
    <row r="422" customFormat="false" ht="14.25" hidden="false" customHeight="false" outlineLevel="0" collapsed="false">
      <c r="A422" s="1" t="n">
        <v>1425</v>
      </c>
      <c r="B422" s="29" t="s">
        <v>49</v>
      </c>
      <c r="C422" s="62" t="n">
        <v>7.6</v>
      </c>
      <c r="D422" s="29" t="s">
        <v>50</v>
      </c>
      <c r="E422" s="29" t="s">
        <v>58</v>
      </c>
    </row>
    <row r="423" customFormat="false" ht="14.25" hidden="false" customHeight="false" outlineLevel="0" collapsed="false">
      <c r="A423" s="1" t="n">
        <v>1426</v>
      </c>
      <c r="B423" s="29" t="s">
        <v>49</v>
      </c>
      <c r="C423" s="62" t="n">
        <v>1.6</v>
      </c>
      <c r="D423" s="29" t="s">
        <v>70</v>
      </c>
      <c r="E423" s="29" t="s">
        <v>58</v>
      </c>
    </row>
    <row r="424" customFormat="false" ht="14.25" hidden="false" customHeight="false" outlineLevel="0" collapsed="false">
      <c r="A424" s="1" t="n">
        <v>1427</v>
      </c>
      <c r="B424" s="29" t="s">
        <v>49</v>
      </c>
      <c r="C424" s="62" t="n">
        <v>4.2</v>
      </c>
      <c r="D424" s="29" t="s">
        <v>70</v>
      </c>
      <c r="E424" s="29" t="s">
        <v>57</v>
      </c>
    </row>
    <row r="425" customFormat="false" ht="14.25" hidden="false" customHeight="false" outlineLevel="0" collapsed="false">
      <c r="A425" s="1" t="n">
        <v>1428</v>
      </c>
      <c r="B425" s="29" t="s">
        <v>49</v>
      </c>
      <c r="C425" s="62" t="n">
        <v>7.1</v>
      </c>
      <c r="D425" s="29" t="s">
        <v>70</v>
      </c>
      <c r="E425" s="29" t="s">
        <v>58</v>
      </c>
    </row>
    <row r="426" customFormat="false" ht="14.25" hidden="false" customHeight="false" outlineLevel="0" collapsed="false">
      <c r="A426" s="1" t="n">
        <v>1429</v>
      </c>
      <c r="B426" s="29" t="s">
        <v>49</v>
      </c>
      <c r="C426" s="62" t="n">
        <v>8.4</v>
      </c>
      <c r="D426" s="29" t="s">
        <v>70</v>
      </c>
      <c r="E426" s="29" t="s">
        <v>58</v>
      </c>
    </row>
    <row r="427" customFormat="false" ht="14.25" hidden="false" customHeight="false" outlineLevel="0" collapsed="false">
      <c r="A427" s="1" t="n">
        <v>1430</v>
      </c>
      <c r="B427" s="29" t="s">
        <v>49</v>
      </c>
      <c r="C427" s="62" t="n">
        <v>15.8</v>
      </c>
      <c r="D427" s="29" t="s">
        <v>56</v>
      </c>
      <c r="E427" s="29" t="s">
        <v>58</v>
      </c>
    </row>
    <row r="428" customFormat="false" ht="14.25" hidden="false" customHeight="false" outlineLevel="0" collapsed="false">
      <c r="A428" s="1" t="n">
        <v>1431</v>
      </c>
      <c r="B428" s="29" t="s">
        <v>61</v>
      </c>
      <c r="C428" s="62" t="n">
        <v>4.3</v>
      </c>
      <c r="D428" s="29" t="s">
        <v>62</v>
      </c>
      <c r="E428" s="29" t="s">
        <v>58</v>
      </c>
    </row>
    <row r="429" customFormat="false" ht="14.25" hidden="false" customHeight="false" outlineLevel="0" collapsed="false">
      <c r="A429" s="1" t="n">
        <v>1432</v>
      </c>
      <c r="B429" s="29" t="s">
        <v>49</v>
      </c>
      <c r="C429" s="62" t="n">
        <v>0.7</v>
      </c>
      <c r="D429" s="29" t="s">
        <v>60</v>
      </c>
      <c r="E429" s="29" t="s">
        <v>57</v>
      </c>
    </row>
    <row r="430" customFormat="false" ht="14.25" hidden="false" customHeight="false" outlineLevel="0" collapsed="false">
      <c r="A430" s="1" t="n">
        <v>1433</v>
      </c>
      <c r="B430" s="29" t="s">
        <v>49</v>
      </c>
      <c r="C430" s="62" t="n">
        <v>1.3</v>
      </c>
      <c r="D430" s="29" t="s">
        <v>69</v>
      </c>
      <c r="E430" s="29" t="s">
        <v>57</v>
      </c>
    </row>
    <row r="431" customFormat="false" ht="14.25" hidden="false" customHeight="false" outlineLevel="0" collapsed="false">
      <c r="A431" s="1" t="n">
        <v>1434</v>
      </c>
      <c r="B431" s="29" t="s">
        <v>49</v>
      </c>
      <c r="C431" s="62" t="n">
        <v>5</v>
      </c>
      <c r="D431" s="29" t="s">
        <v>52</v>
      </c>
      <c r="E431" s="29" t="s">
        <v>53</v>
      </c>
    </row>
    <row r="432" customFormat="false" ht="14.25" hidden="false" customHeight="false" outlineLevel="0" collapsed="false">
      <c r="A432" s="1" t="n">
        <v>1435</v>
      </c>
      <c r="B432" s="29" t="s">
        <v>61</v>
      </c>
      <c r="C432" s="62" t="n">
        <v>8.5</v>
      </c>
      <c r="D432" s="29" t="s">
        <v>59</v>
      </c>
      <c r="E432" s="29" t="s">
        <v>58</v>
      </c>
    </row>
    <row r="433" customFormat="false" ht="14.25" hidden="false" customHeight="false" outlineLevel="0" collapsed="false">
      <c r="A433" s="1" t="n">
        <v>1436</v>
      </c>
      <c r="B433" s="29" t="s">
        <v>49</v>
      </c>
      <c r="C433" s="62" t="n">
        <v>0.5</v>
      </c>
      <c r="D433" s="29" t="s">
        <v>59</v>
      </c>
      <c r="E433" s="29" t="s">
        <v>58</v>
      </c>
    </row>
    <row r="434" customFormat="false" ht="14.25" hidden="false" customHeight="false" outlineLevel="0" collapsed="false">
      <c r="A434" s="1" t="n">
        <v>1437</v>
      </c>
      <c r="B434" s="29" t="s">
        <v>49</v>
      </c>
      <c r="C434" s="62" t="n">
        <v>4.8</v>
      </c>
      <c r="D434" s="29" t="s">
        <v>63</v>
      </c>
      <c r="E434" s="29" t="s">
        <v>58</v>
      </c>
    </row>
    <row r="435" customFormat="false" ht="14.25" hidden="false" customHeight="false" outlineLevel="0" collapsed="false">
      <c r="A435" s="1" t="n">
        <v>1438</v>
      </c>
      <c r="B435" s="29" t="s">
        <v>54</v>
      </c>
      <c r="C435" s="62" t="n">
        <v>62.8</v>
      </c>
      <c r="D435" s="29" t="s">
        <v>60</v>
      </c>
      <c r="E435" s="29" t="s">
        <v>55</v>
      </c>
    </row>
    <row r="436" customFormat="false" ht="14.25" hidden="false" customHeight="false" outlineLevel="0" collapsed="false">
      <c r="A436" s="1" t="n">
        <v>1439</v>
      </c>
      <c r="B436" s="29" t="s">
        <v>54</v>
      </c>
      <c r="C436" s="62" t="n">
        <v>30.6</v>
      </c>
      <c r="D436" s="29" t="s">
        <v>50</v>
      </c>
      <c r="E436" s="29" t="s">
        <v>66</v>
      </c>
    </row>
    <row r="437" customFormat="false" ht="14.25" hidden="false" customHeight="false" outlineLevel="0" collapsed="false">
      <c r="A437" s="1" t="n">
        <v>1440</v>
      </c>
      <c r="B437" s="29" t="s">
        <v>54</v>
      </c>
      <c r="C437" s="62" t="n">
        <v>31.3</v>
      </c>
      <c r="D437" s="29" t="s">
        <v>50</v>
      </c>
      <c r="E437" s="29" t="s">
        <v>55</v>
      </c>
    </row>
    <row r="438" customFormat="false" ht="14.25" hidden="false" customHeight="false" outlineLevel="0" collapsed="false">
      <c r="A438" s="1" t="n">
        <v>1441</v>
      </c>
      <c r="B438" s="29" t="s">
        <v>49</v>
      </c>
      <c r="C438" s="62" t="n">
        <v>26.2</v>
      </c>
      <c r="D438" s="29" t="s">
        <v>50</v>
      </c>
      <c r="E438" s="29" t="s">
        <v>65</v>
      </c>
    </row>
    <row r="439" customFormat="false" ht="14.25" hidden="false" customHeight="false" outlineLevel="0" collapsed="false">
      <c r="A439" s="1" t="n">
        <v>1442</v>
      </c>
      <c r="B439" s="29" t="s">
        <v>49</v>
      </c>
      <c r="C439" s="62" t="n">
        <v>9.8</v>
      </c>
      <c r="D439" s="29" t="s">
        <v>60</v>
      </c>
      <c r="E439" s="29" t="s">
        <v>57</v>
      </c>
    </row>
    <row r="440" customFormat="false" ht="14.25" hidden="false" customHeight="false" outlineLevel="0" collapsed="false">
      <c r="A440" s="1" t="n">
        <v>1443</v>
      </c>
      <c r="B440" s="29" t="s">
        <v>54</v>
      </c>
      <c r="C440" s="62" t="n">
        <v>71.3</v>
      </c>
      <c r="D440" s="29" t="s">
        <v>60</v>
      </c>
      <c r="E440" s="29" t="s">
        <v>55</v>
      </c>
    </row>
    <row r="441" customFormat="false" ht="14.25" hidden="false" customHeight="false" outlineLevel="0" collapsed="false">
      <c r="A441" s="1" t="n">
        <v>1444</v>
      </c>
      <c r="B441" s="29" t="s">
        <v>49</v>
      </c>
      <c r="C441" s="62" t="n">
        <v>0.5</v>
      </c>
      <c r="D441" s="29" t="s">
        <v>67</v>
      </c>
      <c r="E441" s="29" t="s">
        <v>58</v>
      </c>
    </row>
    <row r="442" customFormat="false" ht="14.25" hidden="false" customHeight="false" outlineLevel="0" collapsed="false">
      <c r="A442" s="1" t="n">
        <v>1445</v>
      </c>
      <c r="B442" s="29" t="s">
        <v>49</v>
      </c>
      <c r="C442" s="62" t="n">
        <v>1.6</v>
      </c>
      <c r="D442" s="29" t="s">
        <v>63</v>
      </c>
      <c r="E442" s="29" t="s">
        <v>58</v>
      </c>
    </row>
    <row r="443" customFormat="false" ht="14.25" hidden="false" customHeight="false" outlineLevel="0" collapsed="false">
      <c r="A443" s="1" t="n">
        <v>1446</v>
      </c>
      <c r="B443" s="29" t="s">
        <v>61</v>
      </c>
      <c r="C443" s="62" t="n">
        <v>7.7</v>
      </c>
      <c r="D443" s="29" t="s">
        <v>63</v>
      </c>
      <c r="E443" s="29" t="s">
        <v>58</v>
      </c>
    </row>
    <row r="444" customFormat="false" ht="14.25" hidden="false" customHeight="false" outlineLevel="0" collapsed="false">
      <c r="A444" s="1" t="n">
        <v>1447</v>
      </c>
      <c r="B444" s="29" t="s">
        <v>49</v>
      </c>
      <c r="C444" s="62" t="n">
        <v>5.7</v>
      </c>
      <c r="D444" s="29" t="s">
        <v>60</v>
      </c>
      <c r="E444" s="29" t="s">
        <v>58</v>
      </c>
    </row>
    <row r="445" customFormat="false" ht="14.25" hidden="false" customHeight="false" outlineLevel="0" collapsed="false">
      <c r="A445" s="1" t="n">
        <v>1448</v>
      </c>
      <c r="B445" s="29" t="s">
        <v>49</v>
      </c>
      <c r="C445" s="62" t="n">
        <v>7.6</v>
      </c>
      <c r="D445" s="29" t="s">
        <v>60</v>
      </c>
      <c r="E445" s="29" t="s">
        <v>58</v>
      </c>
    </row>
    <row r="446" customFormat="false" ht="14.25" hidden="false" customHeight="false" outlineLevel="0" collapsed="false">
      <c r="A446" s="1" t="n">
        <v>1449</v>
      </c>
      <c r="B446" s="29" t="s">
        <v>49</v>
      </c>
      <c r="C446" s="62" t="n">
        <v>2.1</v>
      </c>
      <c r="D446" s="29" t="s">
        <v>59</v>
      </c>
      <c r="E446" s="29" t="s">
        <v>53</v>
      </c>
    </row>
    <row r="447" customFormat="false" ht="14.25" hidden="false" customHeight="false" outlineLevel="0" collapsed="false">
      <c r="A447" s="1" t="n">
        <v>1450</v>
      </c>
      <c r="B447" s="29" t="s">
        <v>49</v>
      </c>
      <c r="C447" s="62" t="n">
        <v>8</v>
      </c>
      <c r="D447" s="29" t="s">
        <v>71</v>
      </c>
      <c r="E447" s="29" t="s">
        <v>58</v>
      </c>
    </row>
    <row r="448" customFormat="false" ht="14.25" hidden="false" customHeight="false" outlineLevel="0" collapsed="false">
      <c r="A448" s="1" t="n">
        <v>1451</v>
      </c>
      <c r="B448" s="29" t="s">
        <v>54</v>
      </c>
      <c r="C448" s="62" t="n">
        <v>46.8</v>
      </c>
      <c r="D448" s="29" t="s">
        <v>60</v>
      </c>
      <c r="E448" s="29" t="s">
        <v>55</v>
      </c>
    </row>
    <row r="449" customFormat="false" ht="14.25" hidden="false" customHeight="false" outlineLevel="0" collapsed="false">
      <c r="A449" s="1" t="n">
        <v>1452</v>
      </c>
      <c r="B449" s="29" t="s">
        <v>49</v>
      </c>
      <c r="C449" s="62" t="n">
        <v>1</v>
      </c>
      <c r="D449" s="29" t="s">
        <v>59</v>
      </c>
      <c r="E449" s="29" t="s">
        <v>57</v>
      </c>
    </row>
    <row r="450" customFormat="false" ht="14.25" hidden="false" customHeight="false" outlineLevel="0" collapsed="false">
      <c r="A450" s="1" t="n">
        <v>1453</v>
      </c>
      <c r="B450" s="29" t="s">
        <v>49</v>
      </c>
      <c r="C450" s="62" t="n">
        <v>5.4</v>
      </c>
      <c r="D450" s="29" t="s">
        <v>71</v>
      </c>
      <c r="E450" s="29" t="s">
        <v>58</v>
      </c>
    </row>
    <row r="451" customFormat="false" ht="14.25" hidden="false" customHeight="false" outlineLevel="0" collapsed="false">
      <c r="A451" s="1" t="n">
        <v>1454</v>
      </c>
      <c r="B451" s="29" t="s">
        <v>49</v>
      </c>
      <c r="C451" s="62" t="n">
        <v>14.1</v>
      </c>
      <c r="D451" s="29" t="s">
        <v>71</v>
      </c>
      <c r="E451" s="29" t="s">
        <v>58</v>
      </c>
    </row>
    <row r="452" customFormat="false" ht="14.25" hidden="false" customHeight="false" outlineLevel="0" collapsed="false">
      <c r="A452" s="1" t="n">
        <v>1455</v>
      </c>
      <c r="B452" s="29" t="s">
        <v>61</v>
      </c>
      <c r="C452" s="62" t="n">
        <v>5.4</v>
      </c>
      <c r="D452" s="29" t="s">
        <v>71</v>
      </c>
      <c r="E452" s="29" t="s">
        <v>58</v>
      </c>
    </row>
    <row r="453" customFormat="false" ht="14.25" hidden="false" customHeight="false" outlineLevel="0" collapsed="false">
      <c r="A453" s="1" t="n">
        <v>1456</v>
      </c>
      <c r="B453" s="29" t="s">
        <v>54</v>
      </c>
      <c r="C453" s="62" t="n">
        <v>58.1</v>
      </c>
      <c r="D453" s="29" t="s">
        <v>56</v>
      </c>
      <c r="E453" s="29" t="s">
        <v>66</v>
      </c>
    </row>
    <row r="454" customFormat="false" ht="14.25" hidden="false" customHeight="false" outlineLevel="0" collapsed="false">
      <c r="A454" s="1" t="n">
        <v>1457</v>
      </c>
      <c r="B454" s="29" t="s">
        <v>49</v>
      </c>
      <c r="C454" s="62" t="n">
        <v>5.4</v>
      </c>
      <c r="D454" s="29" t="s">
        <v>59</v>
      </c>
      <c r="E454" s="29" t="s">
        <v>58</v>
      </c>
    </row>
    <row r="455" customFormat="false" ht="14.25" hidden="false" customHeight="false" outlineLevel="0" collapsed="false">
      <c r="A455" s="1" t="n">
        <v>1458</v>
      </c>
      <c r="B455" s="29" t="s">
        <v>49</v>
      </c>
      <c r="C455" s="62" t="n">
        <v>2.1</v>
      </c>
      <c r="D455" s="29" t="s">
        <v>56</v>
      </c>
      <c r="E455" s="29" t="s">
        <v>53</v>
      </c>
    </row>
    <row r="456" customFormat="false" ht="14.25" hidden="false" customHeight="false" outlineLevel="0" collapsed="false">
      <c r="A456" s="1" t="n">
        <v>1459</v>
      </c>
      <c r="B456" s="29" t="s">
        <v>61</v>
      </c>
      <c r="C456" s="62" t="n">
        <v>0.9</v>
      </c>
      <c r="D456" s="29" t="s">
        <v>67</v>
      </c>
      <c r="E456" s="29" t="s">
        <v>57</v>
      </c>
    </row>
    <row r="457" customFormat="false" ht="14.25" hidden="false" customHeight="false" outlineLevel="0" collapsed="false">
      <c r="A457" s="1" t="n">
        <v>1460</v>
      </c>
      <c r="B457" s="29" t="s">
        <v>54</v>
      </c>
      <c r="C457" s="62" t="n">
        <v>91.6</v>
      </c>
      <c r="D457" s="29" t="s">
        <v>60</v>
      </c>
      <c r="E457" s="29" t="s">
        <v>55</v>
      </c>
    </row>
    <row r="458" customFormat="false" ht="14.25" hidden="false" customHeight="false" outlineLevel="0" collapsed="false">
      <c r="A458" s="1" t="n">
        <v>1461</v>
      </c>
      <c r="B458" s="29" t="s">
        <v>49</v>
      </c>
      <c r="C458" s="62" t="n">
        <v>12.4</v>
      </c>
      <c r="D458" s="29" t="s">
        <v>71</v>
      </c>
      <c r="E458" s="29" t="s">
        <v>58</v>
      </c>
    </row>
    <row r="459" customFormat="false" ht="14.25" hidden="false" customHeight="false" outlineLevel="0" collapsed="false">
      <c r="A459" s="1" t="n">
        <v>1462</v>
      </c>
      <c r="B459" s="29" t="s">
        <v>49</v>
      </c>
      <c r="C459" s="62" t="n">
        <v>15.8</v>
      </c>
      <c r="D459" s="29" t="s">
        <v>71</v>
      </c>
      <c r="E459" s="29" t="s">
        <v>58</v>
      </c>
    </row>
    <row r="460" customFormat="false" ht="14.25" hidden="false" customHeight="false" outlineLevel="0" collapsed="false">
      <c r="A460" s="1" t="n">
        <v>1463</v>
      </c>
      <c r="B460" s="29" t="s">
        <v>49</v>
      </c>
      <c r="C460" s="62" t="n">
        <v>4.3</v>
      </c>
      <c r="D460" s="29" t="s">
        <v>52</v>
      </c>
      <c r="E460" s="29" t="s">
        <v>58</v>
      </c>
    </row>
    <row r="461" customFormat="false" ht="14.25" hidden="false" customHeight="false" outlineLevel="0" collapsed="false">
      <c r="A461" s="1" t="n">
        <v>1464</v>
      </c>
      <c r="B461" s="29" t="s">
        <v>49</v>
      </c>
      <c r="C461" s="62" t="n">
        <v>1.4</v>
      </c>
      <c r="D461" s="29" t="s">
        <v>59</v>
      </c>
      <c r="E461" s="29" t="s">
        <v>57</v>
      </c>
    </row>
    <row r="462" customFormat="false" ht="14.25" hidden="false" customHeight="false" outlineLevel="0" collapsed="false">
      <c r="A462" s="1" t="n">
        <v>1465</v>
      </c>
      <c r="B462" s="29" t="s">
        <v>49</v>
      </c>
      <c r="C462" s="62" t="n">
        <v>15</v>
      </c>
      <c r="D462" s="29" t="s">
        <v>59</v>
      </c>
      <c r="E462" s="29" t="s">
        <v>51</v>
      </c>
    </row>
    <row r="463" customFormat="false" ht="14.25" hidden="false" customHeight="false" outlineLevel="0" collapsed="false">
      <c r="A463" s="1" t="n">
        <v>1466</v>
      </c>
      <c r="B463" s="29" t="s">
        <v>49</v>
      </c>
      <c r="C463" s="62" t="n">
        <v>9.6</v>
      </c>
      <c r="D463" s="29" t="s">
        <v>59</v>
      </c>
      <c r="E463" s="29" t="s">
        <v>53</v>
      </c>
    </row>
    <row r="464" customFormat="false" ht="14.25" hidden="false" customHeight="false" outlineLevel="0" collapsed="false">
      <c r="A464" s="1" t="n">
        <v>1467</v>
      </c>
      <c r="B464" s="29" t="s">
        <v>49</v>
      </c>
      <c r="C464" s="62" t="n">
        <v>2.7</v>
      </c>
      <c r="D464" s="29" t="s">
        <v>60</v>
      </c>
      <c r="E464" s="29" t="s">
        <v>58</v>
      </c>
    </row>
    <row r="465" customFormat="false" ht="14.25" hidden="false" customHeight="false" outlineLevel="0" collapsed="false">
      <c r="A465" s="1" t="n">
        <v>1468</v>
      </c>
      <c r="B465" s="29" t="s">
        <v>54</v>
      </c>
      <c r="C465" s="62" t="n">
        <v>60.1</v>
      </c>
      <c r="D465" s="29" t="s">
        <v>63</v>
      </c>
      <c r="E465" s="29" t="s">
        <v>55</v>
      </c>
    </row>
    <row r="466" customFormat="false" ht="14.25" hidden="false" customHeight="false" outlineLevel="0" collapsed="false">
      <c r="A466" s="1" t="n">
        <v>1469</v>
      </c>
      <c r="B466" s="29" t="s">
        <v>49</v>
      </c>
      <c r="C466" s="62" t="n">
        <v>4</v>
      </c>
      <c r="D466" s="29" t="s">
        <v>56</v>
      </c>
      <c r="E466" s="29" t="s">
        <v>53</v>
      </c>
    </row>
    <row r="467" customFormat="false" ht="14.25" hidden="false" customHeight="false" outlineLevel="0" collapsed="false">
      <c r="A467" s="1" t="n">
        <v>1470</v>
      </c>
      <c r="B467" s="29" t="s">
        <v>49</v>
      </c>
      <c r="C467" s="62" t="n">
        <v>8</v>
      </c>
      <c r="D467" s="29" t="s">
        <v>56</v>
      </c>
      <c r="E467" s="29" t="s">
        <v>58</v>
      </c>
    </row>
    <row r="468" customFormat="false" ht="14.25" hidden="false" customHeight="false" outlineLevel="0" collapsed="false">
      <c r="A468" s="1" t="n">
        <v>1471</v>
      </c>
      <c r="B468" s="29" t="s">
        <v>49</v>
      </c>
      <c r="C468" s="62" t="n">
        <v>9.6</v>
      </c>
      <c r="D468" s="29" t="s">
        <v>62</v>
      </c>
      <c r="E468" s="29" t="s">
        <v>53</v>
      </c>
    </row>
    <row r="469" customFormat="false" ht="14.25" hidden="false" customHeight="false" outlineLevel="0" collapsed="false">
      <c r="A469" s="1" t="n">
        <v>1472</v>
      </c>
      <c r="B469" s="29" t="s">
        <v>49</v>
      </c>
      <c r="C469" s="62" t="n">
        <v>6.2</v>
      </c>
      <c r="D469" s="29" t="s">
        <v>62</v>
      </c>
      <c r="E469" s="29" t="s">
        <v>58</v>
      </c>
    </row>
    <row r="470" customFormat="false" ht="14.25" hidden="false" customHeight="false" outlineLevel="0" collapsed="false">
      <c r="A470" s="1" t="n">
        <v>1473</v>
      </c>
      <c r="B470" s="29" t="s">
        <v>61</v>
      </c>
      <c r="C470" s="62" t="n">
        <v>3.2</v>
      </c>
      <c r="D470" s="29" t="s">
        <v>62</v>
      </c>
      <c r="E470" s="29" t="s">
        <v>58</v>
      </c>
    </row>
    <row r="471" customFormat="false" ht="14.25" hidden="false" customHeight="false" outlineLevel="0" collapsed="false">
      <c r="A471" s="1" t="n">
        <v>1474</v>
      </c>
      <c r="B471" s="29" t="s">
        <v>49</v>
      </c>
      <c r="C471" s="62" t="n">
        <v>6.4</v>
      </c>
      <c r="D471" s="29" t="s">
        <v>50</v>
      </c>
      <c r="E471" s="29" t="s">
        <v>57</v>
      </c>
    </row>
    <row r="472" customFormat="false" ht="14.25" hidden="false" customHeight="false" outlineLevel="0" collapsed="false">
      <c r="A472" s="1" t="n">
        <v>1475</v>
      </c>
      <c r="B472" s="29" t="s">
        <v>49</v>
      </c>
      <c r="C472" s="62" t="n">
        <v>9.6</v>
      </c>
      <c r="D472" s="29" t="s">
        <v>67</v>
      </c>
      <c r="E472" s="29" t="s">
        <v>58</v>
      </c>
    </row>
    <row r="473" customFormat="false" ht="14.25" hidden="false" customHeight="false" outlineLevel="0" collapsed="false">
      <c r="A473" s="1" t="n">
        <v>1476</v>
      </c>
      <c r="B473" s="29" t="s">
        <v>49</v>
      </c>
      <c r="C473" s="62" t="n">
        <v>1.1</v>
      </c>
      <c r="D473" s="29" t="s">
        <v>69</v>
      </c>
      <c r="E473" s="29" t="s">
        <v>57</v>
      </c>
    </row>
    <row r="474" customFormat="false" ht="14.25" hidden="false" customHeight="false" outlineLevel="0" collapsed="false">
      <c r="A474" s="1" t="n">
        <v>1477</v>
      </c>
      <c r="B474" s="29" t="s">
        <v>49</v>
      </c>
      <c r="C474" s="62" t="n">
        <v>5.1</v>
      </c>
      <c r="D474" s="29" t="s">
        <v>67</v>
      </c>
      <c r="E474" s="29" t="s">
        <v>58</v>
      </c>
    </row>
    <row r="475" customFormat="false" ht="14.25" hidden="false" customHeight="false" outlineLevel="0" collapsed="false">
      <c r="A475" s="1" t="n">
        <v>1478</v>
      </c>
      <c r="B475" s="29" t="s">
        <v>54</v>
      </c>
      <c r="C475" s="62" t="n">
        <v>48.2</v>
      </c>
      <c r="D475" s="29" t="s">
        <v>59</v>
      </c>
      <c r="E475" s="29" t="s">
        <v>66</v>
      </c>
    </row>
    <row r="476" customFormat="false" ht="14.25" hidden="false" customHeight="false" outlineLevel="0" collapsed="false">
      <c r="A476" s="1" t="n">
        <v>1479</v>
      </c>
      <c r="B476" s="29" t="s">
        <v>49</v>
      </c>
      <c r="C476" s="62" t="n">
        <v>6.9</v>
      </c>
      <c r="D476" s="29" t="s">
        <v>59</v>
      </c>
      <c r="E476" s="29" t="s">
        <v>58</v>
      </c>
    </row>
    <row r="477" customFormat="false" ht="14.25" hidden="false" customHeight="false" outlineLevel="0" collapsed="false">
      <c r="A477" s="1" t="n">
        <v>1480</v>
      </c>
      <c r="B477" s="29" t="s">
        <v>61</v>
      </c>
      <c r="C477" s="62" t="n">
        <v>21.4</v>
      </c>
      <c r="D477" s="29" t="s">
        <v>56</v>
      </c>
      <c r="E477" s="29" t="s">
        <v>58</v>
      </c>
    </row>
    <row r="478" customFormat="false" ht="14.25" hidden="false" customHeight="false" outlineLevel="0" collapsed="false">
      <c r="A478" s="1" t="n">
        <v>1481</v>
      </c>
      <c r="B478" s="29" t="s">
        <v>49</v>
      </c>
      <c r="C478" s="62" t="n">
        <v>2.7</v>
      </c>
      <c r="D478" s="29" t="s">
        <v>50</v>
      </c>
      <c r="E478" s="29" t="s">
        <v>58</v>
      </c>
    </row>
    <row r="479" customFormat="false" ht="14.25" hidden="false" customHeight="false" outlineLevel="0" collapsed="false">
      <c r="A479" s="1" t="n">
        <v>1482</v>
      </c>
      <c r="B479" s="29" t="s">
        <v>54</v>
      </c>
      <c r="C479" s="62" t="n">
        <v>15.4</v>
      </c>
      <c r="D479" s="29" t="s">
        <v>50</v>
      </c>
      <c r="E479" s="29" t="s">
        <v>66</v>
      </c>
    </row>
    <row r="480" customFormat="false" ht="14.25" hidden="false" customHeight="false" outlineLevel="0" collapsed="false">
      <c r="A480" s="1" t="n">
        <v>1483</v>
      </c>
      <c r="B480" s="29" t="s">
        <v>49</v>
      </c>
      <c r="C480" s="62" t="n">
        <v>5.2</v>
      </c>
      <c r="D480" s="29" t="s">
        <v>62</v>
      </c>
      <c r="E480" s="29" t="s">
        <v>58</v>
      </c>
    </row>
    <row r="481" customFormat="false" ht="14.25" hidden="false" customHeight="false" outlineLevel="0" collapsed="false">
      <c r="A481" s="1" t="n">
        <v>1484</v>
      </c>
      <c r="B481" s="29" t="s">
        <v>54</v>
      </c>
      <c r="C481" s="62" t="n">
        <v>38.3</v>
      </c>
      <c r="D481" s="29" t="s">
        <v>56</v>
      </c>
      <c r="E481" s="29" t="s">
        <v>55</v>
      </c>
    </row>
    <row r="482" customFormat="false" ht="14.25" hidden="false" customHeight="false" outlineLevel="0" collapsed="false">
      <c r="A482" s="1" t="n">
        <v>1485</v>
      </c>
      <c r="B482" s="29" t="s">
        <v>49</v>
      </c>
      <c r="C482" s="62" t="n">
        <v>7.7</v>
      </c>
      <c r="D482" s="29" t="s">
        <v>52</v>
      </c>
      <c r="E482" s="29" t="s">
        <v>58</v>
      </c>
    </row>
    <row r="483" customFormat="false" ht="14.25" hidden="false" customHeight="false" outlineLevel="0" collapsed="false">
      <c r="A483" s="1" t="n">
        <v>1486</v>
      </c>
      <c r="B483" s="29" t="s">
        <v>49</v>
      </c>
      <c r="C483" s="62" t="n">
        <v>2.6</v>
      </c>
      <c r="D483" s="29" t="s">
        <v>52</v>
      </c>
      <c r="E483" s="29" t="s">
        <v>57</v>
      </c>
    </row>
    <row r="484" customFormat="false" ht="14.25" hidden="false" customHeight="false" outlineLevel="0" collapsed="false">
      <c r="A484" s="1" t="n">
        <v>1487</v>
      </c>
      <c r="B484" s="29" t="s">
        <v>49</v>
      </c>
      <c r="C484" s="62" t="n">
        <v>5</v>
      </c>
      <c r="D484" s="29" t="s">
        <v>68</v>
      </c>
      <c r="E484" s="29" t="s">
        <v>58</v>
      </c>
    </row>
    <row r="485" customFormat="false" ht="14.25" hidden="false" customHeight="false" outlineLevel="0" collapsed="false">
      <c r="A485" s="1" t="n">
        <v>1488</v>
      </c>
      <c r="B485" s="29" t="s">
        <v>61</v>
      </c>
      <c r="C485" s="62" t="n">
        <v>9.6</v>
      </c>
      <c r="D485" s="29" t="s">
        <v>60</v>
      </c>
      <c r="E485" s="29" t="s">
        <v>53</v>
      </c>
    </row>
    <row r="486" customFormat="false" ht="14.25" hidden="false" customHeight="false" outlineLevel="0" collapsed="false">
      <c r="A486" s="1" t="n">
        <v>1489</v>
      </c>
      <c r="B486" s="29" t="s">
        <v>61</v>
      </c>
      <c r="C486" s="62" t="n">
        <v>2.7</v>
      </c>
      <c r="D486" s="29" t="s">
        <v>67</v>
      </c>
      <c r="E486" s="29" t="s">
        <v>58</v>
      </c>
    </row>
    <row r="487" customFormat="false" ht="14.25" hidden="false" customHeight="false" outlineLevel="0" collapsed="false">
      <c r="A487" s="1" t="n">
        <v>1490</v>
      </c>
      <c r="B487" s="29" t="s">
        <v>49</v>
      </c>
      <c r="C487" s="62" t="n">
        <v>5.3</v>
      </c>
      <c r="D487" s="29" t="s">
        <v>71</v>
      </c>
      <c r="E487" s="29" t="s">
        <v>53</v>
      </c>
    </row>
    <row r="488" customFormat="false" ht="14.25" hidden="false" customHeight="false" outlineLevel="0" collapsed="false">
      <c r="A488" s="1" t="n">
        <v>1491</v>
      </c>
      <c r="B488" s="29" t="s">
        <v>54</v>
      </c>
      <c r="C488" s="62" t="n">
        <v>19.1</v>
      </c>
      <c r="D488" s="29" t="s">
        <v>71</v>
      </c>
      <c r="E488" s="29" t="s">
        <v>66</v>
      </c>
    </row>
    <row r="489" customFormat="false" ht="14.25" hidden="false" customHeight="false" outlineLevel="0" collapsed="false">
      <c r="A489" s="1" t="n">
        <v>1492</v>
      </c>
      <c r="B489" s="29" t="s">
        <v>49</v>
      </c>
      <c r="C489" s="62" t="n">
        <v>1.2</v>
      </c>
      <c r="D489" s="29" t="s">
        <v>71</v>
      </c>
      <c r="E489" s="29" t="s">
        <v>57</v>
      </c>
    </row>
    <row r="490" customFormat="false" ht="14.25" hidden="false" customHeight="false" outlineLevel="0" collapsed="false">
      <c r="A490" s="1" t="n">
        <v>1493</v>
      </c>
      <c r="B490" s="29" t="s">
        <v>49</v>
      </c>
      <c r="C490" s="62" t="n">
        <v>9.8</v>
      </c>
      <c r="D490" s="29" t="s">
        <v>71</v>
      </c>
      <c r="E490" s="29" t="s">
        <v>57</v>
      </c>
    </row>
    <row r="491" customFormat="false" ht="14.25" hidden="false" customHeight="false" outlineLevel="0" collapsed="false">
      <c r="A491" s="1" t="n">
        <v>1494</v>
      </c>
      <c r="B491" s="29" t="s">
        <v>54</v>
      </c>
      <c r="C491" s="62" t="n">
        <v>46.4</v>
      </c>
      <c r="D491" s="29" t="s">
        <v>71</v>
      </c>
      <c r="E491" s="29" t="s">
        <v>66</v>
      </c>
    </row>
    <row r="492" customFormat="false" ht="14.25" hidden="false" customHeight="false" outlineLevel="0" collapsed="false">
      <c r="A492" s="1" t="n">
        <v>1495</v>
      </c>
      <c r="B492" s="29" t="s">
        <v>49</v>
      </c>
      <c r="C492" s="62" t="n">
        <v>0.5</v>
      </c>
      <c r="D492" s="29" t="s">
        <v>60</v>
      </c>
      <c r="E492" s="29" t="s">
        <v>58</v>
      </c>
    </row>
    <row r="493" customFormat="false" ht="14.25" hidden="false" customHeight="false" outlineLevel="0" collapsed="false">
      <c r="A493" s="1" t="n">
        <v>1496</v>
      </c>
      <c r="B493" s="29" t="s">
        <v>49</v>
      </c>
      <c r="C493" s="62" t="n">
        <v>21.4</v>
      </c>
      <c r="D493" s="29" t="s">
        <v>60</v>
      </c>
      <c r="E493" s="29" t="s">
        <v>58</v>
      </c>
    </row>
    <row r="494" customFormat="false" ht="14.25" hidden="false" customHeight="false" outlineLevel="0" collapsed="false">
      <c r="A494" s="1" t="n">
        <v>1497</v>
      </c>
      <c r="B494" s="29" t="s">
        <v>61</v>
      </c>
      <c r="C494" s="62" t="n">
        <v>5.4</v>
      </c>
      <c r="D494" s="29" t="s">
        <v>50</v>
      </c>
      <c r="E494" s="29" t="s">
        <v>58</v>
      </c>
    </row>
    <row r="495" customFormat="false" ht="14.25" hidden="false" customHeight="false" outlineLevel="0" collapsed="false">
      <c r="A495" s="1" t="n">
        <v>1498</v>
      </c>
      <c r="B495" s="29" t="s">
        <v>61</v>
      </c>
      <c r="C495" s="62" t="n">
        <v>21.4</v>
      </c>
      <c r="D495" s="29" t="s">
        <v>50</v>
      </c>
      <c r="E495" s="29" t="s">
        <v>58</v>
      </c>
    </row>
    <row r="496" customFormat="false" ht="14.25" hidden="false" customHeight="false" outlineLevel="0" collapsed="false">
      <c r="A496" s="1" t="n">
        <v>1499</v>
      </c>
      <c r="B496" s="29" t="s">
        <v>49</v>
      </c>
      <c r="C496" s="62" t="n">
        <v>9.6</v>
      </c>
      <c r="D496" s="29" t="s">
        <v>50</v>
      </c>
      <c r="E496" s="29" t="s">
        <v>58</v>
      </c>
    </row>
    <row r="497" customFormat="false" ht="14.25" hidden="false" customHeight="false" outlineLevel="0" collapsed="false">
      <c r="A497" s="1" t="n">
        <v>1500</v>
      </c>
      <c r="B497" s="29" t="s">
        <v>61</v>
      </c>
      <c r="C497" s="62" t="n">
        <v>4.3</v>
      </c>
      <c r="D497" s="29" t="s">
        <v>50</v>
      </c>
      <c r="E497" s="29" t="s">
        <v>58</v>
      </c>
    </row>
    <row r="498" customFormat="false" ht="14.25" hidden="false" customHeight="false" outlineLevel="0" collapsed="false">
      <c r="A498" s="1" t="n">
        <v>1501</v>
      </c>
      <c r="B498" s="29" t="s">
        <v>49</v>
      </c>
      <c r="C498" s="62" t="n">
        <v>3.2</v>
      </c>
      <c r="D498" s="29" t="s">
        <v>52</v>
      </c>
      <c r="E498" s="29" t="s">
        <v>58</v>
      </c>
    </row>
    <row r="499" customFormat="false" ht="14.25" hidden="false" customHeight="false" outlineLevel="0" collapsed="false">
      <c r="A499" s="1" t="n">
        <v>1502</v>
      </c>
      <c r="B499" s="29" t="s">
        <v>54</v>
      </c>
      <c r="C499" s="62" t="n">
        <v>32.1</v>
      </c>
      <c r="D499" s="29" t="s">
        <v>67</v>
      </c>
      <c r="E499" s="29" t="s">
        <v>66</v>
      </c>
    </row>
    <row r="500" customFormat="false" ht="14.25" hidden="false" customHeight="false" outlineLevel="0" collapsed="false">
      <c r="A500" s="1" t="n">
        <v>1503</v>
      </c>
      <c r="B500" s="29" t="s">
        <v>61</v>
      </c>
      <c r="C500" s="62" t="n">
        <v>1.4</v>
      </c>
      <c r="D500" s="29" t="s">
        <v>67</v>
      </c>
      <c r="E500" s="29" t="s">
        <v>57</v>
      </c>
    </row>
    <row r="501" customFormat="false" ht="14.25" hidden="false" customHeight="false" outlineLevel="0" collapsed="false">
      <c r="A501" s="1" t="n">
        <v>1504</v>
      </c>
      <c r="B501" s="29" t="s">
        <v>49</v>
      </c>
      <c r="C501" s="62" t="n">
        <v>15</v>
      </c>
      <c r="D501" s="29" t="s">
        <v>56</v>
      </c>
      <c r="E501" s="29" t="s">
        <v>51</v>
      </c>
    </row>
    <row r="502" customFormat="false" ht="14.25" hidden="false" customHeight="false" outlineLevel="0" collapsed="false">
      <c r="A502" s="1" t="n">
        <v>1505</v>
      </c>
      <c r="B502" s="29" t="s">
        <v>61</v>
      </c>
      <c r="C502" s="62" t="n">
        <v>1.7</v>
      </c>
      <c r="D502" s="29" t="s">
        <v>56</v>
      </c>
      <c r="E502" s="29" t="s">
        <v>57</v>
      </c>
    </row>
    <row r="503" customFormat="false" ht="14.25" hidden="false" customHeight="false" outlineLevel="0" collapsed="false">
      <c r="A503" s="1" t="n">
        <v>1506</v>
      </c>
      <c r="B503" s="29" t="s">
        <v>49</v>
      </c>
      <c r="C503" s="62" t="n">
        <v>10.4</v>
      </c>
      <c r="D503" s="29" t="s">
        <v>56</v>
      </c>
      <c r="E503" s="29" t="s">
        <v>58</v>
      </c>
    </row>
    <row r="504" customFormat="false" ht="14.25" hidden="false" customHeight="false" outlineLevel="0" collapsed="false">
      <c r="A504" s="1" t="n">
        <v>1507</v>
      </c>
      <c r="B504" s="29" t="s">
        <v>54</v>
      </c>
      <c r="C504" s="62" t="n">
        <v>64.4</v>
      </c>
      <c r="D504" s="29" t="s">
        <v>56</v>
      </c>
      <c r="E504" s="29" t="s">
        <v>55</v>
      </c>
    </row>
    <row r="505" customFormat="false" ht="14.25" hidden="false" customHeight="false" outlineLevel="0" collapsed="false">
      <c r="A505" s="1" t="n">
        <v>1508</v>
      </c>
      <c r="B505" s="29" t="s">
        <v>61</v>
      </c>
      <c r="C505" s="62" t="n">
        <v>21.4</v>
      </c>
      <c r="D505" s="29" t="s">
        <v>52</v>
      </c>
      <c r="E505" s="29" t="s">
        <v>58</v>
      </c>
    </row>
    <row r="506" customFormat="false" ht="14.25" hidden="false" customHeight="false" outlineLevel="0" collapsed="false">
      <c r="A506" s="1" t="n">
        <v>1509</v>
      </c>
      <c r="B506" s="29" t="s">
        <v>54</v>
      </c>
      <c r="C506" s="62" t="n">
        <v>69.3</v>
      </c>
      <c r="D506" s="29" t="s">
        <v>59</v>
      </c>
      <c r="E506" s="29" t="s">
        <v>66</v>
      </c>
    </row>
    <row r="507" customFormat="false" ht="14.25" hidden="false" customHeight="false" outlineLevel="0" collapsed="false">
      <c r="A507" s="1" t="n">
        <v>1510</v>
      </c>
      <c r="B507" s="29" t="s">
        <v>49</v>
      </c>
      <c r="C507" s="62" t="n">
        <v>0.8</v>
      </c>
      <c r="D507" s="29" t="s">
        <v>59</v>
      </c>
      <c r="E507" s="29" t="s">
        <v>57</v>
      </c>
    </row>
    <row r="508" customFormat="false" ht="14.25" hidden="false" customHeight="false" outlineLevel="0" collapsed="false">
      <c r="A508" s="1" t="n">
        <v>1511</v>
      </c>
      <c r="B508" s="29" t="s">
        <v>61</v>
      </c>
      <c r="C508" s="62" t="n">
        <v>15</v>
      </c>
      <c r="D508" s="29" t="s">
        <v>71</v>
      </c>
      <c r="E508" s="29" t="s">
        <v>51</v>
      </c>
    </row>
    <row r="509" customFormat="false" ht="14.25" hidden="false" customHeight="false" outlineLevel="0" collapsed="false">
      <c r="A509" s="1" t="n">
        <v>1512</v>
      </c>
      <c r="B509" s="29" t="s">
        <v>54</v>
      </c>
      <c r="C509" s="62" t="n">
        <v>57.9</v>
      </c>
      <c r="D509" s="29" t="s">
        <v>71</v>
      </c>
      <c r="E509" s="29" t="s">
        <v>55</v>
      </c>
    </row>
    <row r="510" customFormat="false" ht="14.25" hidden="false" customHeight="false" outlineLevel="0" collapsed="false">
      <c r="A510" s="1" t="n">
        <v>1513</v>
      </c>
      <c r="B510" s="29" t="s">
        <v>49</v>
      </c>
      <c r="C510" s="62" t="n">
        <v>2.3</v>
      </c>
      <c r="D510" s="29" t="s">
        <v>71</v>
      </c>
      <c r="E510" s="29" t="s">
        <v>57</v>
      </c>
    </row>
    <row r="511" customFormat="false" ht="14.25" hidden="false" customHeight="false" outlineLevel="0" collapsed="false">
      <c r="A511" s="1" t="n">
        <v>1514</v>
      </c>
      <c r="B511" s="29" t="s">
        <v>54</v>
      </c>
      <c r="C511" s="62" t="n">
        <v>39.2</v>
      </c>
      <c r="D511" s="29" t="s">
        <v>60</v>
      </c>
      <c r="E511" s="29" t="s">
        <v>55</v>
      </c>
    </row>
    <row r="512" customFormat="false" ht="14.25" hidden="false" customHeight="false" outlineLevel="0" collapsed="false">
      <c r="A512" s="1" t="n">
        <v>1515</v>
      </c>
      <c r="B512" s="29" t="s">
        <v>49</v>
      </c>
      <c r="C512" s="62" t="n">
        <v>3.6</v>
      </c>
      <c r="D512" s="29" t="s">
        <v>59</v>
      </c>
      <c r="E512" s="29" t="s">
        <v>57</v>
      </c>
    </row>
    <row r="513" customFormat="false" ht="14.25" hidden="false" customHeight="false" outlineLevel="0" collapsed="false">
      <c r="A513" s="1" t="n">
        <v>1516</v>
      </c>
      <c r="B513" s="29" t="s">
        <v>49</v>
      </c>
      <c r="C513" s="62" t="n">
        <v>1.7</v>
      </c>
      <c r="D513" s="29" t="s">
        <v>59</v>
      </c>
      <c r="E513" s="29" t="s">
        <v>57</v>
      </c>
    </row>
    <row r="514" customFormat="false" ht="14.25" hidden="false" customHeight="false" outlineLevel="0" collapsed="false">
      <c r="A514" s="1" t="n">
        <v>1517</v>
      </c>
      <c r="B514" s="29" t="s">
        <v>61</v>
      </c>
      <c r="C514" s="62" t="n">
        <v>1.1</v>
      </c>
      <c r="D514" s="29" t="s">
        <v>59</v>
      </c>
      <c r="E514" s="29" t="s">
        <v>58</v>
      </c>
    </row>
    <row r="515" customFormat="false" ht="14.25" hidden="false" customHeight="false" outlineLevel="0" collapsed="false">
      <c r="A515" s="1" t="n">
        <v>1518</v>
      </c>
      <c r="B515" s="29" t="s">
        <v>49</v>
      </c>
      <c r="C515" s="62" t="n">
        <v>6.1</v>
      </c>
      <c r="D515" s="29" t="s">
        <v>70</v>
      </c>
      <c r="E515" s="29" t="s">
        <v>53</v>
      </c>
    </row>
    <row r="516" customFormat="false" ht="14.25" hidden="false" customHeight="false" outlineLevel="0" collapsed="false">
      <c r="A516" s="1" t="n">
        <v>1519</v>
      </c>
      <c r="B516" s="29" t="s">
        <v>49</v>
      </c>
      <c r="C516" s="62" t="n">
        <v>15.5</v>
      </c>
      <c r="D516" s="29" t="s">
        <v>52</v>
      </c>
      <c r="E516" s="29" t="s">
        <v>58</v>
      </c>
    </row>
    <row r="517" customFormat="false" ht="14.25" hidden="false" customHeight="false" outlineLevel="0" collapsed="false">
      <c r="A517" s="1" t="n">
        <v>1520</v>
      </c>
      <c r="B517" s="29" t="s">
        <v>49</v>
      </c>
      <c r="C517" s="62" t="n">
        <v>4.8</v>
      </c>
      <c r="D517" s="29" t="s">
        <v>59</v>
      </c>
      <c r="E517" s="29" t="s">
        <v>58</v>
      </c>
    </row>
    <row r="518" customFormat="false" ht="14.25" hidden="false" customHeight="false" outlineLevel="0" collapsed="false">
      <c r="A518" s="1" t="n">
        <v>1521</v>
      </c>
      <c r="B518" s="29" t="s">
        <v>49</v>
      </c>
      <c r="C518" s="62" t="n">
        <v>5.1</v>
      </c>
      <c r="D518" s="29" t="s">
        <v>68</v>
      </c>
      <c r="E518" s="29" t="s">
        <v>58</v>
      </c>
    </row>
    <row r="519" customFormat="false" ht="14.25" hidden="false" customHeight="false" outlineLevel="0" collapsed="false">
      <c r="A519" s="1" t="n">
        <v>1522</v>
      </c>
      <c r="B519" s="29" t="s">
        <v>49</v>
      </c>
      <c r="C519" s="62" t="n">
        <v>2.5</v>
      </c>
      <c r="D519" s="29" t="s">
        <v>68</v>
      </c>
      <c r="E519" s="29" t="s">
        <v>57</v>
      </c>
    </row>
    <row r="520" customFormat="false" ht="14.25" hidden="false" customHeight="false" outlineLevel="0" collapsed="false">
      <c r="A520" s="1" t="n">
        <v>1523</v>
      </c>
      <c r="B520" s="29" t="s">
        <v>54</v>
      </c>
      <c r="C520" s="62" t="n">
        <v>45.5</v>
      </c>
      <c r="D520" s="29" t="s">
        <v>59</v>
      </c>
      <c r="E520" s="29" t="s">
        <v>55</v>
      </c>
    </row>
    <row r="521" customFormat="false" ht="14.25" hidden="false" customHeight="false" outlineLevel="0" collapsed="false">
      <c r="A521" s="1" t="n">
        <v>1524</v>
      </c>
      <c r="B521" s="29" t="s">
        <v>49</v>
      </c>
      <c r="C521" s="62" t="n">
        <v>20.8</v>
      </c>
      <c r="D521" s="29" t="s">
        <v>59</v>
      </c>
      <c r="E521" s="29" t="s">
        <v>58</v>
      </c>
    </row>
    <row r="522" customFormat="false" ht="14.25" hidden="false" customHeight="false" outlineLevel="0" collapsed="false">
      <c r="A522" s="1" t="n">
        <v>1525</v>
      </c>
      <c r="B522" s="29" t="s">
        <v>49</v>
      </c>
      <c r="C522" s="62" t="n">
        <v>8.6</v>
      </c>
      <c r="D522" s="29" t="s">
        <v>70</v>
      </c>
      <c r="E522" s="29" t="s">
        <v>58</v>
      </c>
    </row>
    <row r="523" customFormat="false" ht="14.25" hidden="false" customHeight="false" outlineLevel="0" collapsed="false">
      <c r="A523" s="1" t="n">
        <v>1526</v>
      </c>
      <c r="B523" s="29" t="s">
        <v>61</v>
      </c>
      <c r="C523" s="62" t="n">
        <v>4.8</v>
      </c>
      <c r="D523" s="29" t="s">
        <v>63</v>
      </c>
      <c r="E523" s="29" t="s">
        <v>58</v>
      </c>
    </row>
    <row r="524" customFormat="false" ht="14.25" hidden="false" customHeight="false" outlineLevel="0" collapsed="false">
      <c r="A524" s="1" t="n">
        <v>1527</v>
      </c>
      <c r="B524" s="29" t="s">
        <v>49</v>
      </c>
      <c r="C524" s="62" t="n">
        <v>5</v>
      </c>
      <c r="D524" s="29" t="s">
        <v>52</v>
      </c>
      <c r="E524" s="29" t="s">
        <v>53</v>
      </c>
    </row>
    <row r="525" customFormat="false" ht="14.25" hidden="false" customHeight="false" outlineLevel="0" collapsed="false">
      <c r="A525" s="1" t="n">
        <v>1528</v>
      </c>
      <c r="B525" s="29" t="s">
        <v>49</v>
      </c>
      <c r="C525" s="62" t="n">
        <v>5.5</v>
      </c>
      <c r="D525" s="29" t="s">
        <v>52</v>
      </c>
      <c r="E525" s="29" t="s">
        <v>58</v>
      </c>
    </row>
    <row r="526" customFormat="false" ht="14.25" hidden="false" customHeight="false" outlineLevel="0" collapsed="false">
      <c r="A526" s="1" t="n">
        <v>1529</v>
      </c>
      <c r="B526" s="29" t="s">
        <v>49</v>
      </c>
      <c r="C526" s="62" t="n">
        <v>2.7</v>
      </c>
      <c r="D526" s="29" t="s">
        <v>59</v>
      </c>
      <c r="E526" s="29" t="s">
        <v>58</v>
      </c>
    </row>
    <row r="527" customFormat="false" ht="14.25" hidden="false" customHeight="false" outlineLevel="0" collapsed="false">
      <c r="A527" s="1" t="n">
        <v>1530</v>
      </c>
      <c r="B527" s="29" t="s">
        <v>54</v>
      </c>
      <c r="C527" s="62" t="n">
        <v>15.7</v>
      </c>
      <c r="D527" s="29" t="s">
        <v>63</v>
      </c>
      <c r="E527" s="29" t="s">
        <v>66</v>
      </c>
    </row>
    <row r="528" customFormat="false" ht="14.25" hidden="false" customHeight="false" outlineLevel="0" collapsed="false">
      <c r="A528" s="1" t="n">
        <v>1531</v>
      </c>
      <c r="B528" s="29" t="s">
        <v>49</v>
      </c>
      <c r="C528" s="62" t="n">
        <v>14.1</v>
      </c>
      <c r="D528" s="29" t="s">
        <v>63</v>
      </c>
      <c r="E528" s="29" t="s">
        <v>58</v>
      </c>
    </row>
    <row r="529" customFormat="false" ht="14.25" hidden="false" customHeight="false" outlineLevel="0" collapsed="false">
      <c r="A529" s="1" t="n">
        <v>1532</v>
      </c>
      <c r="B529" s="29" t="s">
        <v>49</v>
      </c>
      <c r="C529" s="62" t="n">
        <v>3.2</v>
      </c>
      <c r="D529" s="29" t="s">
        <v>59</v>
      </c>
      <c r="E529" s="29" t="s">
        <v>58</v>
      </c>
    </row>
    <row r="530" customFormat="false" ht="14.25" hidden="false" customHeight="false" outlineLevel="0" collapsed="false">
      <c r="A530" s="1" t="n">
        <v>1533</v>
      </c>
      <c r="B530" s="29" t="s">
        <v>49</v>
      </c>
      <c r="C530" s="62" t="n">
        <v>0.7</v>
      </c>
      <c r="D530" s="29" t="s">
        <v>59</v>
      </c>
      <c r="E530" s="29" t="s">
        <v>57</v>
      </c>
    </row>
    <row r="531" customFormat="false" ht="14.25" hidden="false" customHeight="false" outlineLevel="0" collapsed="false">
      <c r="A531" s="1" t="n">
        <v>1534</v>
      </c>
      <c r="B531" s="29" t="s">
        <v>54</v>
      </c>
      <c r="C531" s="62" t="n">
        <v>46.6</v>
      </c>
      <c r="D531" s="29" t="s">
        <v>60</v>
      </c>
      <c r="E531" s="29" t="s">
        <v>55</v>
      </c>
    </row>
    <row r="532" customFormat="false" ht="14.25" hidden="false" customHeight="false" outlineLevel="0" collapsed="false">
      <c r="A532" s="1" t="n">
        <v>1535</v>
      </c>
      <c r="B532" s="29" t="s">
        <v>49</v>
      </c>
      <c r="C532" s="62" t="n">
        <v>2.7</v>
      </c>
      <c r="D532" s="29" t="s">
        <v>63</v>
      </c>
      <c r="E532" s="29" t="s">
        <v>58</v>
      </c>
    </row>
    <row r="533" customFormat="false" ht="14.25" hidden="false" customHeight="false" outlineLevel="0" collapsed="false">
      <c r="A533" s="1" t="n">
        <v>1536</v>
      </c>
      <c r="B533" s="29" t="s">
        <v>54</v>
      </c>
      <c r="C533" s="62" t="n">
        <v>63</v>
      </c>
      <c r="D533" s="29" t="s">
        <v>67</v>
      </c>
      <c r="E533" s="29" t="s">
        <v>66</v>
      </c>
    </row>
    <row r="534" customFormat="false" ht="14.25" hidden="false" customHeight="false" outlineLevel="0" collapsed="false">
      <c r="A534" s="1" t="n">
        <v>1537</v>
      </c>
      <c r="B534" s="29" t="s">
        <v>49</v>
      </c>
      <c r="C534" s="62" t="n">
        <v>4.9</v>
      </c>
      <c r="D534" s="29" t="s">
        <v>67</v>
      </c>
      <c r="E534" s="29" t="s">
        <v>58</v>
      </c>
    </row>
    <row r="535" customFormat="false" ht="14.25" hidden="false" customHeight="false" outlineLevel="0" collapsed="false">
      <c r="A535" s="1" t="n">
        <v>1538</v>
      </c>
      <c r="B535" s="29" t="s">
        <v>54</v>
      </c>
      <c r="C535" s="62" t="n">
        <v>19.1</v>
      </c>
      <c r="D535" s="29" t="s">
        <v>67</v>
      </c>
      <c r="E535" s="29" t="s">
        <v>66</v>
      </c>
    </row>
    <row r="536" customFormat="false" ht="14.25" hidden="false" customHeight="false" outlineLevel="0" collapsed="false">
      <c r="A536" s="1" t="n">
        <v>1539</v>
      </c>
      <c r="B536" s="29" t="s">
        <v>49</v>
      </c>
      <c r="C536" s="62" t="n">
        <v>21.4</v>
      </c>
      <c r="D536" s="29" t="s">
        <v>52</v>
      </c>
      <c r="E536" s="29" t="s">
        <v>58</v>
      </c>
    </row>
    <row r="537" customFormat="false" ht="14.25" hidden="false" customHeight="false" outlineLevel="0" collapsed="false">
      <c r="A537" s="1" t="n">
        <v>1540</v>
      </c>
      <c r="B537" s="29" t="s">
        <v>61</v>
      </c>
      <c r="C537" s="62" t="n">
        <v>7.4</v>
      </c>
      <c r="D537" s="29" t="s">
        <v>68</v>
      </c>
      <c r="E537" s="29" t="s">
        <v>58</v>
      </c>
    </row>
    <row r="538" customFormat="false" ht="14.25" hidden="false" customHeight="false" outlineLevel="0" collapsed="false">
      <c r="A538" s="1" t="n">
        <v>1541</v>
      </c>
      <c r="B538" s="29" t="s">
        <v>49</v>
      </c>
      <c r="C538" s="62" t="n">
        <v>37.5</v>
      </c>
      <c r="D538" s="29" t="s">
        <v>68</v>
      </c>
      <c r="E538" s="29" t="s">
        <v>65</v>
      </c>
    </row>
    <row r="539" customFormat="false" ht="14.25" hidden="false" customHeight="false" outlineLevel="0" collapsed="false">
      <c r="A539" s="1" t="n">
        <v>1542</v>
      </c>
      <c r="B539" s="29" t="s">
        <v>49</v>
      </c>
      <c r="C539" s="62" t="n">
        <v>1.6</v>
      </c>
      <c r="D539" s="29" t="s">
        <v>50</v>
      </c>
      <c r="E539" s="29" t="s">
        <v>58</v>
      </c>
    </row>
    <row r="540" customFormat="false" ht="14.25" hidden="false" customHeight="false" outlineLevel="0" collapsed="false">
      <c r="A540" s="1" t="n">
        <v>1543</v>
      </c>
      <c r="B540" s="29" t="s">
        <v>49</v>
      </c>
      <c r="C540" s="62" t="n">
        <v>6.1</v>
      </c>
      <c r="D540" s="29" t="s">
        <v>50</v>
      </c>
      <c r="E540" s="29" t="s">
        <v>58</v>
      </c>
    </row>
    <row r="541" customFormat="false" ht="14.25" hidden="false" customHeight="false" outlineLevel="0" collapsed="false">
      <c r="A541" s="1" t="n">
        <v>1544</v>
      </c>
      <c r="B541" s="29" t="s">
        <v>54</v>
      </c>
      <c r="C541" s="62" t="n">
        <v>58.1</v>
      </c>
      <c r="D541" s="29" t="s">
        <v>62</v>
      </c>
      <c r="E541" s="29" t="s">
        <v>66</v>
      </c>
    </row>
    <row r="542" customFormat="false" ht="14.25" hidden="false" customHeight="false" outlineLevel="0" collapsed="false">
      <c r="A542" s="1" t="n">
        <v>1545</v>
      </c>
      <c r="B542" s="29" t="s">
        <v>49</v>
      </c>
      <c r="C542" s="62" t="n">
        <v>6.6</v>
      </c>
      <c r="D542" s="29" t="s">
        <v>67</v>
      </c>
      <c r="E542" s="29" t="s">
        <v>58</v>
      </c>
    </row>
    <row r="543" customFormat="false" ht="14.25" hidden="false" customHeight="false" outlineLevel="0" collapsed="false">
      <c r="A543" s="1" t="n">
        <v>1546</v>
      </c>
      <c r="B543" s="29" t="s">
        <v>49</v>
      </c>
      <c r="C543" s="62" t="n">
        <v>6.2</v>
      </c>
      <c r="D543" s="29" t="s">
        <v>67</v>
      </c>
      <c r="E543" s="29" t="s">
        <v>58</v>
      </c>
    </row>
    <row r="544" customFormat="false" ht="14.25" hidden="false" customHeight="false" outlineLevel="0" collapsed="false">
      <c r="A544" s="1" t="n">
        <v>1547</v>
      </c>
      <c r="B544" s="29" t="s">
        <v>49</v>
      </c>
      <c r="C544" s="62" t="n">
        <v>2.7</v>
      </c>
      <c r="D544" s="29" t="s">
        <v>68</v>
      </c>
      <c r="E544" s="29" t="s">
        <v>58</v>
      </c>
    </row>
    <row r="545" customFormat="false" ht="14.25" hidden="false" customHeight="false" outlineLevel="0" collapsed="false">
      <c r="A545" s="1" t="n">
        <v>1548</v>
      </c>
      <c r="B545" s="29" t="s">
        <v>49</v>
      </c>
      <c r="C545" s="62" t="n">
        <v>6.4</v>
      </c>
      <c r="D545" s="29" t="s">
        <v>59</v>
      </c>
      <c r="E545" s="29" t="s">
        <v>58</v>
      </c>
    </row>
    <row r="546" customFormat="false" ht="14.25" hidden="false" customHeight="false" outlineLevel="0" collapsed="false">
      <c r="A546" s="1" t="n">
        <v>1549</v>
      </c>
      <c r="B546" s="29" t="s">
        <v>54</v>
      </c>
      <c r="C546" s="62" t="n">
        <v>57.9</v>
      </c>
      <c r="D546" s="29" t="s">
        <v>59</v>
      </c>
      <c r="E546" s="29" t="s">
        <v>55</v>
      </c>
    </row>
    <row r="547" customFormat="false" ht="14.25" hidden="false" customHeight="false" outlineLevel="0" collapsed="false">
      <c r="A547" s="1" t="n">
        <v>1550</v>
      </c>
      <c r="B547" s="29" t="s">
        <v>49</v>
      </c>
      <c r="C547" s="62" t="n">
        <v>7.3</v>
      </c>
      <c r="D547" s="29" t="s">
        <v>50</v>
      </c>
      <c r="E547" s="29" t="s">
        <v>58</v>
      </c>
    </row>
    <row r="548" customFormat="false" ht="14.25" hidden="false" customHeight="false" outlineLevel="0" collapsed="false">
      <c r="A548" s="1" t="n">
        <v>1551</v>
      </c>
      <c r="B548" s="29" t="s">
        <v>54</v>
      </c>
      <c r="C548" s="62" t="n">
        <v>15.7</v>
      </c>
      <c r="D548" s="29" t="s">
        <v>71</v>
      </c>
      <c r="E548" s="29" t="s">
        <v>66</v>
      </c>
    </row>
    <row r="549" customFormat="false" ht="14.25" hidden="false" customHeight="false" outlineLevel="0" collapsed="false">
      <c r="A549" s="1" t="n">
        <v>1552</v>
      </c>
      <c r="B549" s="29" t="s">
        <v>49</v>
      </c>
      <c r="C549" s="62" t="n">
        <v>4.5</v>
      </c>
      <c r="D549" s="29" t="s">
        <v>50</v>
      </c>
      <c r="E549" s="29" t="s">
        <v>58</v>
      </c>
    </row>
    <row r="550" customFormat="false" ht="14.25" hidden="false" customHeight="false" outlineLevel="0" collapsed="false">
      <c r="A550" s="1" t="n">
        <v>1553</v>
      </c>
      <c r="B550" s="29" t="s">
        <v>49</v>
      </c>
      <c r="C550" s="62" t="n">
        <v>12.2</v>
      </c>
      <c r="D550" s="29" t="s">
        <v>50</v>
      </c>
      <c r="E550" s="29" t="s">
        <v>58</v>
      </c>
    </row>
    <row r="551" customFormat="false" ht="14.25" hidden="false" customHeight="false" outlineLevel="0" collapsed="false">
      <c r="A551" s="1" t="n">
        <v>1554</v>
      </c>
      <c r="B551" s="29" t="s">
        <v>49</v>
      </c>
      <c r="C551" s="62" t="n">
        <v>15</v>
      </c>
      <c r="D551" s="29" t="s">
        <v>50</v>
      </c>
      <c r="E551" s="29" t="s">
        <v>51</v>
      </c>
    </row>
    <row r="552" customFormat="false" ht="14.25" hidden="false" customHeight="false" outlineLevel="0" collapsed="false">
      <c r="A552" s="1" t="n">
        <v>1555</v>
      </c>
      <c r="B552" s="29" t="s">
        <v>49</v>
      </c>
      <c r="C552" s="62" t="n">
        <v>2.7</v>
      </c>
      <c r="D552" s="29" t="s">
        <v>59</v>
      </c>
      <c r="E552" s="29" t="s">
        <v>58</v>
      </c>
    </row>
    <row r="553" customFormat="false" ht="14.25" hidden="false" customHeight="false" outlineLevel="0" collapsed="false">
      <c r="A553" s="1" t="n">
        <v>1556</v>
      </c>
      <c r="B553" s="29" t="s">
        <v>49</v>
      </c>
      <c r="C553" s="62" t="n">
        <v>7.8</v>
      </c>
      <c r="D553" s="29" t="s">
        <v>59</v>
      </c>
      <c r="E553" s="29" t="s">
        <v>58</v>
      </c>
    </row>
    <row r="554" customFormat="false" ht="14.25" hidden="false" customHeight="false" outlineLevel="0" collapsed="false">
      <c r="A554" s="1" t="n">
        <v>1557</v>
      </c>
      <c r="B554" s="29" t="s">
        <v>49</v>
      </c>
      <c r="C554" s="62" t="n">
        <v>6.2</v>
      </c>
      <c r="D554" s="29" t="s">
        <v>52</v>
      </c>
      <c r="E554" s="29" t="s">
        <v>57</v>
      </c>
    </row>
    <row r="555" customFormat="false" ht="14.25" hidden="false" customHeight="false" outlineLevel="0" collapsed="false">
      <c r="A555" s="1" t="n">
        <v>1558</v>
      </c>
      <c r="B555" s="29" t="s">
        <v>49</v>
      </c>
      <c r="C555" s="62" t="n">
        <v>2.1</v>
      </c>
      <c r="D555" s="29" t="s">
        <v>70</v>
      </c>
      <c r="E555" s="29" t="s">
        <v>53</v>
      </c>
    </row>
    <row r="556" customFormat="false" ht="14.25" hidden="false" customHeight="false" outlineLevel="0" collapsed="false">
      <c r="A556" s="1" t="n">
        <v>1559</v>
      </c>
      <c r="B556" s="29" t="s">
        <v>49</v>
      </c>
      <c r="C556" s="62" t="n">
        <v>1.3</v>
      </c>
      <c r="D556" s="29" t="s">
        <v>59</v>
      </c>
      <c r="E556" s="29" t="s">
        <v>57</v>
      </c>
    </row>
    <row r="557" customFormat="false" ht="14.25" hidden="false" customHeight="false" outlineLevel="0" collapsed="false">
      <c r="A557" s="1" t="n">
        <v>1560</v>
      </c>
      <c r="B557" s="29" t="s">
        <v>54</v>
      </c>
      <c r="C557" s="62" t="n">
        <v>62.8</v>
      </c>
      <c r="D557" s="29" t="s">
        <v>59</v>
      </c>
      <c r="E557" s="29" t="s">
        <v>55</v>
      </c>
    </row>
    <row r="558" customFormat="false" ht="14.25" hidden="false" customHeight="false" outlineLevel="0" collapsed="false">
      <c r="A558" s="1" t="n">
        <v>1561</v>
      </c>
      <c r="B558" s="29" t="s">
        <v>49</v>
      </c>
      <c r="C558" s="62" t="n">
        <v>9.6</v>
      </c>
      <c r="D558" s="29" t="s">
        <v>56</v>
      </c>
      <c r="E558" s="29" t="s">
        <v>58</v>
      </c>
    </row>
    <row r="559" customFormat="false" ht="14.25" hidden="false" customHeight="false" outlineLevel="0" collapsed="false">
      <c r="A559" s="1" t="n">
        <v>1562</v>
      </c>
      <c r="B559" s="29" t="s">
        <v>49</v>
      </c>
      <c r="C559" s="62" t="n">
        <v>2.5</v>
      </c>
      <c r="D559" s="29" t="s">
        <v>50</v>
      </c>
      <c r="E559" s="29" t="s">
        <v>53</v>
      </c>
    </row>
    <row r="560" customFormat="false" ht="14.25" hidden="false" customHeight="false" outlineLevel="0" collapsed="false">
      <c r="A560" s="1" t="n">
        <v>1563</v>
      </c>
      <c r="B560" s="29" t="s">
        <v>49</v>
      </c>
      <c r="C560" s="62" t="n">
        <v>9.6</v>
      </c>
      <c r="D560" s="29" t="s">
        <v>50</v>
      </c>
      <c r="E560" s="29" t="s">
        <v>58</v>
      </c>
    </row>
    <row r="561" customFormat="false" ht="14.25" hidden="false" customHeight="false" outlineLevel="0" collapsed="false">
      <c r="A561" s="1" t="n">
        <v>1564</v>
      </c>
      <c r="B561" s="29" t="s">
        <v>49</v>
      </c>
      <c r="C561" s="62" t="n">
        <v>5.4</v>
      </c>
      <c r="D561" s="29" t="s">
        <v>50</v>
      </c>
      <c r="E561" s="29" t="s">
        <v>53</v>
      </c>
    </row>
    <row r="562" customFormat="false" ht="14.25" hidden="false" customHeight="false" outlineLevel="0" collapsed="false">
      <c r="A562" s="1" t="n">
        <v>1565</v>
      </c>
      <c r="B562" s="29" t="s">
        <v>54</v>
      </c>
      <c r="C562" s="62" t="n">
        <v>52.4</v>
      </c>
      <c r="D562" s="29" t="s">
        <v>50</v>
      </c>
      <c r="E562" s="29" t="s">
        <v>66</v>
      </c>
    </row>
    <row r="563" customFormat="false" ht="14.25" hidden="false" customHeight="false" outlineLevel="0" collapsed="false">
      <c r="A563" s="1" t="n">
        <v>1566</v>
      </c>
      <c r="B563" s="29" t="s">
        <v>49</v>
      </c>
      <c r="C563" s="62" t="n">
        <v>7.8</v>
      </c>
      <c r="D563" s="29" t="s">
        <v>59</v>
      </c>
      <c r="E563" s="29" t="s">
        <v>53</v>
      </c>
    </row>
    <row r="564" customFormat="false" ht="14.25" hidden="false" customHeight="false" outlineLevel="0" collapsed="false">
      <c r="A564" s="1" t="n">
        <v>1567</v>
      </c>
      <c r="B564" s="29" t="s">
        <v>49</v>
      </c>
      <c r="C564" s="62" t="n">
        <v>6.5</v>
      </c>
      <c r="D564" s="29" t="s">
        <v>60</v>
      </c>
      <c r="E564" s="29" t="s">
        <v>58</v>
      </c>
    </row>
    <row r="565" customFormat="false" ht="14.25" hidden="false" customHeight="false" outlineLevel="0" collapsed="false">
      <c r="A565" s="1" t="n">
        <v>1568</v>
      </c>
      <c r="B565" s="29" t="s">
        <v>61</v>
      </c>
      <c r="C565" s="62" t="n">
        <v>9.9</v>
      </c>
      <c r="D565" s="29" t="s">
        <v>50</v>
      </c>
      <c r="E565" s="29" t="s">
        <v>58</v>
      </c>
    </row>
    <row r="566" customFormat="false" ht="14.25" hidden="false" customHeight="false" outlineLevel="0" collapsed="false">
      <c r="A566" s="1" t="n">
        <v>1569</v>
      </c>
      <c r="B566" s="29" t="s">
        <v>49</v>
      </c>
      <c r="C566" s="62" t="n">
        <v>4.8</v>
      </c>
      <c r="D566" s="29" t="s">
        <v>52</v>
      </c>
      <c r="E566" s="29" t="s">
        <v>58</v>
      </c>
    </row>
    <row r="567" customFormat="false" ht="14.25" hidden="false" customHeight="false" outlineLevel="0" collapsed="false">
      <c r="A567" s="1" t="n">
        <v>1570</v>
      </c>
      <c r="B567" s="29" t="s">
        <v>49</v>
      </c>
      <c r="C567" s="62" t="n">
        <v>9.4</v>
      </c>
      <c r="D567" s="29" t="s">
        <v>56</v>
      </c>
      <c r="E567" s="29" t="s">
        <v>58</v>
      </c>
    </row>
    <row r="568" customFormat="false" ht="14.25" hidden="false" customHeight="false" outlineLevel="0" collapsed="false">
      <c r="A568" s="1" t="n">
        <v>1571</v>
      </c>
      <c r="B568" s="29" t="s">
        <v>49</v>
      </c>
      <c r="C568" s="62" t="n">
        <v>7.6</v>
      </c>
      <c r="D568" s="29" t="s">
        <v>60</v>
      </c>
      <c r="E568" s="29" t="s">
        <v>58</v>
      </c>
    </row>
    <row r="569" customFormat="false" ht="14.25" hidden="false" customHeight="false" outlineLevel="0" collapsed="false">
      <c r="A569" s="1" t="n">
        <v>1572</v>
      </c>
      <c r="B569" s="29" t="s">
        <v>54</v>
      </c>
      <c r="C569" s="62" t="n">
        <v>32.1</v>
      </c>
      <c r="D569" s="29" t="s">
        <v>59</v>
      </c>
      <c r="E569" s="29" t="s">
        <v>66</v>
      </c>
    </row>
    <row r="570" customFormat="false" ht="14.25" hidden="false" customHeight="false" outlineLevel="0" collapsed="false">
      <c r="A570" s="1" t="n">
        <v>1573</v>
      </c>
      <c r="B570" s="29" t="s">
        <v>49</v>
      </c>
      <c r="C570" s="62" t="n">
        <v>3.5</v>
      </c>
      <c r="D570" s="29" t="s">
        <v>59</v>
      </c>
      <c r="E570" s="29" t="s">
        <v>53</v>
      </c>
    </row>
    <row r="571" customFormat="false" ht="14.25" hidden="false" customHeight="false" outlineLevel="0" collapsed="false">
      <c r="A571" s="1" t="n">
        <v>1574</v>
      </c>
      <c r="B571" s="29" t="s">
        <v>49</v>
      </c>
      <c r="C571" s="62" t="n">
        <v>8.2</v>
      </c>
      <c r="D571" s="29" t="s">
        <v>60</v>
      </c>
      <c r="E571" s="29" t="s">
        <v>58</v>
      </c>
    </row>
    <row r="572" customFormat="false" ht="14.25" hidden="false" customHeight="false" outlineLevel="0" collapsed="false">
      <c r="A572" s="1" t="n">
        <v>1575</v>
      </c>
      <c r="B572" s="29" t="s">
        <v>54</v>
      </c>
      <c r="C572" s="62" t="n">
        <v>28.1</v>
      </c>
      <c r="D572" s="29" t="s">
        <v>60</v>
      </c>
      <c r="E572" s="29" t="s">
        <v>66</v>
      </c>
    </row>
    <row r="573" customFormat="false" ht="14.25" hidden="false" customHeight="false" outlineLevel="0" collapsed="false">
      <c r="A573" s="1" t="n">
        <v>1576</v>
      </c>
      <c r="B573" s="29" t="s">
        <v>49</v>
      </c>
      <c r="C573" s="62" t="n">
        <v>4.5</v>
      </c>
      <c r="D573" s="29" t="s">
        <v>59</v>
      </c>
      <c r="E573" s="29" t="s">
        <v>58</v>
      </c>
    </row>
    <row r="574" customFormat="false" ht="14.25" hidden="false" customHeight="false" outlineLevel="0" collapsed="false">
      <c r="A574" s="1" t="n">
        <v>1577</v>
      </c>
      <c r="B574" s="29" t="s">
        <v>54</v>
      </c>
      <c r="C574" s="62" t="n">
        <v>43</v>
      </c>
      <c r="D574" s="29" t="s">
        <v>59</v>
      </c>
      <c r="E574" s="29" t="s">
        <v>55</v>
      </c>
    </row>
    <row r="575" customFormat="false" ht="14.25" hidden="false" customHeight="false" outlineLevel="0" collapsed="false">
      <c r="A575" s="1" t="n">
        <v>1578</v>
      </c>
      <c r="B575" s="29" t="s">
        <v>49</v>
      </c>
      <c r="C575" s="62" t="n">
        <v>15</v>
      </c>
      <c r="D575" s="29" t="s">
        <v>71</v>
      </c>
      <c r="E575" s="29" t="s">
        <v>51</v>
      </c>
    </row>
    <row r="576" customFormat="false" ht="14.25" hidden="false" customHeight="false" outlineLevel="0" collapsed="false">
      <c r="A576" s="1" t="n">
        <v>1579</v>
      </c>
      <c r="B576" s="29" t="s">
        <v>49</v>
      </c>
      <c r="C576" s="62" t="n">
        <v>5.5</v>
      </c>
      <c r="D576" s="29" t="s">
        <v>71</v>
      </c>
      <c r="E576" s="29" t="s">
        <v>58</v>
      </c>
    </row>
    <row r="577" customFormat="false" ht="14.25" hidden="false" customHeight="false" outlineLevel="0" collapsed="false">
      <c r="A577" s="1" t="n">
        <v>1580</v>
      </c>
      <c r="B577" s="29" t="s">
        <v>49</v>
      </c>
      <c r="C577" s="62" t="n">
        <v>5.4</v>
      </c>
      <c r="D577" s="29" t="s">
        <v>71</v>
      </c>
      <c r="E577" s="29" t="s">
        <v>53</v>
      </c>
    </row>
    <row r="578" customFormat="false" ht="14.25" hidden="false" customHeight="false" outlineLevel="0" collapsed="false">
      <c r="A578" s="1" t="n">
        <v>1581</v>
      </c>
      <c r="B578" s="29" t="s">
        <v>49</v>
      </c>
      <c r="C578" s="62" t="n">
        <v>21.4</v>
      </c>
      <c r="D578" s="29" t="s">
        <v>59</v>
      </c>
      <c r="E578" s="29" t="s">
        <v>58</v>
      </c>
    </row>
    <row r="579" customFormat="false" ht="14.25" hidden="false" customHeight="false" outlineLevel="0" collapsed="false">
      <c r="A579" s="1" t="n">
        <v>1582</v>
      </c>
      <c r="B579" s="29" t="s">
        <v>61</v>
      </c>
      <c r="C579" s="62" t="n">
        <v>9.4</v>
      </c>
      <c r="D579" s="29" t="s">
        <v>59</v>
      </c>
      <c r="E579" s="29" t="s">
        <v>58</v>
      </c>
    </row>
    <row r="580" customFormat="false" ht="14.25" hidden="false" customHeight="false" outlineLevel="0" collapsed="false">
      <c r="A580" s="1" t="n">
        <v>1583</v>
      </c>
      <c r="B580" s="29" t="s">
        <v>49</v>
      </c>
      <c r="C580" s="62" t="n">
        <v>55.9</v>
      </c>
      <c r="D580" s="29" t="s">
        <v>59</v>
      </c>
      <c r="E580" s="29" t="s">
        <v>51</v>
      </c>
    </row>
    <row r="581" customFormat="false" ht="14.25" hidden="false" customHeight="false" outlineLevel="0" collapsed="false">
      <c r="A581" s="1" t="n">
        <v>1584</v>
      </c>
      <c r="B581" s="29" t="s">
        <v>49</v>
      </c>
      <c r="C581" s="62" t="n">
        <v>26.2</v>
      </c>
      <c r="D581" s="29" t="s">
        <v>59</v>
      </c>
      <c r="E581" s="29" t="s">
        <v>65</v>
      </c>
    </row>
    <row r="582" customFormat="false" ht="14.25" hidden="false" customHeight="false" outlineLevel="0" collapsed="false">
      <c r="A582" s="1" t="n">
        <v>1585</v>
      </c>
      <c r="B582" s="29" t="s">
        <v>49</v>
      </c>
      <c r="C582" s="62" t="n">
        <v>21.4</v>
      </c>
      <c r="D582" s="29" t="s">
        <v>70</v>
      </c>
      <c r="E582" s="29" t="s">
        <v>58</v>
      </c>
    </row>
    <row r="583" customFormat="false" ht="14.25" hidden="false" customHeight="false" outlineLevel="0" collapsed="false">
      <c r="A583" s="1" t="n">
        <v>1586</v>
      </c>
      <c r="B583" s="29" t="s">
        <v>61</v>
      </c>
      <c r="C583" s="62" t="n">
        <v>11.9</v>
      </c>
      <c r="D583" s="29" t="s">
        <v>52</v>
      </c>
      <c r="E583" s="29" t="s">
        <v>58</v>
      </c>
    </row>
    <row r="584" customFormat="false" ht="14.25" hidden="false" customHeight="false" outlineLevel="0" collapsed="false">
      <c r="A584" s="1" t="n">
        <v>1587</v>
      </c>
      <c r="B584" s="29" t="s">
        <v>61</v>
      </c>
      <c r="C584" s="62" t="n">
        <v>10.8</v>
      </c>
      <c r="D584" s="29" t="s">
        <v>52</v>
      </c>
      <c r="E584" s="29" t="s">
        <v>58</v>
      </c>
    </row>
    <row r="585" customFormat="false" ht="14.25" hidden="false" customHeight="false" outlineLevel="0" collapsed="false">
      <c r="A585" s="1" t="n">
        <v>1588</v>
      </c>
      <c r="B585" s="29" t="s">
        <v>49</v>
      </c>
      <c r="C585" s="62" t="n">
        <v>5.4</v>
      </c>
      <c r="D585" s="29" t="s">
        <v>52</v>
      </c>
      <c r="E585" s="29" t="s">
        <v>58</v>
      </c>
    </row>
    <row r="586" customFormat="false" ht="14.25" hidden="false" customHeight="false" outlineLevel="0" collapsed="false">
      <c r="A586" s="1" t="n">
        <v>1589</v>
      </c>
      <c r="B586" s="29" t="s">
        <v>49</v>
      </c>
      <c r="C586" s="62" t="n">
        <v>0.5</v>
      </c>
      <c r="D586" s="29" t="s">
        <v>60</v>
      </c>
      <c r="E586" s="29" t="s">
        <v>58</v>
      </c>
    </row>
    <row r="587" customFormat="false" ht="14.25" hidden="false" customHeight="false" outlineLevel="0" collapsed="false">
      <c r="A587" s="1" t="n">
        <v>1590</v>
      </c>
      <c r="B587" s="29" t="s">
        <v>49</v>
      </c>
      <c r="C587" s="62" t="n">
        <v>4.3</v>
      </c>
      <c r="D587" s="29" t="s">
        <v>60</v>
      </c>
      <c r="E587" s="29" t="s">
        <v>58</v>
      </c>
    </row>
    <row r="588" customFormat="false" ht="14.25" hidden="false" customHeight="false" outlineLevel="0" collapsed="false">
      <c r="A588" s="1" t="n">
        <v>1591</v>
      </c>
      <c r="B588" s="29" t="s">
        <v>61</v>
      </c>
      <c r="C588" s="62" t="n">
        <v>7.2</v>
      </c>
      <c r="D588" s="29" t="s">
        <v>67</v>
      </c>
      <c r="E588" s="29" t="s">
        <v>51</v>
      </c>
    </row>
    <row r="589" customFormat="false" ht="14.25" hidden="false" customHeight="false" outlineLevel="0" collapsed="false">
      <c r="A589" s="1" t="n">
        <v>1592</v>
      </c>
      <c r="B589" s="29" t="s">
        <v>54</v>
      </c>
      <c r="C589" s="62" t="n">
        <v>24.8</v>
      </c>
      <c r="D589" s="29" t="s">
        <v>67</v>
      </c>
      <c r="E589" s="29" t="s">
        <v>66</v>
      </c>
    </row>
    <row r="590" customFormat="false" ht="14.25" hidden="false" customHeight="false" outlineLevel="0" collapsed="false">
      <c r="A590" s="1" t="n">
        <v>1593</v>
      </c>
      <c r="B590" s="29" t="s">
        <v>49</v>
      </c>
      <c r="C590" s="62" t="n">
        <v>5.5</v>
      </c>
      <c r="D590" s="29" t="s">
        <v>67</v>
      </c>
      <c r="E590" s="29" t="s">
        <v>58</v>
      </c>
    </row>
    <row r="591" customFormat="false" ht="14.25" hidden="false" customHeight="false" outlineLevel="0" collapsed="false">
      <c r="A591" s="1" t="n">
        <v>1594</v>
      </c>
      <c r="B591" s="29" t="s">
        <v>61</v>
      </c>
      <c r="C591" s="62" t="n">
        <v>0.9</v>
      </c>
      <c r="D591" s="29" t="s">
        <v>67</v>
      </c>
      <c r="E591" s="29" t="s">
        <v>57</v>
      </c>
    </row>
    <row r="592" customFormat="false" ht="14.25" hidden="false" customHeight="false" outlineLevel="0" collapsed="false">
      <c r="A592" s="1" t="n">
        <v>1595</v>
      </c>
      <c r="B592" s="29" t="s">
        <v>54</v>
      </c>
      <c r="C592" s="62" t="n">
        <v>19.1</v>
      </c>
      <c r="D592" s="29" t="s">
        <v>50</v>
      </c>
      <c r="E592" s="29" t="s">
        <v>66</v>
      </c>
    </row>
    <row r="593" customFormat="false" ht="14.25" hidden="false" customHeight="false" outlineLevel="0" collapsed="false">
      <c r="A593" s="1" t="n">
        <v>1596</v>
      </c>
      <c r="B593" s="29" t="s">
        <v>49</v>
      </c>
      <c r="C593" s="62" t="n">
        <v>3</v>
      </c>
      <c r="D593" s="29" t="s">
        <v>50</v>
      </c>
      <c r="E593" s="29" t="s">
        <v>58</v>
      </c>
    </row>
    <row r="594" customFormat="false" ht="14.25" hidden="false" customHeight="false" outlineLevel="0" collapsed="false">
      <c r="A594" s="1" t="n">
        <v>1597</v>
      </c>
      <c r="B594" s="29" t="s">
        <v>49</v>
      </c>
      <c r="C594" s="62" t="n">
        <v>8.5</v>
      </c>
      <c r="D594" s="29" t="s">
        <v>59</v>
      </c>
      <c r="E594" s="29" t="s">
        <v>58</v>
      </c>
    </row>
    <row r="595" customFormat="false" ht="14.25" hidden="false" customHeight="false" outlineLevel="0" collapsed="false">
      <c r="A595" s="1" t="n">
        <v>1598</v>
      </c>
      <c r="B595" s="29" t="s">
        <v>49</v>
      </c>
      <c r="C595" s="62" t="n">
        <v>4.3</v>
      </c>
      <c r="D595" s="29" t="s">
        <v>59</v>
      </c>
      <c r="E595" s="29" t="s">
        <v>58</v>
      </c>
    </row>
    <row r="596" customFormat="false" ht="14.25" hidden="false" customHeight="false" outlineLevel="0" collapsed="false">
      <c r="A596" s="1" t="n">
        <v>1599</v>
      </c>
      <c r="B596" s="29" t="s">
        <v>49</v>
      </c>
      <c r="C596" s="62" t="n">
        <v>8.3</v>
      </c>
      <c r="D596" s="29" t="s">
        <v>60</v>
      </c>
      <c r="E596" s="29" t="s">
        <v>53</v>
      </c>
    </row>
    <row r="597" customFormat="false" ht="14.25" hidden="false" customHeight="false" outlineLevel="0" collapsed="false">
      <c r="A597" s="1" t="n">
        <v>1600</v>
      </c>
      <c r="B597" s="29" t="s">
        <v>49</v>
      </c>
      <c r="C597" s="62" t="n">
        <v>11.4</v>
      </c>
      <c r="D597" s="29" t="s">
        <v>60</v>
      </c>
      <c r="E597" s="29" t="s">
        <v>58</v>
      </c>
    </row>
    <row r="598" customFormat="false" ht="14.25" hidden="false" customHeight="false" outlineLevel="0" collapsed="false">
      <c r="A598" s="1" t="n">
        <v>1601</v>
      </c>
      <c r="B598" s="29" t="s">
        <v>61</v>
      </c>
      <c r="C598" s="62" t="n">
        <v>2.1</v>
      </c>
      <c r="D598" s="29" t="s">
        <v>67</v>
      </c>
      <c r="E598" s="29" t="s">
        <v>53</v>
      </c>
    </row>
    <row r="599" customFormat="false" ht="14.25" hidden="false" customHeight="false" outlineLevel="0" collapsed="false">
      <c r="A599" s="1" t="n">
        <v>1602</v>
      </c>
      <c r="B599" s="29" t="s">
        <v>49</v>
      </c>
      <c r="C599" s="62" t="n">
        <v>3.2</v>
      </c>
      <c r="D599" s="29" t="s">
        <v>60</v>
      </c>
      <c r="E599" s="29" t="s">
        <v>57</v>
      </c>
    </row>
    <row r="600" customFormat="false" ht="14.25" hidden="false" customHeight="false" outlineLevel="0" collapsed="false">
      <c r="A600" s="1" t="n">
        <v>1603</v>
      </c>
      <c r="B600" s="29" t="s">
        <v>54</v>
      </c>
      <c r="C600" s="62" t="n">
        <v>95.6</v>
      </c>
      <c r="D600" s="29" t="s">
        <v>50</v>
      </c>
      <c r="E600" s="29" t="s">
        <v>55</v>
      </c>
    </row>
    <row r="601" customFormat="false" ht="14.25" hidden="false" customHeight="false" outlineLevel="0" collapsed="false">
      <c r="A601" s="1" t="n">
        <v>1604</v>
      </c>
      <c r="B601" s="29" t="s">
        <v>49</v>
      </c>
      <c r="C601" s="62" t="n">
        <v>7.7</v>
      </c>
      <c r="D601" s="29" t="s">
        <v>50</v>
      </c>
      <c r="E601" s="29" t="s">
        <v>58</v>
      </c>
    </row>
    <row r="602" customFormat="false" ht="14.25" hidden="false" customHeight="false" outlineLevel="0" collapsed="false">
      <c r="A602" s="1" t="n">
        <v>1605</v>
      </c>
      <c r="B602" s="29" t="s">
        <v>49</v>
      </c>
      <c r="C602" s="62" t="n">
        <v>21.4</v>
      </c>
      <c r="D602" s="29" t="s">
        <v>50</v>
      </c>
      <c r="E602" s="29" t="s">
        <v>58</v>
      </c>
    </row>
    <row r="603" customFormat="false" ht="14.25" hidden="false" customHeight="false" outlineLevel="0" collapsed="false">
      <c r="A603" s="1" t="n">
        <v>1606</v>
      </c>
      <c r="B603" s="29" t="s">
        <v>49</v>
      </c>
      <c r="C603" s="62" t="n">
        <v>0.5</v>
      </c>
      <c r="D603" s="29" t="s">
        <v>50</v>
      </c>
      <c r="E603" s="29" t="s">
        <v>58</v>
      </c>
    </row>
    <row r="604" customFormat="false" ht="14.25" hidden="false" customHeight="false" outlineLevel="0" collapsed="false">
      <c r="A604" s="1" t="n">
        <v>1607</v>
      </c>
      <c r="B604" s="29" t="s">
        <v>49</v>
      </c>
      <c r="C604" s="62" t="n">
        <v>4.5</v>
      </c>
      <c r="D604" s="29" t="s">
        <v>50</v>
      </c>
      <c r="E604" s="29" t="s">
        <v>58</v>
      </c>
    </row>
    <row r="605" customFormat="false" ht="14.25" hidden="false" customHeight="false" outlineLevel="0" collapsed="false">
      <c r="A605" s="1" t="n">
        <v>1608</v>
      </c>
      <c r="B605" s="29" t="s">
        <v>49</v>
      </c>
      <c r="C605" s="62" t="n">
        <v>9.8</v>
      </c>
      <c r="D605" s="29" t="s">
        <v>52</v>
      </c>
      <c r="E605" s="29" t="s">
        <v>58</v>
      </c>
    </row>
    <row r="606" customFormat="false" ht="14.25" hidden="false" customHeight="false" outlineLevel="0" collapsed="false">
      <c r="A606" s="1" t="n">
        <v>1609</v>
      </c>
      <c r="B606" s="29" t="s">
        <v>61</v>
      </c>
      <c r="C606" s="62" t="n">
        <v>6.4</v>
      </c>
      <c r="D606" s="29" t="s">
        <v>60</v>
      </c>
      <c r="E606" s="29" t="s">
        <v>58</v>
      </c>
    </row>
    <row r="607" customFormat="false" ht="14.25" hidden="false" customHeight="false" outlineLevel="0" collapsed="false">
      <c r="A607" s="1" t="n">
        <v>1610</v>
      </c>
      <c r="B607" s="29" t="s">
        <v>54</v>
      </c>
      <c r="C607" s="62" t="n">
        <v>15.4</v>
      </c>
      <c r="D607" s="29" t="s">
        <v>62</v>
      </c>
      <c r="E607" s="29" t="s">
        <v>66</v>
      </c>
    </row>
    <row r="608" customFormat="false" ht="14.25" hidden="false" customHeight="false" outlineLevel="0" collapsed="false">
      <c r="A608" s="1" t="n">
        <v>1611</v>
      </c>
      <c r="B608" s="29" t="s">
        <v>49</v>
      </c>
      <c r="C608" s="62" t="n">
        <v>26.2</v>
      </c>
      <c r="D608" s="29" t="s">
        <v>62</v>
      </c>
      <c r="E608" s="29" t="s">
        <v>65</v>
      </c>
    </row>
    <row r="609" customFormat="false" ht="14.25" hidden="false" customHeight="false" outlineLevel="0" collapsed="false">
      <c r="A609" s="1" t="n">
        <v>1612</v>
      </c>
      <c r="B609" s="29" t="s">
        <v>61</v>
      </c>
      <c r="C609" s="62" t="n">
        <v>5.4</v>
      </c>
      <c r="D609" s="29" t="s">
        <v>67</v>
      </c>
      <c r="E609" s="29" t="s">
        <v>58</v>
      </c>
    </row>
    <row r="610" customFormat="false" ht="14.25" hidden="false" customHeight="false" outlineLevel="0" collapsed="false">
      <c r="A610" s="1" t="n">
        <v>1613</v>
      </c>
      <c r="B610" s="29" t="s">
        <v>49</v>
      </c>
      <c r="C610" s="62" t="n">
        <v>3.2</v>
      </c>
      <c r="D610" s="29" t="s">
        <v>67</v>
      </c>
      <c r="E610" s="29" t="s">
        <v>57</v>
      </c>
    </row>
    <row r="611" customFormat="false" ht="14.25" hidden="false" customHeight="false" outlineLevel="0" collapsed="false">
      <c r="A611" s="1" t="n">
        <v>1614</v>
      </c>
      <c r="B611" s="29" t="s">
        <v>49</v>
      </c>
      <c r="C611" s="62" t="n">
        <v>9.6</v>
      </c>
      <c r="D611" s="29" t="s">
        <v>63</v>
      </c>
      <c r="E611" s="29" t="s">
        <v>53</v>
      </c>
    </row>
    <row r="612" customFormat="false" ht="14.25" hidden="false" customHeight="false" outlineLevel="0" collapsed="false">
      <c r="A612" s="1" t="n">
        <v>1615</v>
      </c>
      <c r="B612" s="29" t="s">
        <v>49</v>
      </c>
      <c r="C612" s="62" t="n">
        <v>4.8</v>
      </c>
      <c r="D612" s="29" t="s">
        <v>63</v>
      </c>
      <c r="E612" s="29" t="s">
        <v>58</v>
      </c>
    </row>
    <row r="613" customFormat="false" ht="14.25" hidden="false" customHeight="false" outlineLevel="0" collapsed="false">
      <c r="A613" s="1" t="n">
        <v>1616</v>
      </c>
      <c r="B613" s="29" t="s">
        <v>49</v>
      </c>
      <c r="C613" s="62" t="n">
        <v>4.9</v>
      </c>
      <c r="D613" s="29" t="s">
        <v>63</v>
      </c>
      <c r="E613" s="29" t="s">
        <v>58</v>
      </c>
    </row>
    <row r="614" customFormat="false" ht="14.25" hidden="false" customHeight="false" outlineLevel="0" collapsed="false">
      <c r="A614" s="1" t="n">
        <v>1617</v>
      </c>
      <c r="B614" s="29" t="s">
        <v>61</v>
      </c>
      <c r="C614" s="62" t="n">
        <v>6.6</v>
      </c>
      <c r="D614" s="29" t="s">
        <v>71</v>
      </c>
      <c r="E614" s="29" t="s">
        <v>58</v>
      </c>
    </row>
    <row r="615" customFormat="false" ht="14.25" hidden="false" customHeight="false" outlineLevel="0" collapsed="false">
      <c r="A615" s="1" t="n">
        <v>1618</v>
      </c>
      <c r="B615" s="29" t="s">
        <v>49</v>
      </c>
      <c r="C615" s="62" t="n">
        <v>5.6</v>
      </c>
      <c r="D615" s="29" t="s">
        <v>63</v>
      </c>
      <c r="E615" s="29" t="s">
        <v>58</v>
      </c>
    </row>
    <row r="616" customFormat="false" ht="14.25" hidden="false" customHeight="false" outlineLevel="0" collapsed="false">
      <c r="A616" s="1" t="n">
        <v>1619</v>
      </c>
      <c r="B616" s="29" t="s">
        <v>49</v>
      </c>
      <c r="C616" s="62" t="n">
        <v>1.6</v>
      </c>
      <c r="D616" s="29" t="s">
        <v>63</v>
      </c>
      <c r="E616" s="29" t="s">
        <v>57</v>
      </c>
    </row>
    <row r="617" customFormat="false" ht="14.25" hidden="false" customHeight="false" outlineLevel="0" collapsed="false">
      <c r="A617" s="1" t="n">
        <v>1620</v>
      </c>
      <c r="B617" s="29" t="s">
        <v>49</v>
      </c>
      <c r="C617" s="62" t="n">
        <v>6.1</v>
      </c>
      <c r="D617" s="29" t="s">
        <v>52</v>
      </c>
      <c r="E617" s="29" t="s">
        <v>58</v>
      </c>
    </row>
    <row r="618" customFormat="false" ht="14.25" hidden="false" customHeight="false" outlineLevel="0" collapsed="false">
      <c r="A618" s="1" t="n">
        <v>1621</v>
      </c>
      <c r="B618" s="29" t="s">
        <v>49</v>
      </c>
      <c r="C618" s="62" t="n">
        <v>1</v>
      </c>
      <c r="D618" s="29" t="s">
        <v>52</v>
      </c>
      <c r="E618" s="29" t="s">
        <v>57</v>
      </c>
    </row>
    <row r="619" customFormat="false" ht="14.25" hidden="false" customHeight="false" outlineLevel="0" collapsed="false">
      <c r="A619" s="1" t="n">
        <v>1622</v>
      </c>
      <c r="B619" s="29" t="s">
        <v>49</v>
      </c>
      <c r="C619" s="62" t="n">
        <v>5.6</v>
      </c>
      <c r="D619" s="29" t="s">
        <v>70</v>
      </c>
      <c r="E619" s="29" t="s">
        <v>58</v>
      </c>
    </row>
    <row r="620" customFormat="false" ht="14.25" hidden="false" customHeight="false" outlineLevel="0" collapsed="false">
      <c r="A620" s="1" t="n">
        <v>1623</v>
      </c>
      <c r="B620" s="29" t="s">
        <v>49</v>
      </c>
      <c r="C620" s="62" t="n">
        <v>5.1</v>
      </c>
      <c r="D620" s="29" t="s">
        <v>50</v>
      </c>
      <c r="E620" s="29" t="s">
        <v>58</v>
      </c>
    </row>
    <row r="621" customFormat="false" ht="14.25" hidden="false" customHeight="false" outlineLevel="0" collapsed="false">
      <c r="A621" s="1" t="n">
        <v>1624</v>
      </c>
      <c r="B621" s="29" t="s">
        <v>49</v>
      </c>
      <c r="C621" s="62" t="n">
        <v>1.2</v>
      </c>
      <c r="D621" s="29" t="s">
        <v>50</v>
      </c>
      <c r="E621" s="29" t="s">
        <v>58</v>
      </c>
    </row>
    <row r="622" customFormat="false" ht="14.25" hidden="false" customHeight="false" outlineLevel="0" collapsed="false">
      <c r="A622" s="1" t="n">
        <v>1625</v>
      </c>
      <c r="B622" s="29" t="s">
        <v>49</v>
      </c>
      <c r="C622" s="62" t="n">
        <v>37.5</v>
      </c>
      <c r="D622" s="29" t="s">
        <v>56</v>
      </c>
      <c r="E622" s="29" t="s">
        <v>65</v>
      </c>
    </row>
    <row r="623" customFormat="false" ht="14.25" hidden="false" customHeight="false" outlineLevel="0" collapsed="false">
      <c r="A623" s="1" t="n">
        <v>1626</v>
      </c>
      <c r="B623" s="29" t="s">
        <v>49</v>
      </c>
      <c r="C623" s="62" t="n">
        <v>2.4</v>
      </c>
      <c r="D623" s="29" t="s">
        <v>59</v>
      </c>
      <c r="E623" s="29" t="s">
        <v>57</v>
      </c>
    </row>
    <row r="624" customFormat="false" ht="14.25" hidden="false" customHeight="false" outlineLevel="0" collapsed="false">
      <c r="A624" s="1" t="n">
        <v>1627</v>
      </c>
      <c r="B624" s="29" t="s">
        <v>49</v>
      </c>
      <c r="C624" s="62" t="n">
        <v>5.5</v>
      </c>
      <c r="D624" s="29" t="s">
        <v>62</v>
      </c>
      <c r="E624" s="29" t="s">
        <v>58</v>
      </c>
    </row>
    <row r="625" customFormat="false" ht="14.25" hidden="false" customHeight="false" outlineLevel="0" collapsed="false">
      <c r="A625" s="1" t="n">
        <v>1628</v>
      </c>
      <c r="B625" s="29" t="s">
        <v>49</v>
      </c>
      <c r="C625" s="62" t="n">
        <v>0.9</v>
      </c>
      <c r="D625" s="29" t="s">
        <v>62</v>
      </c>
      <c r="E625" s="29" t="s">
        <v>57</v>
      </c>
    </row>
    <row r="626" customFormat="false" ht="14.25" hidden="false" customHeight="false" outlineLevel="0" collapsed="false">
      <c r="A626" s="1" t="n">
        <v>1629</v>
      </c>
      <c r="B626" s="29" t="s">
        <v>49</v>
      </c>
      <c r="C626" s="62" t="n">
        <v>1.4</v>
      </c>
      <c r="D626" s="29" t="s">
        <v>60</v>
      </c>
      <c r="E626" s="29" t="s">
        <v>57</v>
      </c>
    </row>
    <row r="627" customFormat="false" ht="14.25" hidden="false" customHeight="false" outlineLevel="0" collapsed="false">
      <c r="A627" s="1" t="n">
        <v>1630</v>
      </c>
      <c r="B627" s="29" t="s">
        <v>49</v>
      </c>
      <c r="C627" s="62" t="n">
        <v>6.6</v>
      </c>
      <c r="D627" s="29" t="s">
        <v>59</v>
      </c>
      <c r="E627" s="29" t="s">
        <v>53</v>
      </c>
    </row>
    <row r="628" customFormat="false" ht="14.25" hidden="false" customHeight="false" outlineLevel="0" collapsed="false">
      <c r="A628" s="1" t="n">
        <v>1631</v>
      </c>
      <c r="B628" s="29" t="s">
        <v>61</v>
      </c>
      <c r="C628" s="62" t="n">
        <v>1.3</v>
      </c>
      <c r="D628" s="29" t="s">
        <v>59</v>
      </c>
      <c r="E628" s="29" t="s">
        <v>57</v>
      </c>
    </row>
    <row r="629" customFormat="false" ht="14.25" hidden="false" customHeight="false" outlineLevel="0" collapsed="false">
      <c r="A629" s="1" t="n">
        <v>1632</v>
      </c>
      <c r="B629" s="29" t="s">
        <v>61</v>
      </c>
      <c r="C629" s="62" t="n">
        <v>7</v>
      </c>
      <c r="D629" s="29" t="s">
        <v>62</v>
      </c>
      <c r="E629" s="29" t="s">
        <v>51</v>
      </c>
    </row>
    <row r="630" customFormat="false" ht="14.25" hidden="false" customHeight="false" outlineLevel="0" collapsed="false">
      <c r="A630" s="1" t="n">
        <v>1633</v>
      </c>
      <c r="B630" s="29" t="s">
        <v>49</v>
      </c>
      <c r="C630" s="62" t="n">
        <v>2.1</v>
      </c>
      <c r="D630" s="29" t="s">
        <v>62</v>
      </c>
      <c r="E630" s="29" t="s">
        <v>57</v>
      </c>
    </row>
    <row r="631" customFormat="false" ht="14.25" hidden="false" customHeight="false" outlineLevel="0" collapsed="false">
      <c r="A631" s="1" t="n">
        <v>1634</v>
      </c>
      <c r="B631" s="29" t="s">
        <v>61</v>
      </c>
      <c r="C631" s="62" t="n">
        <v>7.2</v>
      </c>
      <c r="D631" s="29" t="s">
        <v>52</v>
      </c>
      <c r="E631" s="29" t="s">
        <v>51</v>
      </c>
    </row>
    <row r="632" customFormat="false" ht="14.25" hidden="false" customHeight="false" outlineLevel="0" collapsed="false">
      <c r="A632" s="1" t="n">
        <v>1635</v>
      </c>
      <c r="B632" s="29" t="s">
        <v>54</v>
      </c>
      <c r="C632" s="62" t="n">
        <v>48.7</v>
      </c>
      <c r="D632" s="29" t="s">
        <v>52</v>
      </c>
      <c r="E632" s="29" t="s">
        <v>55</v>
      </c>
    </row>
    <row r="633" customFormat="false" ht="14.25" hidden="false" customHeight="false" outlineLevel="0" collapsed="false">
      <c r="A633" s="1" t="n">
        <v>1636</v>
      </c>
      <c r="B633" s="29" t="s">
        <v>49</v>
      </c>
      <c r="C633" s="62" t="n">
        <v>7.2</v>
      </c>
      <c r="D633" s="29" t="s">
        <v>52</v>
      </c>
      <c r="E633" s="29" t="s">
        <v>58</v>
      </c>
    </row>
    <row r="634" customFormat="false" ht="14.25" hidden="false" customHeight="false" outlineLevel="0" collapsed="false">
      <c r="A634" s="1" t="n">
        <v>1637</v>
      </c>
      <c r="B634" s="29" t="s">
        <v>61</v>
      </c>
      <c r="C634" s="62" t="n">
        <v>6.6</v>
      </c>
      <c r="D634" s="29" t="s">
        <v>60</v>
      </c>
      <c r="E634" s="29" t="s">
        <v>53</v>
      </c>
    </row>
    <row r="635" customFormat="false" ht="14.25" hidden="false" customHeight="false" outlineLevel="0" collapsed="false">
      <c r="A635" s="1" t="n">
        <v>1638</v>
      </c>
      <c r="B635" s="29" t="s">
        <v>49</v>
      </c>
      <c r="C635" s="62" t="n">
        <v>15</v>
      </c>
      <c r="D635" s="29" t="s">
        <v>52</v>
      </c>
      <c r="E635" s="29" t="s">
        <v>51</v>
      </c>
    </row>
    <row r="636" customFormat="false" ht="14.25" hidden="false" customHeight="false" outlineLevel="0" collapsed="false">
      <c r="A636" s="1" t="n">
        <v>1639</v>
      </c>
      <c r="B636" s="29" t="s">
        <v>54</v>
      </c>
      <c r="C636" s="62" t="n">
        <v>30.6</v>
      </c>
      <c r="D636" s="29" t="s">
        <v>52</v>
      </c>
      <c r="E636" s="29" t="s">
        <v>66</v>
      </c>
    </row>
    <row r="637" customFormat="false" ht="14.25" hidden="false" customHeight="false" outlineLevel="0" collapsed="false">
      <c r="A637" s="1" t="n">
        <v>1640</v>
      </c>
      <c r="B637" s="29" t="s">
        <v>49</v>
      </c>
      <c r="C637" s="62" t="n">
        <v>5.7</v>
      </c>
      <c r="D637" s="29" t="s">
        <v>52</v>
      </c>
      <c r="E637" s="29" t="s">
        <v>51</v>
      </c>
    </row>
    <row r="638" customFormat="false" ht="14.25" hidden="false" customHeight="false" outlineLevel="0" collapsed="false">
      <c r="A638" s="1" t="n">
        <v>1641</v>
      </c>
      <c r="B638" s="29" t="s">
        <v>49</v>
      </c>
      <c r="C638" s="62" t="n">
        <v>7.5</v>
      </c>
      <c r="D638" s="29" t="s">
        <v>60</v>
      </c>
      <c r="E638" s="29" t="s">
        <v>58</v>
      </c>
    </row>
    <row r="639" customFormat="false" ht="14.25" hidden="false" customHeight="false" outlineLevel="0" collapsed="false">
      <c r="A639" s="1" t="n">
        <v>1642</v>
      </c>
      <c r="B639" s="29" t="s">
        <v>54</v>
      </c>
      <c r="C639" s="62" t="n">
        <v>15.4</v>
      </c>
      <c r="D639" s="29" t="s">
        <v>71</v>
      </c>
      <c r="E639" s="29" t="s">
        <v>66</v>
      </c>
    </row>
    <row r="640" customFormat="false" ht="14.25" hidden="false" customHeight="false" outlineLevel="0" collapsed="false">
      <c r="A640" s="1" t="n">
        <v>1643</v>
      </c>
      <c r="B640" s="29" t="s">
        <v>49</v>
      </c>
      <c r="C640" s="62" t="n">
        <v>9.6</v>
      </c>
      <c r="D640" s="29" t="s">
        <v>67</v>
      </c>
      <c r="E640" s="29" t="s">
        <v>53</v>
      </c>
    </row>
    <row r="641" customFormat="false" ht="14.25" hidden="false" customHeight="false" outlineLevel="0" collapsed="false">
      <c r="A641" s="1" t="n">
        <v>1644</v>
      </c>
      <c r="B641" s="29" t="s">
        <v>49</v>
      </c>
      <c r="C641" s="62" t="n">
        <v>10.1</v>
      </c>
      <c r="D641" s="29" t="s">
        <v>67</v>
      </c>
      <c r="E641" s="29" t="s">
        <v>58</v>
      </c>
    </row>
    <row r="642" customFormat="false" ht="14.25" hidden="false" customHeight="false" outlineLevel="0" collapsed="false">
      <c r="A642" s="1" t="n">
        <v>1645</v>
      </c>
      <c r="B642" s="29" t="s">
        <v>49</v>
      </c>
      <c r="C642" s="62" t="n">
        <v>2.1</v>
      </c>
      <c r="D642" s="29" t="s">
        <v>62</v>
      </c>
      <c r="E642" s="29" t="s">
        <v>53</v>
      </c>
    </row>
    <row r="643" customFormat="false" ht="14.25" hidden="false" customHeight="false" outlineLevel="0" collapsed="false">
      <c r="A643" s="1" t="n">
        <v>1646</v>
      </c>
      <c r="B643" s="29" t="s">
        <v>49</v>
      </c>
      <c r="C643" s="62" t="n">
        <v>7</v>
      </c>
      <c r="D643" s="29" t="s">
        <v>59</v>
      </c>
      <c r="E643" s="29" t="s">
        <v>58</v>
      </c>
    </row>
    <row r="644" customFormat="false" ht="14.25" hidden="false" customHeight="false" outlineLevel="0" collapsed="false">
      <c r="A644" s="1" t="n">
        <v>1647</v>
      </c>
      <c r="B644" s="29" t="s">
        <v>49</v>
      </c>
      <c r="C644" s="62" t="n">
        <v>7.9</v>
      </c>
      <c r="D644" s="29" t="s">
        <v>59</v>
      </c>
      <c r="E644" s="29" t="s">
        <v>58</v>
      </c>
    </row>
    <row r="645" customFormat="false" ht="14.25" hidden="false" customHeight="false" outlineLevel="0" collapsed="false">
      <c r="A645" s="1" t="n">
        <v>1648</v>
      </c>
      <c r="B645" s="29" t="s">
        <v>61</v>
      </c>
      <c r="C645" s="62" t="n">
        <v>1.9</v>
      </c>
      <c r="D645" s="29" t="s">
        <v>71</v>
      </c>
      <c r="E645" s="29" t="s">
        <v>57</v>
      </c>
    </row>
    <row r="646" customFormat="false" ht="14.25" hidden="false" customHeight="false" outlineLevel="0" collapsed="false">
      <c r="A646" s="1" t="n">
        <v>1649</v>
      </c>
      <c r="B646" s="29" t="s">
        <v>49</v>
      </c>
      <c r="C646" s="62" t="n">
        <v>4.9</v>
      </c>
      <c r="D646" s="29" t="s">
        <v>59</v>
      </c>
      <c r="E646" s="29" t="s">
        <v>57</v>
      </c>
    </row>
    <row r="647" customFormat="false" ht="14.25" hidden="false" customHeight="false" outlineLevel="0" collapsed="false">
      <c r="A647" s="1" t="n">
        <v>1650</v>
      </c>
      <c r="B647" s="29" t="s">
        <v>49</v>
      </c>
      <c r="C647" s="62" t="n">
        <v>10</v>
      </c>
      <c r="D647" s="29" t="s">
        <v>60</v>
      </c>
      <c r="E647" s="29" t="s">
        <v>58</v>
      </c>
    </row>
    <row r="648" customFormat="false" ht="14.25" hidden="false" customHeight="false" outlineLevel="0" collapsed="false">
      <c r="A648" s="1" t="n">
        <v>1651</v>
      </c>
      <c r="B648" s="29" t="s">
        <v>54</v>
      </c>
      <c r="C648" s="62" t="n">
        <v>117.9</v>
      </c>
      <c r="D648" s="29" t="s">
        <v>60</v>
      </c>
      <c r="E648" s="29" t="s">
        <v>55</v>
      </c>
    </row>
    <row r="649" customFormat="false" ht="14.25" hidden="false" customHeight="false" outlineLevel="0" collapsed="false">
      <c r="A649" s="1" t="n">
        <v>1652</v>
      </c>
      <c r="B649" s="29" t="s">
        <v>61</v>
      </c>
      <c r="C649" s="62" t="n">
        <v>2.7</v>
      </c>
      <c r="D649" s="29" t="s">
        <v>56</v>
      </c>
      <c r="E649" s="29" t="s">
        <v>58</v>
      </c>
    </row>
    <row r="650" customFormat="false" ht="14.25" hidden="false" customHeight="false" outlineLevel="0" collapsed="false">
      <c r="A650" s="1" t="n">
        <v>1653</v>
      </c>
      <c r="B650" s="29" t="s">
        <v>61</v>
      </c>
      <c r="C650" s="62" t="n">
        <v>1.1</v>
      </c>
      <c r="D650" s="29" t="s">
        <v>59</v>
      </c>
      <c r="E650" s="29" t="s">
        <v>57</v>
      </c>
    </row>
    <row r="651" customFormat="false" ht="14.25" hidden="false" customHeight="false" outlineLevel="0" collapsed="false">
      <c r="A651" s="1" t="n">
        <v>1654</v>
      </c>
      <c r="B651" s="29" t="s">
        <v>49</v>
      </c>
      <c r="C651" s="62" t="n">
        <v>6.6</v>
      </c>
      <c r="D651" s="29" t="s">
        <v>59</v>
      </c>
      <c r="E651" s="29" t="s">
        <v>53</v>
      </c>
    </row>
    <row r="652" customFormat="false" ht="14.25" hidden="false" customHeight="false" outlineLevel="0" collapsed="false">
      <c r="A652" s="1" t="n">
        <v>1655</v>
      </c>
      <c r="B652" s="29" t="s">
        <v>54</v>
      </c>
      <c r="C652" s="62" t="n">
        <v>64.4</v>
      </c>
      <c r="D652" s="29" t="s">
        <v>59</v>
      </c>
      <c r="E652" s="29" t="s">
        <v>55</v>
      </c>
    </row>
    <row r="653" customFormat="false" ht="14.25" hidden="false" customHeight="false" outlineLevel="0" collapsed="false">
      <c r="A653" s="1" t="n">
        <v>1656</v>
      </c>
      <c r="B653" s="29" t="s">
        <v>49</v>
      </c>
      <c r="C653" s="62" t="n">
        <v>5.4</v>
      </c>
      <c r="D653" s="29" t="s">
        <v>59</v>
      </c>
      <c r="E653" s="29" t="s">
        <v>58</v>
      </c>
    </row>
    <row r="654" customFormat="false" ht="14.25" hidden="false" customHeight="false" outlineLevel="0" collapsed="false">
      <c r="A654" s="1" t="n">
        <v>1657</v>
      </c>
      <c r="B654" s="29" t="s">
        <v>49</v>
      </c>
      <c r="C654" s="62" t="n">
        <v>4.7</v>
      </c>
      <c r="D654" s="29" t="s">
        <v>59</v>
      </c>
      <c r="E654" s="29" t="s">
        <v>57</v>
      </c>
    </row>
    <row r="655" customFormat="false" ht="14.25" hidden="false" customHeight="false" outlineLevel="0" collapsed="false">
      <c r="A655" s="1" t="n">
        <v>1658</v>
      </c>
      <c r="B655" s="29" t="s">
        <v>49</v>
      </c>
      <c r="C655" s="62" t="n">
        <v>0.7</v>
      </c>
      <c r="D655" s="29" t="s">
        <v>59</v>
      </c>
      <c r="E655" s="29" t="s">
        <v>57</v>
      </c>
    </row>
    <row r="656" customFormat="false" ht="14.25" hidden="false" customHeight="false" outlineLevel="0" collapsed="false">
      <c r="A656" s="1" t="n">
        <v>1659</v>
      </c>
      <c r="B656" s="29" t="s">
        <v>49</v>
      </c>
      <c r="C656" s="62" t="n">
        <v>1.2</v>
      </c>
      <c r="D656" s="29" t="s">
        <v>56</v>
      </c>
      <c r="E656" s="29" t="s">
        <v>58</v>
      </c>
    </row>
    <row r="657" customFormat="false" ht="14.25" hidden="false" customHeight="false" outlineLevel="0" collapsed="false">
      <c r="A657" s="1" t="n">
        <v>1660</v>
      </c>
      <c r="B657" s="29" t="s">
        <v>54</v>
      </c>
      <c r="C657" s="62" t="n">
        <v>66.1</v>
      </c>
      <c r="D657" s="29" t="s">
        <v>60</v>
      </c>
      <c r="E657" s="29" t="s">
        <v>55</v>
      </c>
    </row>
    <row r="658" customFormat="false" ht="14.25" hidden="false" customHeight="false" outlineLevel="0" collapsed="false">
      <c r="A658" s="1" t="n">
        <v>1661</v>
      </c>
      <c r="B658" s="29" t="s">
        <v>54</v>
      </c>
      <c r="C658" s="62" t="n">
        <v>38.6</v>
      </c>
      <c r="D658" s="29" t="s">
        <v>60</v>
      </c>
      <c r="E658" s="29" t="s">
        <v>55</v>
      </c>
    </row>
    <row r="659" customFormat="false" ht="14.25" hidden="false" customHeight="false" outlineLevel="0" collapsed="false">
      <c r="A659" s="1" t="n">
        <v>1662</v>
      </c>
      <c r="B659" s="29" t="s">
        <v>61</v>
      </c>
      <c r="C659" s="62" t="n">
        <v>8.7</v>
      </c>
      <c r="D659" s="29" t="s">
        <v>50</v>
      </c>
      <c r="E659" s="29" t="s">
        <v>58</v>
      </c>
    </row>
    <row r="660" customFormat="false" ht="14.25" hidden="false" customHeight="false" outlineLevel="0" collapsed="false">
      <c r="A660" s="1" t="n">
        <v>1663</v>
      </c>
      <c r="B660" s="29" t="s">
        <v>54</v>
      </c>
      <c r="C660" s="62" t="n">
        <v>15.7</v>
      </c>
      <c r="D660" s="29" t="s">
        <v>59</v>
      </c>
      <c r="E660" s="29" t="s">
        <v>66</v>
      </c>
    </row>
    <row r="661" customFormat="false" ht="14.25" hidden="false" customHeight="false" outlineLevel="0" collapsed="false">
      <c r="A661" s="1" t="n">
        <v>1664</v>
      </c>
      <c r="B661" s="29" t="s">
        <v>49</v>
      </c>
      <c r="C661" s="62" t="n">
        <v>5.1</v>
      </c>
      <c r="D661" s="29" t="s">
        <v>59</v>
      </c>
      <c r="E661" s="29" t="s">
        <v>58</v>
      </c>
    </row>
    <row r="662" customFormat="false" ht="14.25" hidden="false" customHeight="false" outlineLevel="0" collapsed="false">
      <c r="A662" s="1" t="n">
        <v>1665</v>
      </c>
      <c r="B662" s="29" t="s">
        <v>49</v>
      </c>
      <c r="C662" s="62" t="n">
        <v>5.5</v>
      </c>
      <c r="D662" s="29" t="s">
        <v>59</v>
      </c>
      <c r="E662" s="29" t="s">
        <v>58</v>
      </c>
    </row>
    <row r="663" customFormat="false" ht="14.25" hidden="false" customHeight="false" outlineLevel="0" collapsed="false">
      <c r="A663" s="1" t="n">
        <v>1666</v>
      </c>
      <c r="B663" s="29" t="s">
        <v>49</v>
      </c>
      <c r="C663" s="62" t="n">
        <v>7.5</v>
      </c>
      <c r="D663" s="29" t="s">
        <v>59</v>
      </c>
      <c r="E663" s="29" t="s">
        <v>58</v>
      </c>
    </row>
    <row r="664" customFormat="false" ht="14.25" hidden="false" customHeight="false" outlineLevel="0" collapsed="false">
      <c r="A664" s="1" t="n">
        <v>1667</v>
      </c>
      <c r="B664" s="29" t="s">
        <v>49</v>
      </c>
      <c r="C664" s="62" t="n">
        <v>0.7</v>
      </c>
      <c r="D664" s="29" t="s">
        <v>59</v>
      </c>
      <c r="E664" s="29" t="s">
        <v>57</v>
      </c>
    </row>
    <row r="665" customFormat="false" ht="14.25" hidden="false" customHeight="false" outlineLevel="0" collapsed="false">
      <c r="A665" s="1" t="n">
        <v>1668</v>
      </c>
      <c r="B665" s="29" t="s">
        <v>49</v>
      </c>
      <c r="C665" s="62" t="n">
        <v>5.3</v>
      </c>
      <c r="D665" s="29" t="s">
        <v>63</v>
      </c>
      <c r="E665" s="29" t="s">
        <v>53</v>
      </c>
    </row>
    <row r="666" customFormat="false" ht="14.25" hidden="false" customHeight="false" outlineLevel="0" collapsed="false">
      <c r="A666" s="1" t="n">
        <v>1669</v>
      </c>
      <c r="B666" s="29" t="s">
        <v>49</v>
      </c>
      <c r="C666" s="62" t="n">
        <v>6</v>
      </c>
      <c r="D666" s="29" t="s">
        <v>63</v>
      </c>
      <c r="E666" s="29" t="s">
        <v>58</v>
      </c>
    </row>
    <row r="667" customFormat="false" ht="14.25" hidden="false" customHeight="false" outlineLevel="0" collapsed="false">
      <c r="A667" s="1" t="n">
        <v>1670</v>
      </c>
      <c r="B667" s="29" t="s">
        <v>49</v>
      </c>
      <c r="C667" s="62" t="n">
        <v>7</v>
      </c>
      <c r="D667" s="29" t="s">
        <v>56</v>
      </c>
      <c r="E667" s="29" t="s">
        <v>58</v>
      </c>
    </row>
    <row r="668" customFormat="false" ht="14.25" hidden="false" customHeight="false" outlineLevel="0" collapsed="false">
      <c r="A668" s="1" t="n">
        <v>1671</v>
      </c>
      <c r="B668" s="29" t="s">
        <v>49</v>
      </c>
      <c r="C668" s="62" t="n">
        <v>8.6</v>
      </c>
      <c r="D668" s="29" t="s">
        <v>62</v>
      </c>
      <c r="E668" s="29" t="s">
        <v>58</v>
      </c>
    </row>
    <row r="669" customFormat="false" ht="14.25" hidden="false" customHeight="false" outlineLevel="0" collapsed="false">
      <c r="A669" s="1" t="n">
        <v>1672</v>
      </c>
      <c r="B669" s="29" t="s">
        <v>49</v>
      </c>
      <c r="C669" s="62" t="n">
        <v>26.2</v>
      </c>
      <c r="D669" s="29" t="s">
        <v>62</v>
      </c>
      <c r="E669" s="29" t="s">
        <v>65</v>
      </c>
    </row>
    <row r="670" customFormat="false" ht="14.25" hidden="false" customHeight="false" outlineLevel="0" collapsed="false">
      <c r="A670" s="1" t="n">
        <v>1673</v>
      </c>
      <c r="B670" s="29" t="s">
        <v>49</v>
      </c>
      <c r="C670" s="62" t="n">
        <v>2.1</v>
      </c>
      <c r="D670" s="29" t="s">
        <v>60</v>
      </c>
      <c r="E670" s="29" t="s">
        <v>53</v>
      </c>
    </row>
    <row r="671" customFormat="false" ht="14.25" hidden="false" customHeight="false" outlineLevel="0" collapsed="false">
      <c r="A671" s="1" t="n">
        <v>1674</v>
      </c>
      <c r="B671" s="29" t="s">
        <v>49</v>
      </c>
      <c r="C671" s="62" t="n">
        <v>2.5</v>
      </c>
      <c r="D671" s="29" t="s">
        <v>62</v>
      </c>
      <c r="E671" s="29" t="s">
        <v>57</v>
      </c>
    </row>
    <row r="672" customFormat="false" ht="14.25" hidden="false" customHeight="false" outlineLevel="0" collapsed="false">
      <c r="A672" s="1" t="n">
        <v>1675</v>
      </c>
      <c r="B672" s="29" t="s">
        <v>54</v>
      </c>
      <c r="C672" s="62" t="n">
        <v>55.6</v>
      </c>
      <c r="D672" s="29" t="s">
        <v>62</v>
      </c>
      <c r="E672" s="29" t="s">
        <v>55</v>
      </c>
    </row>
    <row r="673" customFormat="false" ht="14.25" hidden="false" customHeight="false" outlineLevel="0" collapsed="false">
      <c r="A673" s="1" t="n">
        <v>1676</v>
      </c>
      <c r="B673" s="29" t="s">
        <v>54</v>
      </c>
      <c r="C673" s="62" t="n">
        <v>75.1</v>
      </c>
      <c r="D673" s="29" t="s">
        <v>59</v>
      </c>
      <c r="E673" s="29" t="s">
        <v>66</v>
      </c>
    </row>
    <row r="674" customFormat="false" ht="14.25" hidden="false" customHeight="false" outlineLevel="0" collapsed="false">
      <c r="A674" s="1" t="n">
        <v>1677</v>
      </c>
      <c r="B674" s="29" t="s">
        <v>49</v>
      </c>
      <c r="C674" s="62" t="n">
        <v>4.7</v>
      </c>
      <c r="D674" s="29" t="s">
        <v>59</v>
      </c>
      <c r="E674" s="29" t="s">
        <v>57</v>
      </c>
    </row>
    <row r="675" customFormat="false" ht="14.25" hidden="false" customHeight="false" outlineLevel="0" collapsed="false">
      <c r="A675" s="1" t="n">
        <v>1678</v>
      </c>
      <c r="B675" s="29" t="s">
        <v>49</v>
      </c>
      <c r="C675" s="62" t="n">
        <v>6.4</v>
      </c>
      <c r="D675" s="29" t="s">
        <v>68</v>
      </c>
      <c r="E675" s="29" t="s">
        <v>58</v>
      </c>
    </row>
    <row r="676" customFormat="false" ht="14.25" hidden="false" customHeight="false" outlineLevel="0" collapsed="false">
      <c r="A676" s="1" t="n">
        <v>1679</v>
      </c>
      <c r="B676" s="29" t="s">
        <v>61</v>
      </c>
      <c r="C676" s="62" t="n">
        <v>2.2</v>
      </c>
      <c r="D676" s="29" t="s">
        <v>63</v>
      </c>
      <c r="E676" s="29" t="s">
        <v>57</v>
      </c>
    </row>
    <row r="677" customFormat="false" ht="14.25" hidden="false" customHeight="false" outlineLevel="0" collapsed="false">
      <c r="A677" s="1" t="n">
        <v>1680</v>
      </c>
      <c r="B677" s="29" t="s">
        <v>49</v>
      </c>
      <c r="C677" s="62" t="n">
        <v>26.2</v>
      </c>
      <c r="D677" s="29" t="s">
        <v>50</v>
      </c>
      <c r="E677" s="29" t="s">
        <v>65</v>
      </c>
    </row>
    <row r="678" customFormat="false" ht="14.25" hidden="false" customHeight="false" outlineLevel="0" collapsed="false">
      <c r="A678" s="1" t="n">
        <v>1681</v>
      </c>
      <c r="B678" s="29" t="s">
        <v>49</v>
      </c>
      <c r="C678" s="62" t="n">
        <v>10.6</v>
      </c>
      <c r="D678" s="29" t="s">
        <v>63</v>
      </c>
      <c r="E678" s="29" t="s">
        <v>58</v>
      </c>
    </row>
    <row r="679" customFormat="false" ht="14.25" hidden="false" customHeight="false" outlineLevel="0" collapsed="false">
      <c r="A679" s="1" t="n">
        <v>1682</v>
      </c>
      <c r="B679" s="29" t="s">
        <v>49</v>
      </c>
      <c r="C679" s="62" t="n">
        <v>10.6</v>
      </c>
      <c r="D679" s="29" t="s">
        <v>56</v>
      </c>
      <c r="E679" s="29" t="s">
        <v>58</v>
      </c>
    </row>
    <row r="680" customFormat="false" ht="14.25" hidden="false" customHeight="false" outlineLevel="0" collapsed="false">
      <c r="A680" s="1" t="n">
        <v>1683</v>
      </c>
      <c r="B680" s="29" t="s">
        <v>49</v>
      </c>
      <c r="C680" s="62" t="n">
        <v>1.6</v>
      </c>
      <c r="D680" s="29" t="s">
        <v>70</v>
      </c>
      <c r="E680" s="29" t="s">
        <v>58</v>
      </c>
    </row>
    <row r="681" customFormat="false" ht="14.25" hidden="false" customHeight="false" outlineLevel="0" collapsed="false">
      <c r="A681" s="1" t="n">
        <v>1684</v>
      </c>
      <c r="B681" s="29" t="s">
        <v>49</v>
      </c>
      <c r="C681" s="62" t="n">
        <v>21.4</v>
      </c>
      <c r="D681" s="29" t="s">
        <v>70</v>
      </c>
      <c r="E681" s="29" t="s">
        <v>58</v>
      </c>
    </row>
    <row r="682" customFormat="false" ht="14.25" hidden="false" customHeight="false" outlineLevel="0" collapsed="false">
      <c r="A682" s="1" t="n">
        <v>1685</v>
      </c>
      <c r="B682" s="29" t="s">
        <v>54</v>
      </c>
      <c r="C682" s="62" t="n">
        <v>64.4</v>
      </c>
      <c r="D682" s="29" t="s">
        <v>67</v>
      </c>
      <c r="E682" s="29" t="s">
        <v>66</v>
      </c>
    </row>
    <row r="683" customFormat="false" ht="14.25" hidden="false" customHeight="false" outlineLevel="0" collapsed="false">
      <c r="A683" s="1" t="n">
        <v>1686</v>
      </c>
      <c r="B683" s="29" t="s">
        <v>49</v>
      </c>
      <c r="C683" s="62" t="n">
        <v>7.3</v>
      </c>
      <c r="D683" s="29" t="s">
        <v>62</v>
      </c>
      <c r="E683" s="29" t="s">
        <v>58</v>
      </c>
    </row>
    <row r="684" customFormat="false" ht="14.25" hidden="false" customHeight="false" outlineLevel="0" collapsed="false">
      <c r="A684" s="1" t="n">
        <v>1687</v>
      </c>
      <c r="B684" s="29" t="s">
        <v>49</v>
      </c>
      <c r="C684" s="62" t="n">
        <v>4.5</v>
      </c>
      <c r="D684" s="29" t="s">
        <v>62</v>
      </c>
      <c r="E684" s="29" t="s">
        <v>57</v>
      </c>
    </row>
    <row r="685" customFormat="false" ht="14.25" hidden="false" customHeight="false" outlineLevel="0" collapsed="false">
      <c r="A685" s="1" t="n">
        <v>1688</v>
      </c>
      <c r="B685" s="29" t="s">
        <v>49</v>
      </c>
      <c r="C685" s="62" t="n">
        <v>6</v>
      </c>
      <c r="D685" s="29" t="s">
        <v>59</v>
      </c>
      <c r="E685" s="29" t="s">
        <v>58</v>
      </c>
    </row>
    <row r="686" customFormat="false" ht="14.25" hidden="false" customHeight="false" outlineLevel="0" collapsed="false">
      <c r="A686" s="1" t="n">
        <v>1689</v>
      </c>
      <c r="B686" s="29" t="s">
        <v>49</v>
      </c>
      <c r="C686" s="62" t="n">
        <v>1.2</v>
      </c>
      <c r="D686" s="29" t="s">
        <v>59</v>
      </c>
      <c r="E686" s="29" t="s">
        <v>57</v>
      </c>
    </row>
    <row r="687" customFormat="false" ht="14.25" hidden="false" customHeight="false" outlineLevel="0" collapsed="false">
      <c r="A687" s="1" t="n">
        <v>1690</v>
      </c>
      <c r="B687" s="29" t="s">
        <v>61</v>
      </c>
      <c r="C687" s="62" t="n">
        <v>2.1</v>
      </c>
      <c r="D687" s="29" t="s">
        <v>59</v>
      </c>
      <c r="E687" s="29" t="s">
        <v>57</v>
      </c>
    </row>
    <row r="688" customFormat="false" ht="14.25" hidden="false" customHeight="false" outlineLevel="0" collapsed="false">
      <c r="A688" s="1" t="n">
        <v>1691</v>
      </c>
      <c r="B688" s="29" t="s">
        <v>49</v>
      </c>
      <c r="C688" s="62" t="n">
        <v>37.5</v>
      </c>
      <c r="D688" s="29" t="s">
        <v>59</v>
      </c>
      <c r="E688" s="29" t="s">
        <v>65</v>
      </c>
    </row>
    <row r="689" customFormat="false" ht="14.25" hidden="false" customHeight="false" outlineLevel="0" collapsed="false">
      <c r="A689" s="1" t="n">
        <v>1692</v>
      </c>
      <c r="B689" s="29" t="s">
        <v>49</v>
      </c>
      <c r="C689" s="62" t="n">
        <v>0.7</v>
      </c>
      <c r="D689" s="29" t="s">
        <v>62</v>
      </c>
      <c r="E689" s="29" t="s">
        <v>57</v>
      </c>
    </row>
    <row r="690" customFormat="false" ht="14.25" hidden="false" customHeight="false" outlineLevel="0" collapsed="false">
      <c r="A690" s="1" t="n">
        <v>1693</v>
      </c>
      <c r="B690" s="29" t="s">
        <v>49</v>
      </c>
      <c r="C690" s="62" t="n">
        <v>2.1</v>
      </c>
      <c r="D690" s="29" t="s">
        <v>63</v>
      </c>
      <c r="E690" s="29" t="s">
        <v>53</v>
      </c>
    </row>
    <row r="691" customFormat="false" ht="14.25" hidden="false" customHeight="false" outlineLevel="0" collapsed="false">
      <c r="A691" s="1" t="n">
        <v>1694</v>
      </c>
      <c r="B691" s="29" t="s">
        <v>54</v>
      </c>
      <c r="C691" s="62" t="n">
        <v>80.5</v>
      </c>
      <c r="D691" s="29" t="s">
        <v>63</v>
      </c>
      <c r="E691" s="29" t="s">
        <v>55</v>
      </c>
    </row>
    <row r="692" customFormat="false" ht="14.25" hidden="false" customHeight="false" outlineLevel="0" collapsed="false">
      <c r="A692" s="1" t="n">
        <v>1695</v>
      </c>
      <c r="B692" s="29" t="s">
        <v>49</v>
      </c>
      <c r="C692" s="62" t="n">
        <v>3.2</v>
      </c>
      <c r="D692" s="29" t="s">
        <v>52</v>
      </c>
      <c r="E692" s="29" t="s">
        <v>58</v>
      </c>
    </row>
    <row r="693" customFormat="false" ht="14.25" hidden="false" customHeight="false" outlineLevel="0" collapsed="false">
      <c r="A693" s="1" t="n">
        <v>1696</v>
      </c>
      <c r="B693" s="29" t="s">
        <v>49</v>
      </c>
      <c r="C693" s="62" t="n">
        <v>2.1</v>
      </c>
      <c r="D693" s="29" t="s">
        <v>52</v>
      </c>
      <c r="E693" s="29" t="s">
        <v>57</v>
      </c>
    </row>
    <row r="694" customFormat="false" ht="14.25" hidden="false" customHeight="false" outlineLevel="0" collapsed="false">
      <c r="A694" s="1" t="n">
        <v>1697</v>
      </c>
      <c r="B694" s="29" t="s">
        <v>49</v>
      </c>
      <c r="C694" s="62" t="n">
        <v>9.6</v>
      </c>
      <c r="D694" s="29" t="s">
        <v>70</v>
      </c>
      <c r="E694" s="29" t="s">
        <v>53</v>
      </c>
    </row>
    <row r="695" customFormat="false" ht="14.25" hidden="false" customHeight="false" outlineLevel="0" collapsed="false">
      <c r="A695" s="1" t="n">
        <v>1698</v>
      </c>
      <c r="B695" s="29" t="s">
        <v>54</v>
      </c>
      <c r="C695" s="62" t="n">
        <v>90.8</v>
      </c>
      <c r="D695" s="29" t="s">
        <v>70</v>
      </c>
      <c r="E695" s="29" t="s">
        <v>55</v>
      </c>
    </row>
    <row r="696" customFormat="false" ht="14.25" hidden="false" customHeight="false" outlineLevel="0" collapsed="false">
      <c r="A696" s="1" t="n">
        <v>1699</v>
      </c>
      <c r="B696" s="29" t="s">
        <v>49</v>
      </c>
      <c r="C696" s="62" t="n">
        <v>37.5</v>
      </c>
      <c r="D696" s="29" t="s">
        <v>59</v>
      </c>
      <c r="E696" s="29" t="s">
        <v>65</v>
      </c>
    </row>
    <row r="697" customFormat="false" ht="14.25" hidden="false" customHeight="false" outlineLevel="0" collapsed="false">
      <c r="A697" s="1" t="n">
        <v>1700</v>
      </c>
      <c r="B697" s="29" t="s">
        <v>49</v>
      </c>
      <c r="C697" s="62" t="n">
        <v>2.1</v>
      </c>
      <c r="D697" s="29" t="s">
        <v>60</v>
      </c>
      <c r="E697" s="29" t="s">
        <v>53</v>
      </c>
    </row>
    <row r="698" customFormat="false" ht="14.25" hidden="false" customHeight="false" outlineLevel="0" collapsed="false">
      <c r="A698" s="1" t="n">
        <v>1701</v>
      </c>
      <c r="B698" s="29" t="s">
        <v>61</v>
      </c>
      <c r="C698" s="62" t="n">
        <v>5.9</v>
      </c>
      <c r="D698" s="29" t="s">
        <v>59</v>
      </c>
      <c r="E698" s="29" t="s">
        <v>58</v>
      </c>
    </row>
    <row r="699" customFormat="false" ht="14.25" hidden="false" customHeight="false" outlineLevel="0" collapsed="false">
      <c r="A699" s="1" t="n">
        <v>1702</v>
      </c>
      <c r="B699" s="29" t="s">
        <v>49</v>
      </c>
      <c r="C699" s="62" t="n">
        <v>12.3</v>
      </c>
      <c r="D699" s="29" t="s">
        <v>63</v>
      </c>
      <c r="E699" s="29" t="s">
        <v>65</v>
      </c>
    </row>
    <row r="700" customFormat="false" ht="14.25" hidden="false" customHeight="false" outlineLevel="0" collapsed="false">
      <c r="A700" s="1" t="n">
        <v>1703</v>
      </c>
      <c r="B700" s="29" t="s">
        <v>49</v>
      </c>
      <c r="C700" s="62" t="n">
        <v>10.6</v>
      </c>
      <c r="D700" s="29" t="s">
        <v>63</v>
      </c>
      <c r="E700" s="29" t="s">
        <v>58</v>
      </c>
    </row>
    <row r="701" customFormat="false" ht="14.25" hidden="false" customHeight="false" outlineLevel="0" collapsed="false">
      <c r="A701" s="1" t="n">
        <v>1704</v>
      </c>
      <c r="B701" s="29" t="s">
        <v>49</v>
      </c>
      <c r="C701" s="62" t="n">
        <v>9.8</v>
      </c>
      <c r="D701" s="29" t="s">
        <v>63</v>
      </c>
      <c r="E701" s="29" t="s">
        <v>57</v>
      </c>
    </row>
    <row r="702" customFormat="false" ht="14.25" hidden="false" customHeight="false" outlineLevel="0" collapsed="false">
      <c r="A702" s="1" t="n">
        <v>1705</v>
      </c>
      <c r="B702" s="29" t="s">
        <v>49</v>
      </c>
      <c r="C702" s="62" t="n">
        <v>10.4</v>
      </c>
      <c r="D702" s="29" t="s">
        <v>63</v>
      </c>
      <c r="E702" s="29" t="s">
        <v>58</v>
      </c>
    </row>
    <row r="703" customFormat="false" ht="14.25" hidden="false" customHeight="false" outlineLevel="0" collapsed="false">
      <c r="A703" s="1" t="n">
        <v>1706</v>
      </c>
      <c r="B703" s="29" t="s">
        <v>49</v>
      </c>
      <c r="C703" s="62" t="n">
        <v>21.4</v>
      </c>
      <c r="D703" s="29" t="s">
        <v>59</v>
      </c>
      <c r="E703" s="29" t="s">
        <v>58</v>
      </c>
    </row>
    <row r="704" customFormat="false" ht="14.25" hidden="false" customHeight="false" outlineLevel="0" collapsed="false">
      <c r="A704" s="1" t="n">
        <v>1707</v>
      </c>
      <c r="B704" s="29" t="s">
        <v>49</v>
      </c>
      <c r="C704" s="62" t="n">
        <v>52.4</v>
      </c>
      <c r="D704" s="29" t="s">
        <v>68</v>
      </c>
      <c r="E704" s="29" t="s">
        <v>65</v>
      </c>
    </row>
    <row r="705" customFormat="false" ht="14.25" hidden="false" customHeight="false" outlineLevel="0" collapsed="false">
      <c r="A705" s="1" t="n">
        <v>1708</v>
      </c>
      <c r="B705" s="29" t="s">
        <v>49</v>
      </c>
      <c r="C705" s="62" t="n">
        <v>5.6</v>
      </c>
      <c r="D705" s="29" t="s">
        <v>63</v>
      </c>
      <c r="E705" s="29" t="s">
        <v>58</v>
      </c>
    </row>
    <row r="706" customFormat="false" ht="14.25" hidden="false" customHeight="false" outlineLevel="0" collapsed="false">
      <c r="A706" s="1" t="n">
        <v>1709</v>
      </c>
      <c r="B706" s="29" t="s">
        <v>61</v>
      </c>
      <c r="C706" s="62" t="n">
        <v>2.6</v>
      </c>
      <c r="D706" s="29" t="s">
        <v>68</v>
      </c>
      <c r="E706" s="29" t="s">
        <v>57</v>
      </c>
    </row>
    <row r="707" customFormat="false" ht="14.25" hidden="false" customHeight="false" outlineLevel="0" collapsed="false">
      <c r="A707" s="1" t="n">
        <v>1710</v>
      </c>
      <c r="B707" s="29" t="s">
        <v>61</v>
      </c>
      <c r="C707" s="62" t="n">
        <v>60.1</v>
      </c>
      <c r="D707" s="29" t="s">
        <v>59</v>
      </c>
      <c r="E707" s="29" t="s">
        <v>51</v>
      </c>
    </row>
    <row r="708" customFormat="false" ht="14.25" hidden="false" customHeight="false" outlineLevel="0" collapsed="false">
      <c r="A708" s="1" t="n">
        <v>1711</v>
      </c>
      <c r="B708" s="29" t="s">
        <v>49</v>
      </c>
      <c r="C708" s="62" t="n">
        <v>6.1</v>
      </c>
      <c r="D708" s="29" t="s">
        <v>59</v>
      </c>
      <c r="E708" s="29" t="s">
        <v>58</v>
      </c>
    </row>
    <row r="709" customFormat="false" ht="14.25" hidden="false" customHeight="false" outlineLevel="0" collapsed="false">
      <c r="A709" s="1" t="n">
        <v>1712</v>
      </c>
      <c r="B709" s="29" t="s">
        <v>49</v>
      </c>
      <c r="C709" s="62" t="n">
        <v>7.5</v>
      </c>
      <c r="D709" s="29" t="s">
        <v>63</v>
      </c>
      <c r="E709" s="29" t="s">
        <v>58</v>
      </c>
    </row>
    <row r="710" customFormat="false" ht="14.25" hidden="false" customHeight="false" outlineLevel="0" collapsed="false">
      <c r="A710" s="1" t="n">
        <v>1713</v>
      </c>
      <c r="B710" s="29" t="s">
        <v>49</v>
      </c>
      <c r="C710" s="62" t="n">
        <v>1</v>
      </c>
      <c r="D710" s="29" t="s">
        <v>69</v>
      </c>
      <c r="E710" s="29" t="s">
        <v>57</v>
      </c>
    </row>
    <row r="711" customFormat="false" ht="14.25" hidden="false" customHeight="false" outlineLevel="0" collapsed="false">
      <c r="A711" s="1" t="n">
        <v>1714</v>
      </c>
      <c r="B711" s="29" t="s">
        <v>61</v>
      </c>
      <c r="C711" s="62" t="n">
        <v>8.7</v>
      </c>
      <c r="D711" s="29" t="s">
        <v>59</v>
      </c>
      <c r="E711" s="29" t="s">
        <v>58</v>
      </c>
    </row>
    <row r="712" customFormat="false" ht="14.25" hidden="false" customHeight="false" outlineLevel="0" collapsed="false">
      <c r="A712" s="1" t="n">
        <v>1715</v>
      </c>
      <c r="B712" s="29" t="s">
        <v>49</v>
      </c>
      <c r="C712" s="62" t="n">
        <v>2.2</v>
      </c>
      <c r="D712" s="29" t="s">
        <v>62</v>
      </c>
      <c r="E712" s="29" t="s">
        <v>57</v>
      </c>
    </row>
    <row r="713" customFormat="false" ht="14.25" hidden="false" customHeight="false" outlineLevel="0" collapsed="false">
      <c r="A713" s="1" t="n">
        <v>1716</v>
      </c>
      <c r="B713" s="29" t="s">
        <v>54</v>
      </c>
      <c r="C713" s="62" t="n">
        <v>32.1</v>
      </c>
      <c r="D713" s="29" t="s">
        <v>63</v>
      </c>
      <c r="E713" s="29" t="s">
        <v>66</v>
      </c>
    </row>
    <row r="714" customFormat="false" ht="14.25" hidden="false" customHeight="false" outlineLevel="0" collapsed="false">
      <c r="A714" s="1" t="n">
        <v>1717</v>
      </c>
      <c r="B714" s="29" t="s">
        <v>49</v>
      </c>
      <c r="C714" s="62" t="n">
        <v>9.6</v>
      </c>
      <c r="D714" s="29" t="s">
        <v>62</v>
      </c>
      <c r="E714" s="29" t="s">
        <v>58</v>
      </c>
    </row>
    <row r="715" customFormat="false" ht="14.25" hidden="false" customHeight="false" outlineLevel="0" collapsed="false">
      <c r="A715" s="1" t="n">
        <v>1718</v>
      </c>
      <c r="B715" s="29" t="s">
        <v>49</v>
      </c>
      <c r="C715" s="62" t="n">
        <v>4.5</v>
      </c>
      <c r="D715" s="29" t="s">
        <v>59</v>
      </c>
      <c r="E715" s="29" t="s">
        <v>58</v>
      </c>
    </row>
    <row r="716" customFormat="false" ht="14.25" hidden="false" customHeight="false" outlineLevel="0" collapsed="false">
      <c r="A716" s="1" t="n">
        <v>1719</v>
      </c>
      <c r="B716" s="29" t="s">
        <v>49</v>
      </c>
      <c r="C716" s="62" t="n">
        <v>6.6</v>
      </c>
      <c r="D716" s="29" t="s">
        <v>59</v>
      </c>
      <c r="E716" s="29" t="s">
        <v>57</v>
      </c>
    </row>
    <row r="717" customFormat="false" ht="14.25" hidden="false" customHeight="false" outlineLevel="0" collapsed="false">
      <c r="A717" s="1" t="n">
        <v>1720</v>
      </c>
      <c r="B717" s="29" t="s">
        <v>49</v>
      </c>
      <c r="C717" s="62" t="n">
        <v>8</v>
      </c>
      <c r="D717" s="29" t="s">
        <v>62</v>
      </c>
      <c r="E717" s="29" t="s">
        <v>58</v>
      </c>
    </row>
    <row r="718" customFormat="false" ht="14.25" hidden="false" customHeight="false" outlineLevel="0" collapsed="false">
      <c r="A718" s="1" t="n">
        <v>1721</v>
      </c>
      <c r="B718" s="29" t="s">
        <v>54</v>
      </c>
      <c r="C718" s="62" t="n">
        <v>79.6</v>
      </c>
      <c r="D718" s="29" t="s">
        <v>62</v>
      </c>
      <c r="E718" s="29" t="s">
        <v>66</v>
      </c>
    </row>
    <row r="719" customFormat="false" ht="14.25" hidden="false" customHeight="false" outlineLevel="0" collapsed="false">
      <c r="A719" s="1" t="n">
        <v>1722</v>
      </c>
      <c r="B719" s="29" t="s">
        <v>49</v>
      </c>
      <c r="C719" s="62" t="n">
        <v>1.3</v>
      </c>
      <c r="D719" s="29" t="s">
        <v>69</v>
      </c>
      <c r="E719" s="29" t="s">
        <v>57</v>
      </c>
    </row>
    <row r="720" customFormat="false" ht="14.25" hidden="false" customHeight="false" outlineLevel="0" collapsed="false">
      <c r="A720" s="1" t="n">
        <v>1723</v>
      </c>
      <c r="B720" s="29" t="s">
        <v>49</v>
      </c>
      <c r="C720" s="62" t="n">
        <v>1.1</v>
      </c>
      <c r="D720" s="29" t="s">
        <v>67</v>
      </c>
      <c r="E720" s="29" t="s">
        <v>57</v>
      </c>
    </row>
    <row r="721" customFormat="false" ht="14.25" hidden="false" customHeight="false" outlineLevel="0" collapsed="false">
      <c r="A721" s="1" t="n">
        <v>1724</v>
      </c>
      <c r="B721" s="29" t="s">
        <v>49</v>
      </c>
      <c r="C721" s="62" t="n">
        <v>1.9</v>
      </c>
      <c r="D721" s="29" t="s">
        <v>59</v>
      </c>
      <c r="E721" s="29" t="s">
        <v>57</v>
      </c>
    </row>
    <row r="722" customFormat="false" ht="14.25" hidden="false" customHeight="false" outlineLevel="0" collapsed="false">
      <c r="A722" s="1" t="n">
        <v>1725</v>
      </c>
      <c r="B722" s="29" t="s">
        <v>49</v>
      </c>
      <c r="C722" s="62" t="n">
        <v>5.2</v>
      </c>
      <c r="D722" s="29" t="s">
        <v>68</v>
      </c>
      <c r="E722" s="29" t="s">
        <v>57</v>
      </c>
    </row>
    <row r="723" customFormat="false" ht="14.25" hidden="false" customHeight="false" outlineLevel="0" collapsed="false">
      <c r="A723" s="1" t="n">
        <v>1726</v>
      </c>
      <c r="B723" s="29" t="s">
        <v>49</v>
      </c>
      <c r="C723" s="62" t="n">
        <v>21.4</v>
      </c>
      <c r="D723" s="29" t="s">
        <v>52</v>
      </c>
      <c r="E723" s="29" t="s">
        <v>58</v>
      </c>
    </row>
    <row r="724" customFormat="false" ht="14.25" hidden="false" customHeight="false" outlineLevel="0" collapsed="false">
      <c r="A724" s="1" t="n">
        <v>1727</v>
      </c>
      <c r="B724" s="29" t="s">
        <v>54</v>
      </c>
      <c r="C724" s="62" t="n">
        <v>91.6</v>
      </c>
      <c r="D724" s="29" t="s">
        <v>52</v>
      </c>
      <c r="E724" s="29" t="s">
        <v>55</v>
      </c>
    </row>
    <row r="725" customFormat="false" ht="14.25" hidden="false" customHeight="false" outlineLevel="0" collapsed="false">
      <c r="A725" s="1" t="n">
        <v>1728</v>
      </c>
      <c r="B725" s="29" t="s">
        <v>49</v>
      </c>
      <c r="C725" s="62" t="n">
        <v>0.7</v>
      </c>
      <c r="D725" s="29" t="s">
        <v>62</v>
      </c>
      <c r="E725" s="29" t="s">
        <v>57</v>
      </c>
    </row>
    <row r="726" customFormat="false" ht="14.25" hidden="false" customHeight="false" outlineLevel="0" collapsed="false">
      <c r="A726" s="1" t="n">
        <v>1729</v>
      </c>
      <c r="B726" s="29" t="s">
        <v>49</v>
      </c>
      <c r="C726" s="62" t="n">
        <v>10.2</v>
      </c>
      <c r="D726" s="29" t="s">
        <v>50</v>
      </c>
      <c r="E726" s="29" t="s">
        <v>58</v>
      </c>
    </row>
    <row r="727" customFormat="false" ht="14.25" hidden="false" customHeight="false" outlineLevel="0" collapsed="false">
      <c r="A727" s="1" t="n">
        <v>1730</v>
      </c>
      <c r="B727" s="29" t="s">
        <v>49</v>
      </c>
      <c r="C727" s="62" t="n">
        <v>1.1</v>
      </c>
      <c r="D727" s="29" t="s">
        <v>63</v>
      </c>
      <c r="E727" s="29" t="s">
        <v>57</v>
      </c>
    </row>
    <row r="728" customFormat="false" ht="14.25" hidden="false" customHeight="false" outlineLevel="0" collapsed="false">
      <c r="A728" s="1" t="n">
        <v>1731</v>
      </c>
      <c r="B728" s="29" t="s">
        <v>49</v>
      </c>
      <c r="C728" s="62" t="n">
        <v>6</v>
      </c>
      <c r="D728" s="29" t="s">
        <v>71</v>
      </c>
      <c r="E728" s="29" t="s">
        <v>58</v>
      </c>
    </row>
    <row r="729" customFormat="false" ht="14.25" hidden="false" customHeight="false" outlineLevel="0" collapsed="false">
      <c r="A729" s="1" t="n">
        <v>1732</v>
      </c>
      <c r="B729" s="29" t="s">
        <v>49</v>
      </c>
      <c r="C729" s="62" t="n">
        <v>21.4</v>
      </c>
      <c r="D729" s="29" t="s">
        <v>56</v>
      </c>
      <c r="E729" s="29" t="s">
        <v>58</v>
      </c>
    </row>
    <row r="730" customFormat="false" ht="14.25" hidden="false" customHeight="false" outlineLevel="0" collapsed="false">
      <c r="A730" s="1" t="n">
        <v>1733</v>
      </c>
      <c r="B730" s="29" t="s">
        <v>49</v>
      </c>
      <c r="C730" s="62" t="n">
        <v>3.7</v>
      </c>
      <c r="D730" s="29" t="s">
        <v>67</v>
      </c>
      <c r="E730" s="29" t="s">
        <v>58</v>
      </c>
    </row>
    <row r="731" customFormat="false" ht="14.25" hidden="false" customHeight="false" outlineLevel="0" collapsed="false">
      <c r="A731" s="1" t="n">
        <v>1734</v>
      </c>
      <c r="B731" s="29" t="s">
        <v>61</v>
      </c>
      <c r="C731" s="62" t="n">
        <v>21.4</v>
      </c>
      <c r="D731" s="29" t="s">
        <v>67</v>
      </c>
      <c r="E731" s="29" t="s">
        <v>58</v>
      </c>
    </row>
    <row r="732" customFormat="false" ht="14.25" hidden="false" customHeight="false" outlineLevel="0" collapsed="false">
      <c r="A732" s="1" t="n">
        <v>1735</v>
      </c>
      <c r="B732" s="29" t="s">
        <v>49</v>
      </c>
      <c r="C732" s="62" t="n">
        <v>9.6</v>
      </c>
      <c r="D732" s="29" t="s">
        <v>67</v>
      </c>
      <c r="E732" s="29" t="s">
        <v>53</v>
      </c>
    </row>
    <row r="733" customFormat="false" ht="14.25" hidden="false" customHeight="false" outlineLevel="0" collapsed="false">
      <c r="A733" s="1" t="n">
        <v>1736</v>
      </c>
      <c r="B733" s="29" t="s">
        <v>61</v>
      </c>
      <c r="C733" s="62" t="n">
        <v>12</v>
      </c>
      <c r="D733" s="29" t="s">
        <v>56</v>
      </c>
      <c r="E733" s="29" t="s">
        <v>58</v>
      </c>
    </row>
    <row r="734" customFormat="false" ht="14.25" hidden="false" customHeight="false" outlineLevel="0" collapsed="false">
      <c r="A734" s="1" t="n">
        <v>1737</v>
      </c>
      <c r="B734" s="29" t="s">
        <v>49</v>
      </c>
      <c r="C734" s="62" t="n">
        <v>2.1</v>
      </c>
      <c r="D734" s="29" t="s">
        <v>56</v>
      </c>
      <c r="E734" s="29" t="s">
        <v>57</v>
      </c>
    </row>
    <row r="735" customFormat="false" ht="14.25" hidden="false" customHeight="false" outlineLevel="0" collapsed="false">
      <c r="A735" s="1" t="n">
        <v>1738</v>
      </c>
      <c r="B735" s="29" t="s">
        <v>49</v>
      </c>
      <c r="C735" s="62" t="n">
        <v>1.1</v>
      </c>
      <c r="D735" s="29" t="s">
        <v>63</v>
      </c>
      <c r="E735" s="29" t="s">
        <v>58</v>
      </c>
    </row>
    <row r="736" customFormat="false" ht="14.25" hidden="false" customHeight="false" outlineLevel="0" collapsed="false">
      <c r="A736" s="1" t="n">
        <v>1739</v>
      </c>
      <c r="B736" s="29" t="s">
        <v>49</v>
      </c>
      <c r="C736" s="62" t="n">
        <v>7.1</v>
      </c>
      <c r="D736" s="29" t="s">
        <v>52</v>
      </c>
      <c r="E736" s="29" t="s">
        <v>58</v>
      </c>
    </row>
    <row r="737" customFormat="false" ht="14.25" hidden="false" customHeight="false" outlineLevel="0" collapsed="false">
      <c r="A737" s="1" t="n">
        <v>1740</v>
      </c>
      <c r="B737" s="29" t="s">
        <v>61</v>
      </c>
      <c r="C737" s="62" t="n">
        <v>0.7</v>
      </c>
      <c r="D737" s="29" t="s">
        <v>50</v>
      </c>
      <c r="E737" s="29" t="s">
        <v>57</v>
      </c>
    </row>
    <row r="738" customFormat="false" ht="14.25" hidden="false" customHeight="false" outlineLevel="0" collapsed="false">
      <c r="A738" s="1" t="n">
        <v>1741</v>
      </c>
      <c r="B738" s="29" t="s">
        <v>49</v>
      </c>
      <c r="C738" s="62" t="n">
        <v>7</v>
      </c>
      <c r="D738" s="29" t="s">
        <v>63</v>
      </c>
      <c r="E738" s="29" t="s">
        <v>58</v>
      </c>
    </row>
    <row r="739" customFormat="false" ht="14.25" hidden="false" customHeight="false" outlineLevel="0" collapsed="false">
      <c r="A739" s="1" t="n">
        <v>1742</v>
      </c>
      <c r="B739" s="29" t="s">
        <v>54</v>
      </c>
      <c r="C739" s="62" t="n">
        <v>32.1</v>
      </c>
      <c r="D739" s="29" t="s">
        <v>63</v>
      </c>
      <c r="E739" s="29" t="s">
        <v>66</v>
      </c>
    </row>
    <row r="740" customFormat="false" ht="14.25" hidden="false" customHeight="false" outlineLevel="0" collapsed="false">
      <c r="A740" s="1" t="n">
        <v>1743</v>
      </c>
      <c r="B740" s="29" t="s">
        <v>49</v>
      </c>
      <c r="C740" s="62" t="n">
        <v>52.4</v>
      </c>
      <c r="D740" s="29" t="s">
        <v>63</v>
      </c>
      <c r="E740" s="29" t="s">
        <v>65</v>
      </c>
    </row>
    <row r="741" customFormat="false" ht="14.25" hidden="false" customHeight="false" outlineLevel="0" collapsed="false">
      <c r="A741" s="1" t="n">
        <v>1744</v>
      </c>
      <c r="B741" s="29" t="s">
        <v>49</v>
      </c>
      <c r="C741" s="62" t="n">
        <v>10.4</v>
      </c>
      <c r="D741" s="29" t="s">
        <v>59</v>
      </c>
      <c r="E741" s="29" t="s">
        <v>58</v>
      </c>
    </row>
    <row r="742" customFormat="false" ht="14.25" hidden="false" customHeight="false" outlineLevel="0" collapsed="false">
      <c r="A742" s="1" t="n">
        <v>1745</v>
      </c>
      <c r="B742" s="29" t="s">
        <v>49</v>
      </c>
      <c r="C742" s="62" t="n">
        <v>6</v>
      </c>
      <c r="D742" s="29" t="s">
        <v>59</v>
      </c>
      <c r="E742" s="29" t="s">
        <v>58</v>
      </c>
    </row>
    <row r="743" customFormat="false" ht="14.25" hidden="false" customHeight="false" outlineLevel="0" collapsed="false">
      <c r="A743" s="1" t="n">
        <v>1746</v>
      </c>
      <c r="B743" s="29" t="s">
        <v>61</v>
      </c>
      <c r="C743" s="62" t="n">
        <v>1.4</v>
      </c>
      <c r="D743" s="29" t="s">
        <v>59</v>
      </c>
      <c r="E743" s="29" t="s">
        <v>57</v>
      </c>
    </row>
    <row r="744" customFormat="false" ht="14.25" hidden="false" customHeight="false" outlineLevel="0" collapsed="false">
      <c r="A744" s="1" t="n">
        <v>1747</v>
      </c>
      <c r="B744" s="29" t="s">
        <v>49</v>
      </c>
      <c r="C744" s="62" t="n">
        <v>3.2</v>
      </c>
      <c r="D744" s="29" t="s">
        <v>59</v>
      </c>
      <c r="E744" s="29" t="s">
        <v>58</v>
      </c>
    </row>
    <row r="745" customFormat="false" ht="14.25" hidden="false" customHeight="false" outlineLevel="0" collapsed="false">
      <c r="A745" s="1" t="n">
        <v>1748</v>
      </c>
      <c r="B745" s="29" t="s">
        <v>49</v>
      </c>
      <c r="C745" s="62" t="n">
        <v>4.3</v>
      </c>
      <c r="D745" s="29" t="s">
        <v>63</v>
      </c>
      <c r="E745" s="29" t="s">
        <v>58</v>
      </c>
    </row>
    <row r="746" customFormat="false" ht="14.25" hidden="false" customHeight="false" outlineLevel="0" collapsed="false">
      <c r="A746" s="1" t="n">
        <v>1749</v>
      </c>
      <c r="B746" s="29" t="s">
        <v>49</v>
      </c>
      <c r="C746" s="62" t="n">
        <v>37.5</v>
      </c>
      <c r="D746" s="29" t="s">
        <v>59</v>
      </c>
      <c r="E746" s="29" t="s">
        <v>65</v>
      </c>
    </row>
    <row r="747" customFormat="false" ht="14.25" hidden="false" customHeight="false" outlineLevel="0" collapsed="false">
      <c r="A747" s="1" t="n">
        <v>1750</v>
      </c>
      <c r="B747" s="29" t="s">
        <v>49</v>
      </c>
      <c r="C747" s="62" t="n">
        <v>21.4</v>
      </c>
      <c r="D747" s="29" t="s">
        <v>67</v>
      </c>
      <c r="E747" s="29" t="s">
        <v>58</v>
      </c>
    </row>
    <row r="748" customFormat="false" ht="14.25" hidden="false" customHeight="false" outlineLevel="0" collapsed="false">
      <c r="A748" s="1" t="n">
        <v>1751</v>
      </c>
      <c r="B748" s="29" t="s">
        <v>49</v>
      </c>
      <c r="C748" s="62" t="n">
        <v>7.9</v>
      </c>
      <c r="D748" s="29" t="s">
        <v>67</v>
      </c>
      <c r="E748" s="29" t="s">
        <v>53</v>
      </c>
    </row>
    <row r="749" customFormat="false" ht="14.25" hidden="false" customHeight="false" outlineLevel="0" collapsed="false">
      <c r="A749" s="1" t="n">
        <v>1752</v>
      </c>
      <c r="B749" s="29" t="s">
        <v>49</v>
      </c>
      <c r="C749" s="62" t="n">
        <v>6.2</v>
      </c>
      <c r="D749" s="29" t="s">
        <v>69</v>
      </c>
      <c r="E749" s="29" t="s">
        <v>58</v>
      </c>
    </row>
    <row r="750" customFormat="false" ht="14.25" hidden="false" customHeight="false" outlineLevel="0" collapsed="false">
      <c r="A750" s="1" t="n">
        <v>1753</v>
      </c>
      <c r="B750" s="29" t="s">
        <v>49</v>
      </c>
      <c r="C750" s="62" t="n">
        <v>3.6</v>
      </c>
      <c r="D750" s="29" t="s">
        <v>52</v>
      </c>
      <c r="E750" s="29" t="s">
        <v>57</v>
      </c>
    </row>
    <row r="751" customFormat="false" ht="14.25" hidden="false" customHeight="false" outlineLevel="0" collapsed="false">
      <c r="A751" s="1" t="n">
        <v>1754</v>
      </c>
      <c r="B751" s="29" t="s">
        <v>61</v>
      </c>
      <c r="C751" s="62" t="n">
        <v>3</v>
      </c>
      <c r="D751" s="29" t="s">
        <v>52</v>
      </c>
      <c r="E751" s="29" t="s">
        <v>53</v>
      </c>
    </row>
    <row r="752" customFormat="false" ht="14.25" hidden="false" customHeight="false" outlineLevel="0" collapsed="false">
      <c r="A752" s="1" t="n">
        <v>1755</v>
      </c>
      <c r="B752" s="29" t="s">
        <v>49</v>
      </c>
      <c r="C752" s="62" t="n">
        <v>8.1</v>
      </c>
      <c r="D752" s="29" t="s">
        <v>68</v>
      </c>
      <c r="E752" s="29" t="s">
        <v>58</v>
      </c>
    </row>
    <row r="753" customFormat="false" ht="14.25" hidden="false" customHeight="false" outlineLevel="0" collapsed="false">
      <c r="A753" s="1" t="n">
        <v>1756</v>
      </c>
      <c r="B753" s="29" t="s">
        <v>49</v>
      </c>
      <c r="C753" s="62" t="n">
        <v>5.5</v>
      </c>
      <c r="D753" s="29" t="s">
        <v>59</v>
      </c>
      <c r="E753" s="29" t="s">
        <v>58</v>
      </c>
    </row>
    <row r="754" customFormat="false" ht="14.25" hidden="false" customHeight="false" outlineLevel="0" collapsed="false">
      <c r="A754" s="1" t="n">
        <v>1757</v>
      </c>
      <c r="B754" s="29" t="s">
        <v>49</v>
      </c>
      <c r="C754" s="62" t="n">
        <v>7.7</v>
      </c>
      <c r="D754" s="29" t="s">
        <v>59</v>
      </c>
      <c r="E754" s="29" t="s">
        <v>58</v>
      </c>
    </row>
    <row r="755" customFormat="false" ht="14.25" hidden="false" customHeight="false" outlineLevel="0" collapsed="false">
      <c r="A755" s="1" t="n">
        <v>1758</v>
      </c>
      <c r="B755" s="29" t="s">
        <v>49</v>
      </c>
      <c r="C755" s="62" t="n">
        <v>6.2</v>
      </c>
      <c r="D755" s="29" t="s">
        <v>59</v>
      </c>
      <c r="E755" s="29" t="s">
        <v>53</v>
      </c>
    </row>
    <row r="756" customFormat="false" ht="14.25" hidden="false" customHeight="false" outlineLevel="0" collapsed="false">
      <c r="A756" s="1" t="n">
        <v>1759</v>
      </c>
      <c r="B756" s="29" t="s">
        <v>49</v>
      </c>
      <c r="C756" s="62" t="n">
        <v>1.8</v>
      </c>
      <c r="D756" s="29" t="s">
        <v>59</v>
      </c>
      <c r="E756" s="29" t="s">
        <v>57</v>
      </c>
    </row>
    <row r="757" customFormat="false" ht="14.25" hidden="false" customHeight="false" outlineLevel="0" collapsed="false">
      <c r="A757" s="1" t="n">
        <v>1760</v>
      </c>
      <c r="B757" s="29" t="s">
        <v>49</v>
      </c>
      <c r="C757" s="62" t="n">
        <v>0.5</v>
      </c>
      <c r="D757" s="29" t="s">
        <v>63</v>
      </c>
      <c r="E757" s="29" t="s">
        <v>55</v>
      </c>
    </row>
    <row r="758" customFormat="false" ht="14.25" hidden="false" customHeight="false" outlineLevel="0" collapsed="false">
      <c r="A758" s="1" t="n">
        <v>1761</v>
      </c>
      <c r="B758" s="29" t="s">
        <v>61</v>
      </c>
      <c r="C758" s="62" t="n">
        <v>4.3</v>
      </c>
      <c r="D758" s="29" t="s">
        <v>62</v>
      </c>
      <c r="E758" s="29" t="s">
        <v>58</v>
      </c>
    </row>
    <row r="759" customFormat="false" ht="14.25" hidden="false" customHeight="false" outlineLevel="0" collapsed="false">
      <c r="A759" s="1" t="n">
        <v>1762</v>
      </c>
      <c r="B759" s="29" t="s">
        <v>54</v>
      </c>
      <c r="C759" s="62" t="n">
        <v>64.2</v>
      </c>
      <c r="D759" s="29" t="s">
        <v>62</v>
      </c>
      <c r="E759" s="29" t="s">
        <v>66</v>
      </c>
    </row>
    <row r="760" customFormat="false" ht="14.25" hidden="false" customHeight="false" outlineLevel="0" collapsed="false">
      <c r="A760" s="1" t="n">
        <v>1763</v>
      </c>
      <c r="B760" s="29" t="s">
        <v>49</v>
      </c>
      <c r="C760" s="62" t="n">
        <v>4.1</v>
      </c>
      <c r="D760" s="29" t="s">
        <v>63</v>
      </c>
      <c r="E760" s="29" t="s">
        <v>53</v>
      </c>
    </row>
    <row r="761" customFormat="false" ht="14.25" hidden="false" customHeight="false" outlineLevel="0" collapsed="false">
      <c r="A761" s="1" t="n">
        <v>1764</v>
      </c>
      <c r="B761" s="29" t="s">
        <v>49</v>
      </c>
      <c r="C761" s="62" t="n">
        <v>5.6</v>
      </c>
      <c r="D761" s="29" t="s">
        <v>63</v>
      </c>
      <c r="E761" s="29" t="s">
        <v>58</v>
      </c>
    </row>
    <row r="762" customFormat="false" ht="14.25" hidden="false" customHeight="false" outlineLevel="0" collapsed="false">
      <c r="A762" s="1" t="n">
        <v>1765</v>
      </c>
      <c r="B762" s="29" t="s">
        <v>49</v>
      </c>
      <c r="C762" s="62" t="n">
        <v>2.1</v>
      </c>
      <c r="D762" s="29" t="s">
        <v>59</v>
      </c>
      <c r="E762" s="29" t="s">
        <v>57</v>
      </c>
    </row>
    <row r="763" customFormat="false" ht="14.25" hidden="false" customHeight="false" outlineLevel="0" collapsed="false">
      <c r="A763" s="1" t="n">
        <v>1766</v>
      </c>
      <c r="B763" s="29" t="s">
        <v>49</v>
      </c>
      <c r="C763" s="62" t="n">
        <v>2.1</v>
      </c>
      <c r="D763" s="29" t="s">
        <v>59</v>
      </c>
      <c r="E763" s="29" t="s">
        <v>53</v>
      </c>
    </row>
    <row r="764" customFormat="false" ht="14.25" hidden="false" customHeight="false" outlineLevel="0" collapsed="false">
      <c r="A764" s="1" t="n">
        <v>1767</v>
      </c>
      <c r="B764" s="29" t="s">
        <v>49</v>
      </c>
      <c r="C764" s="62" t="n">
        <v>9.7</v>
      </c>
      <c r="D764" s="29" t="s">
        <v>63</v>
      </c>
      <c r="E764" s="29" t="s">
        <v>58</v>
      </c>
    </row>
    <row r="765" customFormat="false" ht="14.25" hidden="false" customHeight="false" outlineLevel="0" collapsed="false">
      <c r="A765" s="1" t="n">
        <v>1768</v>
      </c>
      <c r="B765" s="29" t="s">
        <v>49</v>
      </c>
      <c r="C765" s="62" t="n">
        <v>9</v>
      </c>
      <c r="D765" s="29" t="s">
        <v>63</v>
      </c>
      <c r="E765" s="29" t="s">
        <v>58</v>
      </c>
    </row>
    <row r="766" customFormat="false" ht="14.25" hidden="false" customHeight="false" outlineLevel="0" collapsed="false">
      <c r="A766" s="1" t="n">
        <v>1769</v>
      </c>
      <c r="B766" s="29" t="s">
        <v>61</v>
      </c>
      <c r="C766" s="62" t="n">
        <v>9.6</v>
      </c>
      <c r="D766" s="29" t="s">
        <v>60</v>
      </c>
      <c r="E766" s="29" t="s">
        <v>58</v>
      </c>
    </row>
    <row r="767" customFormat="false" ht="14.25" hidden="false" customHeight="false" outlineLevel="0" collapsed="false">
      <c r="A767" s="1" t="n">
        <v>1770</v>
      </c>
      <c r="B767" s="29" t="s">
        <v>49</v>
      </c>
      <c r="C767" s="62" t="n">
        <v>12</v>
      </c>
      <c r="D767" s="29" t="s">
        <v>59</v>
      </c>
      <c r="E767" s="29" t="s">
        <v>65</v>
      </c>
    </row>
    <row r="768" customFormat="false" ht="14.25" hidden="false" customHeight="false" outlineLevel="0" collapsed="false">
      <c r="A768" s="1" t="n">
        <v>1771</v>
      </c>
      <c r="B768" s="29" t="s">
        <v>49</v>
      </c>
      <c r="C768" s="62" t="n">
        <v>5.9</v>
      </c>
      <c r="D768" s="29" t="s">
        <v>60</v>
      </c>
      <c r="E768" s="29" t="s">
        <v>58</v>
      </c>
    </row>
    <row r="769" customFormat="false" ht="14.25" hidden="false" customHeight="false" outlineLevel="0" collapsed="false">
      <c r="A769" s="1" t="n">
        <v>1772</v>
      </c>
      <c r="B769" s="29" t="s">
        <v>49</v>
      </c>
      <c r="C769" s="62" t="n">
        <v>9.3</v>
      </c>
      <c r="D769" s="29" t="s">
        <v>60</v>
      </c>
      <c r="E769" s="29" t="s">
        <v>58</v>
      </c>
    </row>
    <row r="770" customFormat="false" ht="14.25" hidden="false" customHeight="false" outlineLevel="0" collapsed="false">
      <c r="A770" s="1" t="n">
        <v>1773</v>
      </c>
      <c r="B770" s="29" t="s">
        <v>61</v>
      </c>
      <c r="C770" s="62" t="n">
        <v>21.4</v>
      </c>
      <c r="D770" s="29" t="s">
        <v>68</v>
      </c>
      <c r="E770" s="29" t="s">
        <v>58</v>
      </c>
    </row>
    <row r="771" customFormat="false" ht="14.25" hidden="false" customHeight="false" outlineLevel="0" collapsed="false">
      <c r="A771" s="1" t="n">
        <v>1774</v>
      </c>
      <c r="B771" s="29" t="s">
        <v>49</v>
      </c>
      <c r="C771" s="62" t="n">
        <v>26.2</v>
      </c>
      <c r="D771" s="29" t="s">
        <v>62</v>
      </c>
      <c r="E771" s="29" t="s">
        <v>65</v>
      </c>
    </row>
    <row r="772" customFormat="false" ht="14.25" hidden="false" customHeight="false" outlineLevel="0" collapsed="false">
      <c r="A772" s="1" t="n">
        <v>1775</v>
      </c>
      <c r="B772" s="29" t="s">
        <v>54</v>
      </c>
      <c r="C772" s="62" t="n">
        <v>48.7</v>
      </c>
      <c r="D772" s="29" t="s">
        <v>59</v>
      </c>
      <c r="E772" s="29" t="s">
        <v>55</v>
      </c>
    </row>
    <row r="773" customFormat="false" ht="14.25" hidden="false" customHeight="false" outlineLevel="0" collapsed="false">
      <c r="A773" s="1" t="n">
        <v>1776</v>
      </c>
      <c r="B773" s="29" t="s">
        <v>49</v>
      </c>
      <c r="C773" s="62" t="n">
        <v>5.1</v>
      </c>
      <c r="D773" s="29" t="s">
        <v>59</v>
      </c>
      <c r="E773" s="29" t="s">
        <v>58</v>
      </c>
    </row>
    <row r="774" customFormat="false" ht="14.25" hidden="false" customHeight="false" outlineLevel="0" collapsed="false">
      <c r="A774" s="1" t="n">
        <v>1777</v>
      </c>
      <c r="B774" s="29" t="s">
        <v>61</v>
      </c>
      <c r="C774" s="62" t="n">
        <v>3.2</v>
      </c>
      <c r="D774" s="29" t="s">
        <v>63</v>
      </c>
      <c r="E774" s="29" t="s">
        <v>58</v>
      </c>
    </row>
    <row r="775" customFormat="false" ht="14.25" hidden="false" customHeight="false" outlineLevel="0" collapsed="false">
      <c r="A775" s="1" t="n">
        <v>1778</v>
      </c>
      <c r="B775" s="29" t="s">
        <v>49</v>
      </c>
      <c r="C775" s="62" t="n">
        <v>6.2</v>
      </c>
      <c r="D775" s="29" t="s">
        <v>52</v>
      </c>
      <c r="E775" s="29" t="s">
        <v>58</v>
      </c>
    </row>
    <row r="776" customFormat="false" ht="14.25" hidden="false" customHeight="false" outlineLevel="0" collapsed="false">
      <c r="A776" s="1" t="n">
        <v>1779</v>
      </c>
      <c r="B776" s="29" t="s">
        <v>49</v>
      </c>
      <c r="C776" s="62" t="n">
        <v>2.7</v>
      </c>
      <c r="D776" s="29" t="s">
        <v>56</v>
      </c>
      <c r="E776" s="29" t="s">
        <v>58</v>
      </c>
    </row>
    <row r="777" customFormat="false" ht="14.25" hidden="false" customHeight="false" outlineLevel="0" collapsed="false">
      <c r="A777" s="1" t="n">
        <v>1780</v>
      </c>
      <c r="B777" s="29" t="s">
        <v>54</v>
      </c>
      <c r="C777" s="62" t="n">
        <v>64.4</v>
      </c>
      <c r="D777" s="29" t="s">
        <v>56</v>
      </c>
      <c r="E777" s="29" t="s">
        <v>66</v>
      </c>
    </row>
    <row r="778" customFormat="false" ht="14.25" hidden="false" customHeight="false" outlineLevel="0" collapsed="false">
      <c r="A778" s="1" t="n">
        <v>1781</v>
      </c>
      <c r="B778" s="29" t="s">
        <v>49</v>
      </c>
      <c r="C778" s="62" t="n">
        <v>52.4</v>
      </c>
      <c r="D778" s="29" t="s">
        <v>56</v>
      </c>
      <c r="E778" s="29" t="s">
        <v>65</v>
      </c>
    </row>
    <row r="779" customFormat="false" ht="14.25" hidden="false" customHeight="false" outlineLevel="0" collapsed="false">
      <c r="A779" s="1" t="n">
        <v>1782</v>
      </c>
      <c r="B779" s="29" t="s">
        <v>49</v>
      </c>
      <c r="C779" s="62" t="n">
        <v>5.8</v>
      </c>
      <c r="D779" s="29" t="s">
        <v>63</v>
      </c>
      <c r="E779" s="29" t="s">
        <v>53</v>
      </c>
    </row>
    <row r="780" customFormat="false" ht="14.25" hidden="false" customHeight="false" outlineLevel="0" collapsed="false">
      <c r="A780" s="1" t="n">
        <v>1783</v>
      </c>
      <c r="B780" s="29" t="s">
        <v>49</v>
      </c>
      <c r="C780" s="62" t="n">
        <v>6.2</v>
      </c>
      <c r="D780" s="29" t="s">
        <v>60</v>
      </c>
      <c r="E780" s="29" t="s">
        <v>58</v>
      </c>
    </row>
    <row r="781" customFormat="false" ht="14.25" hidden="false" customHeight="false" outlineLevel="0" collapsed="false">
      <c r="A781" s="1" t="n">
        <v>1784</v>
      </c>
      <c r="B781" s="29" t="s">
        <v>54</v>
      </c>
      <c r="C781" s="62" t="n">
        <v>16.8</v>
      </c>
      <c r="D781" s="29" t="s">
        <v>62</v>
      </c>
      <c r="E781" s="29" t="s">
        <v>66</v>
      </c>
    </row>
    <row r="782" customFormat="false" ht="14.25" hidden="false" customHeight="false" outlineLevel="0" collapsed="false">
      <c r="A782" s="1" t="n">
        <v>1785</v>
      </c>
      <c r="B782" s="29" t="s">
        <v>49</v>
      </c>
      <c r="C782" s="62" t="n">
        <v>1.4</v>
      </c>
      <c r="D782" s="29" t="s">
        <v>71</v>
      </c>
      <c r="E782" s="29" t="s">
        <v>57</v>
      </c>
    </row>
    <row r="783" customFormat="false" ht="14.25" hidden="false" customHeight="false" outlineLevel="0" collapsed="false">
      <c r="A783" s="1" t="n">
        <v>1786</v>
      </c>
      <c r="B783" s="29" t="s">
        <v>61</v>
      </c>
      <c r="C783" s="62" t="n">
        <v>5.6</v>
      </c>
      <c r="D783" s="29" t="s">
        <v>70</v>
      </c>
      <c r="E783" s="29" t="s">
        <v>58</v>
      </c>
    </row>
    <row r="784" customFormat="false" ht="14.25" hidden="false" customHeight="false" outlineLevel="0" collapsed="false">
      <c r="A784" s="1" t="n">
        <v>1787</v>
      </c>
      <c r="B784" s="29" t="s">
        <v>49</v>
      </c>
      <c r="C784" s="62" t="n">
        <v>26.2</v>
      </c>
      <c r="D784" s="29" t="s">
        <v>56</v>
      </c>
      <c r="E784" s="29" t="s">
        <v>65</v>
      </c>
    </row>
    <row r="785" customFormat="false" ht="14.25" hidden="false" customHeight="false" outlineLevel="0" collapsed="false">
      <c r="A785" s="1" t="n">
        <v>1788</v>
      </c>
      <c r="B785" s="29" t="s">
        <v>49</v>
      </c>
      <c r="C785" s="62" t="n">
        <v>5.3</v>
      </c>
      <c r="D785" s="29" t="s">
        <v>56</v>
      </c>
      <c r="E785" s="29" t="s">
        <v>58</v>
      </c>
    </row>
    <row r="786" customFormat="false" ht="14.25" hidden="false" customHeight="false" outlineLevel="0" collapsed="false">
      <c r="A786" s="1" t="n">
        <v>1789</v>
      </c>
      <c r="B786" s="29" t="s">
        <v>61</v>
      </c>
      <c r="C786" s="62" t="n">
        <v>0.7</v>
      </c>
      <c r="D786" s="29" t="s">
        <v>56</v>
      </c>
      <c r="E786" s="29" t="s">
        <v>57</v>
      </c>
    </row>
    <row r="787" customFormat="false" ht="14.25" hidden="false" customHeight="false" outlineLevel="0" collapsed="false">
      <c r="A787" s="1" t="n">
        <v>1790</v>
      </c>
      <c r="B787" s="29" t="s">
        <v>49</v>
      </c>
      <c r="C787" s="62" t="n">
        <v>37.5</v>
      </c>
      <c r="D787" s="29" t="s">
        <v>60</v>
      </c>
      <c r="E787" s="29" t="s">
        <v>65</v>
      </c>
    </row>
    <row r="788" customFormat="false" ht="14.25" hidden="false" customHeight="false" outlineLevel="0" collapsed="false">
      <c r="A788" s="1" t="n">
        <v>1791</v>
      </c>
      <c r="B788" s="29" t="s">
        <v>49</v>
      </c>
      <c r="C788" s="62" t="n">
        <v>7</v>
      </c>
      <c r="D788" s="29" t="s">
        <v>60</v>
      </c>
      <c r="E788" s="29" t="s">
        <v>58</v>
      </c>
    </row>
    <row r="789" customFormat="false" ht="14.25" hidden="false" customHeight="false" outlineLevel="0" collapsed="false">
      <c r="A789" s="1" t="n">
        <v>1792</v>
      </c>
      <c r="B789" s="29" t="s">
        <v>49</v>
      </c>
      <c r="C789" s="62" t="n">
        <v>5.2</v>
      </c>
      <c r="D789" s="29" t="s">
        <v>52</v>
      </c>
      <c r="E789" s="29" t="s">
        <v>58</v>
      </c>
    </row>
    <row r="790" customFormat="false" ht="14.25" hidden="false" customHeight="false" outlineLevel="0" collapsed="false">
      <c r="A790" s="1" t="n">
        <v>1793</v>
      </c>
      <c r="B790" s="29" t="s">
        <v>49</v>
      </c>
      <c r="C790" s="62" t="n">
        <v>3.7</v>
      </c>
      <c r="D790" s="29" t="s">
        <v>52</v>
      </c>
      <c r="E790" s="29" t="s">
        <v>58</v>
      </c>
    </row>
    <row r="791" customFormat="false" ht="14.25" hidden="false" customHeight="false" outlineLevel="0" collapsed="false">
      <c r="A791" s="1" t="n">
        <v>1794</v>
      </c>
      <c r="B791" s="29" t="s">
        <v>49</v>
      </c>
      <c r="C791" s="62" t="n">
        <v>1.6</v>
      </c>
      <c r="D791" s="29" t="s">
        <v>52</v>
      </c>
      <c r="E791" s="29" t="s">
        <v>57</v>
      </c>
    </row>
    <row r="792" customFormat="false" ht="14.25" hidden="false" customHeight="false" outlineLevel="0" collapsed="false">
      <c r="A792" s="1" t="n">
        <v>1795</v>
      </c>
      <c r="B792" s="29" t="s">
        <v>49</v>
      </c>
      <c r="C792" s="62" t="n">
        <v>9.6</v>
      </c>
      <c r="D792" s="29" t="s">
        <v>62</v>
      </c>
      <c r="E792" s="29" t="s">
        <v>58</v>
      </c>
    </row>
    <row r="793" customFormat="false" ht="14.25" hidden="false" customHeight="false" outlineLevel="0" collapsed="false">
      <c r="A793" s="1" t="n">
        <v>1796</v>
      </c>
      <c r="B793" s="29" t="s">
        <v>49</v>
      </c>
      <c r="C793" s="62" t="n">
        <v>0.5</v>
      </c>
      <c r="D793" s="29" t="s">
        <v>62</v>
      </c>
      <c r="E793" s="29" t="s">
        <v>58</v>
      </c>
    </row>
    <row r="794" customFormat="false" ht="14.25" hidden="false" customHeight="false" outlineLevel="0" collapsed="false">
      <c r="A794" s="1" t="n">
        <v>1797</v>
      </c>
      <c r="B794" s="29" t="s">
        <v>49</v>
      </c>
      <c r="C794" s="62" t="n">
        <v>21.4</v>
      </c>
      <c r="D794" s="29" t="s">
        <v>62</v>
      </c>
      <c r="E794" s="29" t="s">
        <v>58</v>
      </c>
    </row>
    <row r="795" customFormat="false" ht="14.25" hidden="false" customHeight="false" outlineLevel="0" collapsed="false">
      <c r="A795" s="1" t="n">
        <v>1798</v>
      </c>
      <c r="B795" s="29" t="s">
        <v>49</v>
      </c>
      <c r="C795" s="62" t="n">
        <v>15.5</v>
      </c>
      <c r="D795" s="29" t="s">
        <v>71</v>
      </c>
      <c r="E795" s="29" t="s">
        <v>65</v>
      </c>
    </row>
    <row r="796" customFormat="false" ht="14.25" hidden="false" customHeight="false" outlineLevel="0" collapsed="false">
      <c r="A796" s="1" t="n">
        <v>1799</v>
      </c>
      <c r="B796" s="29" t="s">
        <v>54</v>
      </c>
      <c r="C796" s="62" t="n">
        <v>64.2</v>
      </c>
      <c r="D796" s="29" t="s">
        <v>71</v>
      </c>
      <c r="E796" s="29" t="s">
        <v>66</v>
      </c>
    </row>
    <row r="797" customFormat="false" ht="14.25" hidden="false" customHeight="false" outlineLevel="0" collapsed="false">
      <c r="A797" s="1" t="n">
        <v>1800</v>
      </c>
      <c r="B797" s="29" t="s">
        <v>54</v>
      </c>
      <c r="C797" s="62" t="n">
        <v>52.4</v>
      </c>
      <c r="D797" s="29" t="s">
        <v>70</v>
      </c>
      <c r="E797" s="29" t="s">
        <v>66</v>
      </c>
    </row>
    <row r="798" customFormat="false" ht="14.25" hidden="false" customHeight="false" outlineLevel="0" collapsed="false">
      <c r="A798" s="1" t="n">
        <v>1801</v>
      </c>
      <c r="B798" s="29" t="s">
        <v>54</v>
      </c>
      <c r="C798" s="62" t="n">
        <v>31.3</v>
      </c>
      <c r="D798" s="29" t="s">
        <v>67</v>
      </c>
      <c r="E798" s="29" t="s">
        <v>55</v>
      </c>
    </row>
    <row r="799" customFormat="false" ht="14.25" hidden="false" customHeight="false" outlineLevel="0" collapsed="false">
      <c r="A799" s="1" t="n">
        <v>1802</v>
      </c>
      <c r="B799" s="29" t="s">
        <v>49</v>
      </c>
      <c r="C799" s="62" t="n">
        <v>0.7</v>
      </c>
      <c r="D799" s="29" t="s">
        <v>59</v>
      </c>
      <c r="E799" s="29" t="s">
        <v>57</v>
      </c>
    </row>
    <row r="800" customFormat="false" ht="14.25" hidden="false" customHeight="false" outlineLevel="0" collapsed="false">
      <c r="A800" s="1" t="n">
        <v>1803</v>
      </c>
      <c r="B800" s="29" t="s">
        <v>49</v>
      </c>
      <c r="C800" s="62" t="n">
        <v>3</v>
      </c>
      <c r="D800" s="29" t="s">
        <v>59</v>
      </c>
      <c r="E800" s="29" t="s">
        <v>53</v>
      </c>
    </row>
    <row r="801" customFormat="false" ht="14.25" hidden="false" customHeight="false" outlineLevel="0" collapsed="false">
      <c r="A801" s="1" t="n">
        <v>1804</v>
      </c>
      <c r="B801" s="29" t="s">
        <v>49</v>
      </c>
      <c r="C801" s="62" t="n">
        <v>6</v>
      </c>
      <c r="D801" s="29" t="s">
        <v>59</v>
      </c>
      <c r="E801" s="29" t="s">
        <v>58</v>
      </c>
    </row>
    <row r="802" customFormat="false" ht="14.25" hidden="false" customHeight="false" outlineLevel="0" collapsed="false">
      <c r="A802" s="1" t="n">
        <v>1805</v>
      </c>
      <c r="B802" s="29" t="s">
        <v>61</v>
      </c>
      <c r="C802" s="62" t="n">
        <v>5.3</v>
      </c>
      <c r="D802" s="29" t="s">
        <v>63</v>
      </c>
      <c r="E802" s="29" t="s">
        <v>58</v>
      </c>
    </row>
    <row r="803" customFormat="false" ht="14.25" hidden="false" customHeight="false" outlineLevel="0" collapsed="false">
      <c r="A803" s="1" t="n">
        <v>1806</v>
      </c>
      <c r="B803" s="29" t="s">
        <v>49</v>
      </c>
      <c r="C803" s="62" t="n">
        <v>6.5</v>
      </c>
      <c r="D803" s="29" t="s">
        <v>50</v>
      </c>
      <c r="E803" s="29" t="s">
        <v>58</v>
      </c>
    </row>
    <row r="804" customFormat="false" ht="14.25" hidden="false" customHeight="false" outlineLevel="0" collapsed="false">
      <c r="A804" s="1" t="n">
        <v>1807</v>
      </c>
      <c r="B804" s="29" t="s">
        <v>54</v>
      </c>
      <c r="C804" s="62" t="n">
        <v>32.1</v>
      </c>
      <c r="D804" s="29" t="s">
        <v>59</v>
      </c>
      <c r="E804" s="29" t="s">
        <v>66</v>
      </c>
    </row>
    <row r="805" customFormat="false" ht="14.25" hidden="false" customHeight="false" outlineLevel="0" collapsed="false">
      <c r="A805" s="1" t="n">
        <v>1808</v>
      </c>
      <c r="B805" s="29" t="s">
        <v>49</v>
      </c>
      <c r="C805" s="62" t="n">
        <v>1.5</v>
      </c>
      <c r="D805" s="29" t="s">
        <v>52</v>
      </c>
      <c r="E805" s="29" t="s">
        <v>58</v>
      </c>
    </row>
    <row r="806" customFormat="false" ht="14.25" hidden="false" customHeight="false" outlineLevel="0" collapsed="false">
      <c r="A806" s="1" t="n">
        <v>1809</v>
      </c>
      <c r="B806" s="29" t="s">
        <v>49</v>
      </c>
      <c r="C806" s="62" t="n">
        <v>0.7</v>
      </c>
      <c r="D806" s="29" t="s">
        <v>52</v>
      </c>
      <c r="E806" s="29" t="s">
        <v>57</v>
      </c>
    </row>
    <row r="807" customFormat="false" ht="14.25" hidden="false" customHeight="false" outlineLevel="0" collapsed="false">
      <c r="A807" s="1" t="n">
        <v>1810</v>
      </c>
      <c r="B807" s="29" t="s">
        <v>49</v>
      </c>
      <c r="C807" s="62" t="n">
        <v>2.6</v>
      </c>
      <c r="D807" s="29" t="s">
        <v>59</v>
      </c>
      <c r="E807" s="29" t="s">
        <v>53</v>
      </c>
    </row>
    <row r="808" customFormat="false" ht="14.25" hidden="false" customHeight="false" outlineLevel="0" collapsed="false">
      <c r="A808" s="1" t="n">
        <v>1811</v>
      </c>
      <c r="B808" s="29" t="s">
        <v>49</v>
      </c>
      <c r="C808" s="62" t="n">
        <v>8.3</v>
      </c>
      <c r="D808" s="29" t="s">
        <v>50</v>
      </c>
      <c r="E808" s="29" t="s">
        <v>58</v>
      </c>
    </row>
    <row r="809" customFormat="false" ht="14.25" hidden="false" customHeight="false" outlineLevel="0" collapsed="false">
      <c r="A809" s="1" t="n">
        <v>1812</v>
      </c>
      <c r="B809" s="29" t="s">
        <v>49</v>
      </c>
      <c r="C809" s="62" t="n">
        <v>2.1</v>
      </c>
      <c r="D809" s="29" t="s">
        <v>50</v>
      </c>
      <c r="E809" s="29" t="s">
        <v>53</v>
      </c>
    </row>
    <row r="810" customFormat="false" ht="14.25" hidden="false" customHeight="false" outlineLevel="0" collapsed="false">
      <c r="A810" s="1" t="n">
        <v>1813</v>
      </c>
      <c r="B810" s="29" t="s">
        <v>49</v>
      </c>
      <c r="C810" s="62" t="n">
        <v>10.1</v>
      </c>
      <c r="D810" s="29" t="s">
        <v>50</v>
      </c>
      <c r="E810" s="29" t="s">
        <v>58</v>
      </c>
    </row>
    <row r="811" customFormat="false" ht="14.25" hidden="false" customHeight="false" outlineLevel="0" collapsed="false">
      <c r="A811" s="1" t="n">
        <v>1814</v>
      </c>
      <c r="B811" s="29" t="s">
        <v>49</v>
      </c>
      <c r="C811" s="62" t="n">
        <v>9.6</v>
      </c>
      <c r="D811" s="29" t="s">
        <v>71</v>
      </c>
      <c r="E811" s="29" t="s">
        <v>53</v>
      </c>
    </row>
    <row r="812" customFormat="false" ht="14.25" hidden="false" customHeight="false" outlineLevel="0" collapsed="false">
      <c r="A812" s="1" t="n">
        <v>1815</v>
      </c>
      <c r="B812" s="29" t="s">
        <v>49</v>
      </c>
      <c r="C812" s="62" t="n">
        <v>2.5</v>
      </c>
      <c r="D812" s="29" t="s">
        <v>62</v>
      </c>
      <c r="E812" s="29" t="s">
        <v>57</v>
      </c>
    </row>
    <row r="813" customFormat="false" ht="14.25" hidden="false" customHeight="false" outlineLevel="0" collapsed="false">
      <c r="A813" s="1" t="n">
        <v>1816</v>
      </c>
      <c r="B813" s="29" t="s">
        <v>49</v>
      </c>
      <c r="C813" s="62" t="n">
        <v>5.4</v>
      </c>
      <c r="D813" s="29" t="s">
        <v>52</v>
      </c>
      <c r="E813" s="29" t="s">
        <v>58</v>
      </c>
    </row>
    <row r="814" customFormat="false" ht="14.25" hidden="false" customHeight="false" outlineLevel="0" collapsed="false">
      <c r="A814" s="1" t="n">
        <v>1817</v>
      </c>
      <c r="B814" s="29" t="s">
        <v>49</v>
      </c>
      <c r="C814" s="62" t="n">
        <v>5.4</v>
      </c>
      <c r="D814" s="29" t="s">
        <v>59</v>
      </c>
      <c r="E814" s="29" t="s">
        <v>57</v>
      </c>
    </row>
    <row r="815" customFormat="false" ht="14.25" hidden="false" customHeight="false" outlineLevel="0" collapsed="false">
      <c r="A815" s="1" t="n">
        <v>1818</v>
      </c>
      <c r="B815" s="29" t="s">
        <v>49</v>
      </c>
      <c r="C815" s="62" t="n">
        <v>6.3</v>
      </c>
      <c r="D815" s="29" t="s">
        <v>59</v>
      </c>
      <c r="E815" s="29" t="s">
        <v>58</v>
      </c>
    </row>
    <row r="816" customFormat="false" ht="14.25" hidden="false" customHeight="false" outlineLevel="0" collapsed="false">
      <c r="A816" s="1" t="n">
        <v>1819</v>
      </c>
      <c r="B816" s="29" t="s">
        <v>49</v>
      </c>
      <c r="C816" s="62" t="n">
        <v>4.5</v>
      </c>
      <c r="D816" s="29" t="s">
        <v>59</v>
      </c>
      <c r="E816" s="29" t="s">
        <v>58</v>
      </c>
    </row>
    <row r="817" customFormat="false" ht="14.25" hidden="false" customHeight="false" outlineLevel="0" collapsed="false">
      <c r="A817" s="1" t="n">
        <v>1820</v>
      </c>
      <c r="B817" s="29" t="s">
        <v>61</v>
      </c>
      <c r="C817" s="62" t="n">
        <v>8.1</v>
      </c>
      <c r="D817" s="29" t="s">
        <v>59</v>
      </c>
      <c r="E817" s="29" t="s">
        <v>58</v>
      </c>
    </row>
    <row r="818" customFormat="false" ht="14.25" hidden="false" customHeight="false" outlineLevel="0" collapsed="false">
      <c r="A818" s="1" t="n">
        <v>1821</v>
      </c>
      <c r="B818" s="29" t="s">
        <v>61</v>
      </c>
      <c r="C818" s="62" t="n">
        <v>21.4</v>
      </c>
      <c r="D818" s="29" t="s">
        <v>70</v>
      </c>
      <c r="E818" s="29" t="s">
        <v>58</v>
      </c>
    </row>
    <row r="819" customFormat="false" ht="14.25" hidden="false" customHeight="false" outlineLevel="0" collapsed="false">
      <c r="A819" s="1" t="n">
        <v>1822</v>
      </c>
      <c r="B819" s="29" t="s">
        <v>49</v>
      </c>
      <c r="C819" s="62" t="n">
        <v>9.1</v>
      </c>
      <c r="D819" s="29" t="s">
        <v>70</v>
      </c>
      <c r="E819" s="29" t="s">
        <v>58</v>
      </c>
    </row>
    <row r="820" customFormat="false" ht="14.25" hidden="false" customHeight="false" outlineLevel="0" collapsed="false">
      <c r="A820" s="1" t="n">
        <v>1823</v>
      </c>
      <c r="B820" s="29" t="s">
        <v>49</v>
      </c>
      <c r="C820" s="62" t="n">
        <v>21.4</v>
      </c>
      <c r="D820" s="29" t="s">
        <v>62</v>
      </c>
      <c r="E820" s="29" t="s">
        <v>58</v>
      </c>
    </row>
    <row r="821" customFormat="false" ht="14.25" hidden="false" customHeight="false" outlineLevel="0" collapsed="false">
      <c r="A821" s="1" t="n">
        <v>1824</v>
      </c>
      <c r="B821" s="29" t="s">
        <v>49</v>
      </c>
      <c r="C821" s="62" t="n">
        <v>1.3</v>
      </c>
      <c r="D821" s="29" t="s">
        <v>50</v>
      </c>
      <c r="E821" s="29" t="s">
        <v>53</v>
      </c>
    </row>
    <row r="822" customFormat="false" ht="14.25" hidden="false" customHeight="false" outlineLevel="0" collapsed="false">
      <c r="A822" s="1" t="n">
        <v>1825</v>
      </c>
      <c r="B822" s="29" t="s">
        <v>49</v>
      </c>
      <c r="C822" s="62" t="n">
        <v>5.5</v>
      </c>
      <c r="D822" s="29" t="s">
        <v>50</v>
      </c>
      <c r="E822" s="29" t="s">
        <v>51</v>
      </c>
    </row>
    <row r="823" customFormat="false" ht="14.25" hidden="false" customHeight="false" outlineLevel="0" collapsed="false">
      <c r="A823" s="1" t="n">
        <v>1826</v>
      </c>
      <c r="B823" s="29" t="s">
        <v>61</v>
      </c>
      <c r="C823" s="62" t="n">
        <v>5.4</v>
      </c>
      <c r="D823" s="29" t="s">
        <v>50</v>
      </c>
      <c r="E823" s="29" t="s">
        <v>57</v>
      </c>
    </row>
    <row r="824" customFormat="false" ht="14.25" hidden="false" customHeight="false" outlineLevel="0" collapsed="false">
      <c r="A824" s="1" t="n">
        <v>1827</v>
      </c>
      <c r="B824" s="29" t="s">
        <v>54</v>
      </c>
      <c r="C824" s="62" t="n">
        <v>59.7</v>
      </c>
      <c r="D824" s="29" t="s">
        <v>50</v>
      </c>
      <c r="E824" s="29" t="s">
        <v>55</v>
      </c>
    </row>
    <row r="825" customFormat="false" ht="14.25" hidden="false" customHeight="false" outlineLevel="0" collapsed="false">
      <c r="A825" s="1" t="n">
        <v>1828</v>
      </c>
      <c r="B825" s="29" t="s">
        <v>49</v>
      </c>
      <c r="C825" s="62" t="n">
        <v>7.7</v>
      </c>
      <c r="D825" s="29" t="s">
        <v>59</v>
      </c>
      <c r="E825" s="29" t="s">
        <v>58</v>
      </c>
    </row>
    <row r="826" customFormat="false" ht="14.25" hidden="false" customHeight="false" outlineLevel="0" collapsed="false">
      <c r="A826" s="1" t="n">
        <v>1829</v>
      </c>
      <c r="B826" s="29" t="s">
        <v>49</v>
      </c>
      <c r="C826" s="62" t="n">
        <v>10.5</v>
      </c>
      <c r="D826" s="29" t="s">
        <v>59</v>
      </c>
      <c r="E826" s="29" t="s">
        <v>58</v>
      </c>
    </row>
    <row r="827" customFormat="false" ht="14.25" hidden="false" customHeight="false" outlineLevel="0" collapsed="false">
      <c r="A827" s="1" t="n">
        <v>1830</v>
      </c>
      <c r="B827" s="29" t="s">
        <v>54</v>
      </c>
      <c r="C827" s="62" t="n">
        <v>60.1</v>
      </c>
      <c r="D827" s="29" t="s">
        <v>59</v>
      </c>
      <c r="E827" s="29" t="s">
        <v>66</v>
      </c>
    </row>
    <row r="828" customFormat="false" ht="14.25" hidden="false" customHeight="false" outlineLevel="0" collapsed="false">
      <c r="A828" s="1" t="n">
        <v>1831</v>
      </c>
      <c r="B828" s="29" t="s">
        <v>49</v>
      </c>
      <c r="C828" s="62" t="n">
        <v>2.7</v>
      </c>
      <c r="D828" s="29" t="s">
        <v>60</v>
      </c>
      <c r="E828" s="29" t="s">
        <v>58</v>
      </c>
    </row>
    <row r="829" customFormat="false" ht="14.25" hidden="false" customHeight="false" outlineLevel="0" collapsed="false">
      <c r="A829" s="1" t="n">
        <v>1832</v>
      </c>
      <c r="B829" s="29" t="s">
        <v>49</v>
      </c>
      <c r="C829" s="62" t="n">
        <v>2.7</v>
      </c>
      <c r="D829" s="29" t="s">
        <v>50</v>
      </c>
      <c r="E829" s="29" t="s">
        <v>58</v>
      </c>
    </row>
    <row r="830" customFormat="false" ht="14.25" hidden="false" customHeight="false" outlineLevel="0" collapsed="false">
      <c r="A830" s="1" t="n">
        <v>1833</v>
      </c>
      <c r="B830" s="29" t="s">
        <v>61</v>
      </c>
      <c r="C830" s="62" t="n">
        <v>2.1</v>
      </c>
      <c r="D830" s="29" t="s">
        <v>56</v>
      </c>
      <c r="E830" s="29" t="s">
        <v>53</v>
      </c>
    </row>
    <row r="831" customFormat="false" ht="14.25" hidden="false" customHeight="false" outlineLevel="0" collapsed="false">
      <c r="A831" s="1" t="n">
        <v>1834</v>
      </c>
      <c r="B831" s="29" t="s">
        <v>49</v>
      </c>
      <c r="C831" s="62" t="n">
        <v>6.2</v>
      </c>
      <c r="D831" s="29" t="s">
        <v>56</v>
      </c>
      <c r="E831" s="29" t="s">
        <v>58</v>
      </c>
    </row>
    <row r="832" customFormat="false" ht="14.25" hidden="false" customHeight="false" outlineLevel="0" collapsed="false">
      <c r="A832" s="1" t="n">
        <v>1835</v>
      </c>
      <c r="B832" s="29" t="s">
        <v>49</v>
      </c>
      <c r="C832" s="62" t="n">
        <v>1.3</v>
      </c>
      <c r="D832" s="29" t="s">
        <v>67</v>
      </c>
      <c r="E832" s="29" t="s">
        <v>57</v>
      </c>
    </row>
    <row r="833" customFormat="false" ht="14.25" hidden="false" customHeight="false" outlineLevel="0" collapsed="false">
      <c r="A833" s="1" t="n">
        <v>1836</v>
      </c>
      <c r="B833" s="29" t="s">
        <v>49</v>
      </c>
      <c r="C833" s="62" t="n">
        <v>3.2</v>
      </c>
      <c r="D833" s="29" t="s">
        <v>59</v>
      </c>
      <c r="E833" s="29" t="s">
        <v>58</v>
      </c>
    </row>
    <row r="834" customFormat="false" ht="14.25" hidden="false" customHeight="false" outlineLevel="0" collapsed="false">
      <c r="A834" s="1" t="n">
        <v>1837</v>
      </c>
      <c r="B834" s="29" t="s">
        <v>49</v>
      </c>
      <c r="C834" s="62" t="n">
        <v>1.6</v>
      </c>
      <c r="D834" s="29" t="s">
        <v>50</v>
      </c>
      <c r="E834" s="29" t="s">
        <v>58</v>
      </c>
    </row>
    <row r="835" customFormat="false" ht="14.25" hidden="false" customHeight="false" outlineLevel="0" collapsed="false">
      <c r="A835" s="1" t="n">
        <v>1838</v>
      </c>
      <c r="B835" s="29" t="s">
        <v>61</v>
      </c>
      <c r="C835" s="62" t="n">
        <v>11.2</v>
      </c>
      <c r="D835" s="29" t="s">
        <v>71</v>
      </c>
      <c r="E835" s="29" t="s">
        <v>58</v>
      </c>
    </row>
    <row r="836" customFormat="false" ht="14.25" hidden="false" customHeight="false" outlineLevel="0" collapsed="false">
      <c r="A836" s="1" t="n">
        <v>1839</v>
      </c>
      <c r="B836" s="29" t="s">
        <v>49</v>
      </c>
      <c r="C836" s="62" t="n">
        <v>5.7</v>
      </c>
      <c r="D836" s="29" t="s">
        <v>70</v>
      </c>
      <c r="E836" s="29" t="s">
        <v>58</v>
      </c>
    </row>
    <row r="837" customFormat="false" ht="14.25" hidden="false" customHeight="false" outlineLevel="0" collapsed="false">
      <c r="A837" s="1" t="n">
        <v>1840</v>
      </c>
      <c r="B837" s="29" t="s">
        <v>49</v>
      </c>
      <c r="C837" s="62" t="n">
        <v>8.2</v>
      </c>
      <c r="D837" s="29" t="s">
        <v>63</v>
      </c>
      <c r="E837" s="29" t="s">
        <v>58</v>
      </c>
    </row>
    <row r="838" customFormat="false" ht="14.25" hidden="false" customHeight="false" outlineLevel="0" collapsed="false">
      <c r="A838" s="1" t="n">
        <v>1841</v>
      </c>
      <c r="B838" s="29" t="s">
        <v>49</v>
      </c>
      <c r="C838" s="62" t="n">
        <v>10.4</v>
      </c>
      <c r="D838" s="29" t="s">
        <v>50</v>
      </c>
      <c r="E838" s="29" t="s">
        <v>58</v>
      </c>
    </row>
    <row r="839" customFormat="false" ht="14.25" hidden="false" customHeight="false" outlineLevel="0" collapsed="false">
      <c r="A839" s="1" t="n">
        <v>1842</v>
      </c>
      <c r="B839" s="29" t="s">
        <v>49</v>
      </c>
      <c r="C839" s="62" t="n">
        <v>1.3</v>
      </c>
      <c r="D839" s="29" t="s">
        <v>60</v>
      </c>
      <c r="E839" s="29" t="s">
        <v>53</v>
      </c>
    </row>
    <row r="840" customFormat="false" ht="14.25" hidden="false" customHeight="false" outlineLevel="0" collapsed="false">
      <c r="A840" s="1" t="n">
        <v>1843</v>
      </c>
      <c r="B840" s="29" t="s">
        <v>49</v>
      </c>
      <c r="C840" s="62" t="n">
        <v>1.2</v>
      </c>
      <c r="D840" s="29" t="s">
        <v>59</v>
      </c>
      <c r="E840" s="29" t="s">
        <v>57</v>
      </c>
    </row>
    <row r="841" customFormat="false" ht="14.25" hidden="false" customHeight="false" outlineLevel="0" collapsed="false">
      <c r="A841" s="1" t="n">
        <v>1844</v>
      </c>
      <c r="B841" s="29" t="s">
        <v>49</v>
      </c>
      <c r="C841" s="62" t="n">
        <v>15.8</v>
      </c>
      <c r="D841" s="29" t="s">
        <v>50</v>
      </c>
      <c r="E841" s="29" t="s">
        <v>58</v>
      </c>
    </row>
    <row r="842" customFormat="false" ht="14.25" hidden="false" customHeight="false" outlineLevel="0" collapsed="false">
      <c r="A842" s="1" t="n">
        <v>1845</v>
      </c>
      <c r="B842" s="29" t="s">
        <v>54</v>
      </c>
      <c r="C842" s="62" t="n">
        <v>55.6</v>
      </c>
      <c r="D842" s="29" t="s">
        <v>56</v>
      </c>
      <c r="E842" s="29" t="s">
        <v>55</v>
      </c>
    </row>
    <row r="843" customFormat="false" ht="14.25" hidden="false" customHeight="false" outlineLevel="0" collapsed="false">
      <c r="A843" s="1" t="n">
        <v>1846</v>
      </c>
      <c r="B843" s="29" t="s">
        <v>49</v>
      </c>
      <c r="C843" s="62" t="n">
        <v>0.5</v>
      </c>
      <c r="D843" s="29" t="s">
        <v>67</v>
      </c>
      <c r="E843" s="29" t="s">
        <v>58</v>
      </c>
    </row>
    <row r="844" customFormat="false" ht="14.25" hidden="false" customHeight="false" outlineLevel="0" collapsed="false">
      <c r="A844" s="1" t="n">
        <v>1847</v>
      </c>
      <c r="B844" s="29" t="s">
        <v>49</v>
      </c>
      <c r="C844" s="62" t="n">
        <v>3.9</v>
      </c>
      <c r="D844" s="29" t="s">
        <v>59</v>
      </c>
      <c r="E844" s="29" t="s">
        <v>53</v>
      </c>
    </row>
    <row r="845" customFormat="false" ht="14.25" hidden="false" customHeight="false" outlineLevel="0" collapsed="false">
      <c r="A845" s="1" t="n">
        <v>1848</v>
      </c>
      <c r="B845" s="29" t="s">
        <v>49</v>
      </c>
      <c r="C845" s="62" t="n">
        <v>8</v>
      </c>
      <c r="D845" s="29" t="s">
        <v>52</v>
      </c>
      <c r="E845" s="29" t="s">
        <v>57</v>
      </c>
    </row>
    <row r="846" customFormat="false" ht="14.25" hidden="false" customHeight="false" outlineLevel="0" collapsed="false">
      <c r="A846" s="1" t="n">
        <v>1849</v>
      </c>
      <c r="B846" s="29" t="s">
        <v>61</v>
      </c>
      <c r="C846" s="62" t="n">
        <v>5.1</v>
      </c>
      <c r="D846" s="29" t="s">
        <v>59</v>
      </c>
      <c r="E846" s="29" t="s">
        <v>51</v>
      </c>
    </row>
    <row r="847" customFormat="false" ht="14.25" hidden="false" customHeight="false" outlineLevel="0" collapsed="false">
      <c r="A847" s="1" t="n">
        <v>1850</v>
      </c>
      <c r="B847" s="29" t="s">
        <v>49</v>
      </c>
      <c r="C847" s="62" t="n">
        <v>8.9</v>
      </c>
      <c r="D847" s="29" t="s">
        <v>60</v>
      </c>
      <c r="E847" s="29" t="s">
        <v>58</v>
      </c>
    </row>
    <row r="848" customFormat="false" ht="14.25" hidden="false" customHeight="false" outlineLevel="0" collapsed="false">
      <c r="A848" s="1" t="n">
        <v>1851</v>
      </c>
      <c r="B848" s="29" t="s">
        <v>49</v>
      </c>
      <c r="C848" s="62" t="n">
        <v>8.9</v>
      </c>
      <c r="D848" s="29" t="s">
        <v>59</v>
      </c>
      <c r="E848" s="29" t="s">
        <v>58</v>
      </c>
    </row>
    <row r="849" customFormat="false" ht="14.25" hidden="false" customHeight="false" outlineLevel="0" collapsed="false">
      <c r="A849" s="1" t="n">
        <v>1852</v>
      </c>
      <c r="B849" s="29" t="s">
        <v>49</v>
      </c>
      <c r="C849" s="62" t="n">
        <v>1.1</v>
      </c>
      <c r="D849" s="29" t="s">
        <v>52</v>
      </c>
      <c r="E849" s="29" t="s">
        <v>58</v>
      </c>
    </row>
    <row r="850" customFormat="false" ht="14.25" hidden="false" customHeight="false" outlineLevel="0" collapsed="false">
      <c r="A850" s="1" t="n">
        <v>1853</v>
      </c>
      <c r="B850" s="29" t="s">
        <v>49</v>
      </c>
      <c r="C850" s="62" t="n">
        <v>13.4</v>
      </c>
      <c r="D850" s="29" t="s">
        <v>59</v>
      </c>
      <c r="E850" s="29" t="s">
        <v>58</v>
      </c>
    </row>
    <row r="851" customFormat="false" ht="14.25" hidden="false" customHeight="false" outlineLevel="0" collapsed="false">
      <c r="A851" s="1" t="n">
        <v>1854</v>
      </c>
      <c r="B851" s="29" t="s">
        <v>49</v>
      </c>
      <c r="C851" s="62" t="n">
        <v>6.1</v>
      </c>
      <c r="D851" s="29" t="s">
        <v>59</v>
      </c>
      <c r="E851" s="29" t="s">
        <v>58</v>
      </c>
    </row>
    <row r="852" customFormat="false" ht="14.25" hidden="false" customHeight="false" outlineLevel="0" collapsed="false">
      <c r="A852" s="1" t="n">
        <v>1855</v>
      </c>
      <c r="B852" s="29" t="s">
        <v>49</v>
      </c>
      <c r="C852" s="62" t="n">
        <v>8.4</v>
      </c>
      <c r="D852" s="29" t="s">
        <v>59</v>
      </c>
      <c r="E852" s="29" t="s">
        <v>58</v>
      </c>
    </row>
    <row r="853" customFormat="false" ht="14.25" hidden="false" customHeight="false" outlineLevel="0" collapsed="false">
      <c r="A853" s="1" t="n">
        <v>1856</v>
      </c>
      <c r="B853" s="29" t="s">
        <v>49</v>
      </c>
      <c r="C853" s="62" t="n">
        <v>5.1</v>
      </c>
      <c r="D853" s="29" t="s">
        <v>62</v>
      </c>
      <c r="E853" s="29" t="s">
        <v>51</v>
      </c>
    </row>
    <row r="854" customFormat="false" ht="14.25" hidden="false" customHeight="false" outlineLevel="0" collapsed="false">
      <c r="A854" s="1" t="n">
        <v>1857</v>
      </c>
      <c r="B854" s="29" t="s">
        <v>49</v>
      </c>
      <c r="C854" s="62" t="n">
        <v>8.8</v>
      </c>
      <c r="D854" s="29" t="s">
        <v>62</v>
      </c>
      <c r="E854" s="29" t="s">
        <v>58</v>
      </c>
    </row>
    <row r="855" customFormat="false" ht="14.25" hidden="false" customHeight="false" outlineLevel="0" collapsed="false">
      <c r="A855" s="1" t="n">
        <v>1858</v>
      </c>
      <c r="B855" s="29" t="s">
        <v>61</v>
      </c>
      <c r="C855" s="62" t="n">
        <v>1.5</v>
      </c>
      <c r="D855" s="29" t="s">
        <v>52</v>
      </c>
      <c r="E855" s="29" t="s">
        <v>58</v>
      </c>
    </row>
    <row r="856" customFormat="false" ht="14.25" hidden="false" customHeight="false" outlineLevel="0" collapsed="false">
      <c r="A856" s="1" t="n">
        <v>1859</v>
      </c>
      <c r="B856" s="29" t="s">
        <v>49</v>
      </c>
      <c r="C856" s="62" t="n">
        <v>7.2</v>
      </c>
      <c r="D856" s="29" t="s">
        <v>52</v>
      </c>
      <c r="E856" s="29" t="s">
        <v>58</v>
      </c>
    </row>
    <row r="857" customFormat="false" ht="14.25" hidden="false" customHeight="false" outlineLevel="0" collapsed="false">
      <c r="A857" s="1" t="n">
        <v>1860</v>
      </c>
      <c r="B857" s="29" t="s">
        <v>49</v>
      </c>
      <c r="C857" s="62" t="n">
        <v>1.1</v>
      </c>
      <c r="D857" s="29" t="s">
        <v>69</v>
      </c>
      <c r="E857" s="29" t="s">
        <v>57</v>
      </c>
    </row>
    <row r="858" customFormat="false" ht="14.25" hidden="false" customHeight="false" outlineLevel="0" collapsed="false">
      <c r="A858" s="1" t="n">
        <v>1861</v>
      </c>
      <c r="B858" s="29" t="s">
        <v>49</v>
      </c>
      <c r="C858" s="62" t="n">
        <v>21.4</v>
      </c>
      <c r="D858" s="29" t="s">
        <v>56</v>
      </c>
      <c r="E858" s="29" t="s">
        <v>58</v>
      </c>
    </row>
    <row r="859" customFormat="false" ht="14.25" hidden="false" customHeight="false" outlineLevel="0" collapsed="false">
      <c r="A859" s="1" t="n">
        <v>1862</v>
      </c>
      <c r="B859" s="29" t="s">
        <v>49</v>
      </c>
      <c r="C859" s="62" t="n">
        <v>6.4</v>
      </c>
      <c r="D859" s="29" t="s">
        <v>67</v>
      </c>
      <c r="E859" s="29" t="s">
        <v>58</v>
      </c>
    </row>
    <row r="860" customFormat="false" ht="14.25" hidden="false" customHeight="false" outlineLevel="0" collapsed="false">
      <c r="A860" s="1" t="n">
        <v>1863</v>
      </c>
      <c r="B860" s="29" t="s">
        <v>61</v>
      </c>
      <c r="C860" s="62" t="n">
        <v>5.9</v>
      </c>
      <c r="D860" s="29" t="s">
        <v>71</v>
      </c>
      <c r="E860" s="29" t="s">
        <v>58</v>
      </c>
    </row>
    <row r="861" customFormat="false" ht="14.25" hidden="false" customHeight="false" outlineLevel="0" collapsed="false">
      <c r="A861" s="1" t="n">
        <v>1864</v>
      </c>
      <c r="B861" s="29" t="s">
        <v>49</v>
      </c>
      <c r="C861" s="62" t="n">
        <v>5.9</v>
      </c>
      <c r="D861" s="29" t="s">
        <v>71</v>
      </c>
      <c r="E861" s="29" t="s">
        <v>58</v>
      </c>
    </row>
    <row r="862" customFormat="false" ht="14.25" hidden="false" customHeight="false" outlineLevel="0" collapsed="false">
      <c r="A862" s="1" t="n">
        <v>1865</v>
      </c>
      <c r="B862" s="29" t="s">
        <v>49</v>
      </c>
      <c r="C862" s="62" t="n">
        <v>5.8</v>
      </c>
      <c r="D862" s="29" t="s">
        <v>59</v>
      </c>
      <c r="E862" s="29" t="s">
        <v>58</v>
      </c>
    </row>
    <row r="863" customFormat="false" ht="14.25" hidden="false" customHeight="false" outlineLevel="0" collapsed="false">
      <c r="A863" s="1" t="n">
        <v>1866</v>
      </c>
      <c r="B863" s="29" t="s">
        <v>49</v>
      </c>
      <c r="C863" s="62" t="n">
        <v>0.7</v>
      </c>
      <c r="D863" s="29" t="s">
        <v>63</v>
      </c>
      <c r="E863" s="29" t="s">
        <v>57</v>
      </c>
    </row>
    <row r="864" customFormat="false" ht="14.25" hidden="false" customHeight="false" outlineLevel="0" collapsed="false">
      <c r="A864" s="1" t="n">
        <v>1867</v>
      </c>
      <c r="B864" s="29" t="s">
        <v>61</v>
      </c>
      <c r="C864" s="62" t="n">
        <v>6.7</v>
      </c>
      <c r="D864" s="29" t="s">
        <v>63</v>
      </c>
      <c r="E864" s="29" t="s">
        <v>58</v>
      </c>
    </row>
    <row r="865" customFormat="false" ht="14.25" hidden="false" customHeight="false" outlineLevel="0" collapsed="false">
      <c r="A865" s="1" t="n">
        <v>1868</v>
      </c>
      <c r="B865" s="29" t="s">
        <v>49</v>
      </c>
      <c r="C865" s="62" t="n">
        <v>5.3</v>
      </c>
      <c r="D865" s="29" t="s">
        <v>52</v>
      </c>
      <c r="E865" s="29" t="s">
        <v>58</v>
      </c>
    </row>
    <row r="866" customFormat="false" ht="14.25" hidden="false" customHeight="false" outlineLevel="0" collapsed="false">
      <c r="A866" s="1" t="n">
        <v>1869</v>
      </c>
      <c r="B866" s="29" t="s">
        <v>49</v>
      </c>
      <c r="C866" s="62" t="n">
        <v>7</v>
      </c>
      <c r="D866" s="29" t="s">
        <v>52</v>
      </c>
      <c r="E866" s="29" t="s">
        <v>58</v>
      </c>
    </row>
    <row r="867" customFormat="false" ht="14.25" hidden="false" customHeight="false" outlineLevel="0" collapsed="false">
      <c r="A867" s="1" t="n">
        <v>1870</v>
      </c>
      <c r="B867" s="29" t="s">
        <v>49</v>
      </c>
      <c r="C867" s="62" t="n">
        <v>6.1</v>
      </c>
      <c r="D867" s="29" t="s">
        <v>52</v>
      </c>
      <c r="E867" s="29" t="s">
        <v>58</v>
      </c>
    </row>
    <row r="868" customFormat="false" ht="14.25" hidden="false" customHeight="false" outlineLevel="0" collapsed="false">
      <c r="A868" s="1" t="n">
        <v>1871</v>
      </c>
      <c r="B868" s="29" t="s">
        <v>49</v>
      </c>
      <c r="C868" s="62" t="n">
        <v>4.8</v>
      </c>
      <c r="D868" s="29" t="s">
        <v>63</v>
      </c>
      <c r="E868" s="29" t="s">
        <v>58</v>
      </c>
    </row>
    <row r="869" customFormat="false" ht="14.25" hidden="false" customHeight="false" outlineLevel="0" collapsed="false">
      <c r="A869" s="1" t="n">
        <v>1872</v>
      </c>
      <c r="B869" s="29" t="s">
        <v>49</v>
      </c>
      <c r="C869" s="62" t="n">
        <v>23.8</v>
      </c>
      <c r="D869" s="29" t="s">
        <v>63</v>
      </c>
      <c r="E869" s="29" t="s">
        <v>65</v>
      </c>
    </row>
    <row r="870" customFormat="false" ht="14.25" hidden="false" customHeight="false" outlineLevel="0" collapsed="false">
      <c r="A870" s="1" t="n">
        <v>1873</v>
      </c>
      <c r="B870" s="29" t="s">
        <v>49</v>
      </c>
      <c r="C870" s="62" t="n">
        <v>1.5</v>
      </c>
      <c r="D870" s="29" t="s">
        <v>62</v>
      </c>
      <c r="E870" s="29" t="s">
        <v>58</v>
      </c>
    </row>
    <row r="871" customFormat="false" ht="14.25" hidden="false" customHeight="false" outlineLevel="0" collapsed="false">
      <c r="A871" s="1" t="n">
        <v>1874</v>
      </c>
      <c r="B871" s="29" t="s">
        <v>49</v>
      </c>
      <c r="C871" s="62" t="n">
        <v>11.2</v>
      </c>
      <c r="D871" s="29" t="s">
        <v>62</v>
      </c>
      <c r="E871" s="29" t="s">
        <v>58</v>
      </c>
    </row>
    <row r="872" customFormat="false" ht="14.25" hidden="false" customHeight="false" outlineLevel="0" collapsed="false">
      <c r="A872" s="1" t="n">
        <v>1875</v>
      </c>
      <c r="B872" s="29" t="s">
        <v>54</v>
      </c>
      <c r="C872" s="62" t="n">
        <v>15.7</v>
      </c>
      <c r="D872" s="29" t="s">
        <v>52</v>
      </c>
      <c r="E872" s="29" t="s">
        <v>66</v>
      </c>
    </row>
    <row r="873" customFormat="false" ht="14.25" hidden="false" customHeight="false" outlineLevel="0" collapsed="false">
      <c r="A873" s="1" t="n">
        <v>1876</v>
      </c>
      <c r="B873" s="29" t="s">
        <v>49</v>
      </c>
      <c r="C873" s="62" t="n">
        <v>12</v>
      </c>
      <c r="D873" s="29" t="s">
        <v>50</v>
      </c>
      <c r="E873" s="29" t="s">
        <v>58</v>
      </c>
    </row>
    <row r="874" customFormat="false" ht="14.25" hidden="false" customHeight="false" outlineLevel="0" collapsed="false">
      <c r="A874" s="1" t="n">
        <v>1877</v>
      </c>
      <c r="B874" s="29" t="s">
        <v>49</v>
      </c>
      <c r="C874" s="62" t="n">
        <v>5.6</v>
      </c>
      <c r="D874" s="29" t="s">
        <v>71</v>
      </c>
      <c r="E874" s="29" t="s">
        <v>58</v>
      </c>
    </row>
    <row r="875" customFormat="false" ht="14.25" hidden="false" customHeight="false" outlineLevel="0" collapsed="false">
      <c r="A875" s="1" t="n">
        <v>1878</v>
      </c>
      <c r="B875" s="29" t="s">
        <v>49</v>
      </c>
      <c r="C875" s="62" t="n">
        <v>5.6</v>
      </c>
      <c r="D875" s="29" t="s">
        <v>60</v>
      </c>
      <c r="E875" s="29" t="s">
        <v>58</v>
      </c>
    </row>
    <row r="876" customFormat="false" ht="14.25" hidden="false" customHeight="false" outlineLevel="0" collapsed="false">
      <c r="A876" s="1" t="n">
        <v>1879</v>
      </c>
      <c r="B876" s="29" t="s">
        <v>49</v>
      </c>
      <c r="C876" s="62" t="n">
        <v>8.2</v>
      </c>
      <c r="D876" s="29" t="s">
        <v>50</v>
      </c>
      <c r="E876" s="29" t="s">
        <v>58</v>
      </c>
    </row>
    <row r="877" customFormat="false" ht="14.25" hidden="false" customHeight="false" outlineLevel="0" collapsed="false">
      <c r="A877" s="1" t="n">
        <v>1880</v>
      </c>
      <c r="B877" s="29" t="s">
        <v>61</v>
      </c>
      <c r="C877" s="62" t="n">
        <v>6.2</v>
      </c>
      <c r="D877" s="29" t="s">
        <v>62</v>
      </c>
      <c r="E877" s="29" t="s">
        <v>58</v>
      </c>
    </row>
    <row r="878" customFormat="false" ht="14.25" hidden="false" customHeight="false" outlineLevel="0" collapsed="false">
      <c r="A878" s="1" t="n">
        <v>1881</v>
      </c>
      <c r="B878" s="29" t="s">
        <v>49</v>
      </c>
      <c r="C878" s="62" t="n">
        <v>5.4</v>
      </c>
      <c r="D878" s="29" t="s">
        <v>70</v>
      </c>
      <c r="E878" s="29" t="s">
        <v>58</v>
      </c>
    </row>
    <row r="879" customFormat="false" ht="14.25" hidden="false" customHeight="false" outlineLevel="0" collapsed="false">
      <c r="A879" s="1" t="n">
        <v>1882</v>
      </c>
      <c r="B879" s="29" t="s">
        <v>49</v>
      </c>
      <c r="C879" s="62" t="n">
        <v>2.1</v>
      </c>
      <c r="D879" s="29" t="s">
        <v>56</v>
      </c>
      <c r="E879" s="29" t="s">
        <v>53</v>
      </c>
    </row>
    <row r="880" customFormat="false" ht="14.25" hidden="false" customHeight="false" outlineLevel="0" collapsed="false">
      <c r="A880" s="1" t="n">
        <v>1883</v>
      </c>
      <c r="B880" s="29" t="s">
        <v>61</v>
      </c>
      <c r="C880" s="62" t="n">
        <v>4.9</v>
      </c>
      <c r="D880" s="29" t="s">
        <v>50</v>
      </c>
      <c r="E880" s="29" t="s">
        <v>58</v>
      </c>
    </row>
    <row r="881" customFormat="false" ht="14.25" hidden="false" customHeight="false" outlineLevel="0" collapsed="false">
      <c r="A881" s="1" t="n">
        <v>1884</v>
      </c>
      <c r="B881" s="29" t="s">
        <v>61</v>
      </c>
      <c r="C881" s="62" t="n">
        <v>9.6</v>
      </c>
      <c r="D881" s="29" t="s">
        <v>50</v>
      </c>
      <c r="E881" s="29" t="s">
        <v>58</v>
      </c>
    </row>
    <row r="882" customFormat="false" ht="14.25" hidden="false" customHeight="false" outlineLevel="0" collapsed="false">
      <c r="A882" s="1" t="n">
        <v>1885</v>
      </c>
      <c r="B882" s="29" t="s">
        <v>61</v>
      </c>
      <c r="C882" s="62" t="n">
        <v>2.4</v>
      </c>
      <c r="D882" s="29" t="s">
        <v>60</v>
      </c>
      <c r="E882" s="29" t="s">
        <v>57</v>
      </c>
    </row>
    <row r="883" customFormat="false" ht="14.25" hidden="false" customHeight="false" outlineLevel="0" collapsed="false">
      <c r="A883" s="1" t="n">
        <v>1886</v>
      </c>
      <c r="B883" s="29" t="s">
        <v>49</v>
      </c>
      <c r="C883" s="62" t="n">
        <v>8.3</v>
      </c>
      <c r="D883" s="29" t="s">
        <v>52</v>
      </c>
      <c r="E883" s="29" t="s">
        <v>58</v>
      </c>
    </row>
    <row r="884" customFormat="false" ht="14.25" hidden="false" customHeight="false" outlineLevel="0" collapsed="false">
      <c r="A884" s="1" t="n">
        <v>1887</v>
      </c>
      <c r="B884" s="29" t="s">
        <v>49</v>
      </c>
      <c r="C884" s="62" t="n">
        <v>1.5</v>
      </c>
      <c r="D884" s="29" t="s">
        <v>63</v>
      </c>
      <c r="E884" s="29" t="s">
        <v>58</v>
      </c>
    </row>
    <row r="885" customFormat="false" ht="14.25" hidden="false" customHeight="false" outlineLevel="0" collapsed="false">
      <c r="A885" s="1" t="n">
        <v>1888</v>
      </c>
      <c r="B885" s="29" t="s">
        <v>61</v>
      </c>
      <c r="C885" s="62" t="n">
        <v>9.6</v>
      </c>
      <c r="D885" s="29" t="s">
        <v>63</v>
      </c>
      <c r="E885" s="29" t="s">
        <v>58</v>
      </c>
    </row>
    <row r="886" customFormat="false" ht="14.25" hidden="false" customHeight="false" outlineLevel="0" collapsed="false">
      <c r="A886" s="1" t="n">
        <v>1889</v>
      </c>
      <c r="B886" s="29" t="s">
        <v>49</v>
      </c>
      <c r="C886" s="62" t="n">
        <v>19.7</v>
      </c>
      <c r="D886" s="29" t="s">
        <v>63</v>
      </c>
      <c r="E886" s="29" t="s">
        <v>51</v>
      </c>
    </row>
    <row r="887" customFormat="false" ht="14.25" hidden="false" customHeight="false" outlineLevel="0" collapsed="false">
      <c r="A887" s="1" t="n">
        <v>1890</v>
      </c>
      <c r="B887" s="29" t="s">
        <v>49</v>
      </c>
      <c r="C887" s="62" t="n">
        <v>14.1</v>
      </c>
      <c r="D887" s="29" t="s">
        <v>59</v>
      </c>
      <c r="E887" s="29" t="s">
        <v>58</v>
      </c>
    </row>
    <row r="888" customFormat="false" ht="14.25" hidden="false" customHeight="false" outlineLevel="0" collapsed="false">
      <c r="A888" s="1" t="n">
        <v>1891</v>
      </c>
      <c r="B888" s="29" t="s">
        <v>49</v>
      </c>
      <c r="C888" s="62" t="n">
        <v>2.7</v>
      </c>
      <c r="D888" s="29" t="s">
        <v>56</v>
      </c>
      <c r="E888" s="29" t="s">
        <v>58</v>
      </c>
    </row>
    <row r="889" customFormat="false" ht="14.25" hidden="false" customHeight="false" outlineLevel="0" collapsed="false">
      <c r="A889" s="1" t="n">
        <v>1892</v>
      </c>
      <c r="B889" s="29" t="s">
        <v>49</v>
      </c>
      <c r="C889" s="62" t="n">
        <v>5.8</v>
      </c>
      <c r="D889" s="29" t="s">
        <v>56</v>
      </c>
      <c r="E889" s="29" t="s">
        <v>53</v>
      </c>
    </row>
    <row r="890" customFormat="false" ht="14.25" hidden="false" customHeight="false" outlineLevel="0" collapsed="false">
      <c r="A890" s="1" t="n">
        <v>1893</v>
      </c>
      <c r="B890" s="29" t="s">
        <v>49</v>
      </c>
      <c r="C890" s="62" t="n">
        <v>3.9</v>
      </c>
      <c r="D890" s="29" t="s">
        <v>59</v>
      </c>
      <c r="E890" s="29" t="s">
        <v>53</v>
      </c>
    </row>
    <row r="891" customFormat="false" ht="14.25" hidden="false" customHeight="false" outlineLevel="0" collapsed="false">
      <c r="A891" s="1" t="n">
        <v>1894</v>
      </c>
      <c r="B891" s="29" t="s">
        <v>49</v>
      </c>
      <c r="C891" s="62" t="n">
        <v>1.6</v>
      </c>
      <c r="D891" s="29" t="s">
        <v>59</v>
      </c>
      <c r="E891" s="29" t="s">
        <v>57</v>
      </c>
    </row>
    <row r="892" customFormat="false" ht="14.25" hidden="false" customHeight="false" outlineLevel="0" collapsed="false">
      <c r="A892" s="1" t="n">
        <v>1895</v>
      </c>
      <c r="B892" s="29" t="s">
        <v>54</v>
      </c>
      <c r="C892" s="62" t="n">
        <v>32.1</v>
      </c>
      <c r="D892" s="29" t="s">
        <v>59</v>
      </c>
      <c r="E892" s="29" t="s">
        <v>66</v>
      </c>
    </row>
    <row r="893" customFormat="false" ht="14.25" hidden="false" customHeight="false" outlineLevel="0" collapsed="false">
      <c r="A893" s="1" t="n">
        <v>1896</v>
      </c>
      <c r="B893" s="29" t="s">
        <v>49</v>
      </c>
      <c r="C893" s="62" t="n">
        <v>3.2</v>
      </c>
      <c r="D893" s="29" t="s">
        <v>59</v>
      </c>
      <c r="E893" s="29" t="s">
        <v>58</v>
      </c>
    </row>
    <row r="894" customFormat="false" ht="14.25" hidden="false" customHeight="false" outlineLevel="0" collapsed="false">
      <c r="A894" s="1" t="n">
        <v>1897</v>
      </c>
      <c r="B894" s="29" t="s">
        <v>49</v>
      </c>
      <c r="C894" s="62" t="n">
        <v>1.5</v>
      </c>
      <c r="D894" s="29" t="s">
        <v>59</v>
      </c>
      <c r="E894" s="29" t="s">
        <v>58</v>
      </c>
    </row>
    <row r="895" customFormat="false" ht="14.25" hidden="false" customHeight="false" outlineLevel="0" collapsed="false">
      <c r="A895" s="1" t="n">
        <v>1898</v>
      </c>
      <c r="B895" s="29" t="s">
        <v>49</v>
      </c>
      <c r="C895" s="62" t="n">
        <v>1.2</v>
      </c>
      <c r="D895" s="29" t="s">
        <v>67</v>
      </c>
      <c r="E895" s="29" t="s">
        <v>58</v>
      </c>
    </row>
    <row r="896" customFormat="false" ht="14.25" hidden="false" customHeight="false" outlineLevel="0" collapsed="false">
      <c r="A896" s="1" t="n">
        <v>1899</v>
      </c>
      <c r="B896" s="29" t="s">
        <v>49</v>
      </c>
      <c r="C896" s="62" t="n">
        <v>5.6</v>
      </c>
      <c r="D896" s="29" t="s">
        <v>63</v>
      </c>
      <c r="E896" s="29" t="s">
        <v>58</v>
      </c>
    </row>
    <row r="897" customFormat="false" ht="14.25" hidden="false" customHeight="false" outlineLevel="0" collapsed="false">
      <c r="A897" s="1" t="n">
        <v>1900</v>
      </c>
      <c r="B897" s="29" t="s">
        <v>49</v>
      </c>
      <c r="C897" s="62" t="n">
        <v>5.4</v>
      </c>
      <c r="D897" s="29" t="s">
        <v>56</v>
      </c>
      <c r="E897" s="29" t="s">
        <v>58</v>
      </c>
    </row>
    <row r="898" customFormat="false" ht="14.25" hidden="false" customHeight="false" outlineLevel="0" collapsed="false">
      <c r="A898" s="1" t="n">
        <v>1901</v>
      </c>
      <c r="B898" s="29" t="s">
        <v>49</v>
      </c>
      <c r="C898" s="62" t="n">
        <v>12</v>
      </c>
      <c r="D898" s="29" t="s">
        <v>71</v>
      </c>
      <c r="E898" s="29" t="s">
        <v>65</v>
      </c>
    </row>
    <row r="899" customFormat="false" ht="14.25" hidden="false" customHeight="false" outlineLevel="0" collapsed="false">
      <c r="A899" s="1" t="n">
        <v>1902</v>
      </c>
      <c r="B899" s="29" t="s">
        <v>49</v>
      </c>
      <c r="C899" s="62" t="n">
        <v>2.1</v>
      </c>
      <c r="D899" s="29" t="s">
        <v>67</v>
      </c>
      <c r="E899" s="29" t="s">
        <v>53</v>
      </c>
    </row>
    <row r="900" customFormat="false" ht="14.25" hidden="false" customHeight="false" outlineLevel="0" collapsed="false">
      <c r="A900" s="1" t="n">
        <v>1903</v>
      </c>
      <c r="B900" s="29" t="s">
        <v>54</v>
      </c>
      <c r="C900" s="62" t="n">
        <v>20.5</v>
      </c>
      <c r="D900" s="29" t="s">
        <v>60</v>
      </c>
      <c r="E900" s="29" t="s">
        <v>66</v>
      </c>
    </row>
    <row r="901" customFormat="false" ht="14.25" hidden="false" customHeight="false" outlineLevel="0" collapsed="false">
      <c r="A901" s="1" t="n">
        <v>1904</v>
      </c>
      <c r="B901" s="29" t="s">
        <v>49</v>
      </c>
      <c r="C901" s="62" t="n">
        <v>5.2</v>
      </c>
      <c r="D901" s="29" t="s">
        <v>56</v>
      </c>
      <c r="E901" s="29" t="s">
        <v>58</v>
      </c>
    </row>
    <row r="902" customFormat="false" ht="14.25" hidden="false" customHeight="false" outlineLevel="0" collapsed="false">
      <c r="A902" s="1" t="n">
        <v>1905</v>
      </c>
      <c r="B902" s="29" t="s">
        <v>49</v>
      </c>
      <c r="C902" s="62" t="n">
        <v>26.2</v>
      </c>
      <c r="D902" s="29" t="s">
        <v>56</v>
      </c>
      <c r="E902" s="29" t="s">
        <v>65</v>
      </c>
    </row>
    <row r="903" customFormat="false" ht="14.25" hidden="false" customHeight="false" outlineLevel="0" collapsed="false">
      <c r="A903" s="1" t="n">
        <v>1906</v>
      </c>
      <c r="B903" s="29" t="s">
        <v>49</v>
      </c>
      <c r="C903" s="62" t="n">
        <v>37.5</v>
      </c>
      <c r="D903" s="29" t="s">
        <v>63</v>
      </c>
      <c r="E903" s="29" t="s">
        <v>65</v>
      </c>
    </row>
    <row r="904" customFormat="false" ht="14.25" hidden="false" customHeight="false" outlineLevel="0" collapsed="false">
      <c r="A904" s="1" t="n">
        <v>1907</v>
      </c>
      <c r="B904" s="29" t="s">
        <v>49</v>
      </c>
      <c r="C904" s="62" t="n">
        <v>7.1</v>
      </c>
      <c r="D904" s="29" t="s">
        <v>62</v>
      </c>
      <c r="E904" s="29" t="s">
        <v>53</v>
      </c>
    </row>
    <row r="905" customFormat="false" ht="14.25" hidden="false" customHeight="false" outlineLevel="0" collapsed="false">
      <c r="A905" s="1" t="n">
        <v>1908</v>
      </c>
      <c r="B905" s="29" t="s">
        <v>49</v>
      </c>
      <c r="C905" s="62" t="n">
        <v>1.6</v>
      </c>
      <c r="D905" s="29" t="s">
        <v>62</v>
      </c>
      <c r="E905" s="29" t="s">
        <v>58</v>
      </c>
    </row>
    <row r="906" customFormat="false" ht="14.25" hidden="false" customHeight="false" outlineLevel="0" collapsed="false">
      <c r="A906" s="1" t="n">
        <v>1909</v>
      </c>
      <c r="B906" s="29" t="s">
        <v>49</v>
      </c>
      <c r="C906" s="62" t="n">
        <v>4.3</v>
      </c>
      <c r="D906" s="29" t="s">
        <v>62</v>
      </c>
      <c r="E906" s="29" t="s">
        <v>58</v>
      </c>
    </row>
    <row r="907" customFormat="false" ht="14.25" hidden="false" customHeight="false" outlineLevel="0" collapsed="false">
      <c r="A907" s="1" t="n">
        <v>1910</v>
      </c>
      <c r="B907" s="29" t="s">
        <v>49</v>
      </c>
      <c r="C907" s="62" t="n">
        <v>15</v>
      </c>
      <c r="D907" s="29" t="s">
        <v>67</v>
      </c>
      <c r="E907" s="29" t="s">
        <v>51</v>
      </c>
    </row>
    <row r="908" customFormat="false" ht="14.25" hidden="false" customHeight="false" outlineLevel="0" collapsed="false">
      <c r="A908" s="1" t="n">
        <v>1911</v>
      </c>
      <c r="B908" s="29" t="s">
        <v>49</v>
      </c>
      <c r="C908" s="62" t="n">
        <v>2.5</v>
      </c>
      <c r="D908" s="29" t="s">
        <v>60</v>
      </c>
      <c r="E908" s="29" t="s">
        <v>57</v>
      </c>
    </row>
    <row r="909" customFormat="false" ht="14.25" hidden="false" customHeight="false" outlineLevel="0" collapsed="false">
      <c r="A909" s="1" t="n">
        <v>1912</v>
      </c>
      <c r="B909" s="29" t="s">
        <v>49</v>
      </c>
      <c r="C909" s="62" t="n">
        <v>15</v>
      </c>
      <c r="D909" s="29" t="s">
        <v>71</v>
      </c>
      <c r="E909" s="29" t="s">
        <v>51</v>
      </c>
    </row>
    <row r="910" customFormat="false" ht="14.25" hidden="false" customHeight="false" outlineLevel="0" collapsed="false">
      <c r="A910" s="1" t="n">
        <v>1913</v>
      </c>
      <c r="B910" s="29" t="s">
        <v>54</v>
      </c>
      <c r="C910" s="62" t="n">
        <v>105.9</v>
      </c>
      <c r="D910" s="29" t="s">
        <v>71</v>
      </c>
      <c r="E910" s="29" t="s">
        <v>66</v>
      </c>
    </row>
    <row r="911" customFormat="false" ht="14.25" hidden="false" customHeight="false" outlineLevel="0" collapsed="false">
      <c r="A911" s="1" t="n">
        <v>1914</v>
      </c>
      <c r="B911" s="29" t="s">
        <v>54</v>
      </c>
      <c r="C911" s="62" t="n">
        <v>43</v>
      </c>
      <c r="D911" s="29" t="s">
        <v>63</v>
      </c>
      <c r="E911" s="29" t="s">
        <v>55</v>
      </c>
    </row>
    <row r="912" customFormat="false" ht="14.25" hidden="false" customHeight="false" outlineLevel="0" collapsed="false">
      <c r="A912" s="1" t="n">
        <v>1915</v>
      </c>
      <c r="B912" s="29" t="s">
        <v>49</v>
      </c>
      <c r="C912" s="62" t="n">
        <v>3.2</v>
      </c>
      <c r="D912" s="29" t="s">
        <v>63</v>
      </c>
      <c r="E912" s="29" t="s">
        <v>58</v>
      </c>
    </row>
    <row r="913" customFormat="false" ht="14.25" hidden="false" customHeight="false" outlineLevel="0" collapsed="false">
      <c r="A913" s="1" t="n">
        <v>1916</v>
      </c>
      <c r="B913" s="29" t="s">
        <v>49</v>
      </c>
      <c r="C913" s="62" t="n">
        <v>5.2</v>
      </c>
      <c r="D913" s="29" t="s">
        <v>67</v>
      </c>
      <c r="E913" s="29" t="s">
        <v>58</v>
      </c>
    </row>
    <row r="914" customFormat="false" ht="14.25" hidden="false" customHeight="false" outlineLevel="0" collapsed="false">
      <c r="A914" s="1" t="n">
        <v>1917</v>
      </c>
      <c r="B914" s="29" t="s">
        <v>61</v>
      </c>
      <c r="C914" s="62" t="n">
        <v>2.1</v>
      </c>
      <c r="D914" s="29" t="s">
        <v>59</v>
      </c>
      <c r="E914" s="29" t="s">
        <v>53</v>
      </c>
    </row>
    <row r="915" customFormat="false" ht="14.25" hidden="false" customHeight="false" outlineLevel="0" collapsed="false">
      <c r="A915" s="1" t="n">
        <v>1918</v>
      </c>
      <c r="B915" s="29" t="s">
        <v>49</v>
      </c>
      <c r="C915" s="62" t="n">
        <v>9.6</v>
      </c>
      <c r="D915" s="29" t="s">
        <v>59</v>
      </c>
      <c r="E915" s="29" t="s">
        <v>53</v>
      </c>
    </row>
    <row r="916" customFormat="false" ht="14.25" hidden="false" customHeight="false" outlineLevel="0" collapsed="false">
      <c r="A916" s="1" t="n">
        <v>1919</v>
      </c>
      <c r="B916" s="29" t="s">
        <v>49</v>
      </c>
      <c r="C916" s="62" t="n">
        <v>1.6</v>
      </c>
      <c r="D916" s="29" t="s">
        <v>59</v>
      </c>
      <c r="E916" s="29" t="s">
        <v>55</v>
      </c>
    </row>
    <row r="917" customFormat="false" ht="14.25" hidden="false" customHeight="false" outlineLevel="0" collapsed="false">
      <c r="A917" s="1" t="n">
        <v>1920</v>
      </c>
      <c r="B917" s="29" t="s">
        <v>54</v>
      </c>
      <c r="C917" s="62" t="n">
        <v>46.6</v>
      </c>
      <c r="D917" s="29" t="s">
        <v>60</v>
      </c>
      <c r="E917" s="29" t="s">
        <v>55</v>
      </c>
    </row>
    <row r="918" customFormat="false" ht="14.25" hidden="false" customHeight="false" outlineLevel="0" collapsed="false">
      <c r="A918" s="1" t="n">
        <v>1921</v>
      </c>
      <c r="B918" s="29" t="s">
        <v>49</v>
      </c>
      <c r="C918" s="62" t="n">
        <v>3.1</v>
      </c>
      <c r="D918" s="29" t="s">
        <v>59</v>
      </c>
      <c r="E918" s="29" t="s">
        <v>53</v>
      </c>
    </row>
    <row r="919" customFormat="false" ht="14.25" hidden="false" customHeight="false" outlineLevel="0" collapsed="false">
      <c r="A919" s="1" t="n">
        <v>1922</v>
      </c>
      <c r="B919" s="29" t="s">
        <v>49</v>
      </c>
      <c r="C919" s="62" t="n">
        <v>6.7</v>
      </c>
      <c r="D919" s="29" t="s">
        <v>63</v>
      </c>
      <c r="E919" s="29" t="s">
        <v>58</v>
      </c>
    </row>
    <row r="920" customFormat="false" ht="14.25" hidden="false" customHeight="false" outlineLevel="0" collapsed="false">
      <c r="A920" s="1" t="n">
        <v>1923</v>
      </c>
      <c r="B920" s="29" t="s">
        <v>49</v>
      </c>
      <c r="C920" s="62" t="n">
        <v>8</v>
      </c>
      <c r="D920" s="29" t="s">
        <v>62</v>
      </c>
      <c r="E920" s="29" t="s">
        <v>58</v>
      </c>
    </row>
    <row r="921" customFormat="false" ht="14.25" hidden="false" customHeight="false" outlineLevel="0" collapsed="false">
      <c r="A921" s="1" t="n">
        <v>1924</v>
      </c>
      <c r="B921" s="29" t="s">
        <v>54</v>
      </c>
      <c r="C921" s="62" t="n">
        <v>38.6</v>
      </c>
      <c r="D921" s="29" t="s">
        <v>71</v>
      </c>
      <c r="E921" s="29" t="s">
        <v>55</v>
      </c>
    </row>
    <row r="922" customFormat="false" ht="14.25" hidden="false" customHeight="false" outlineLevel="0" collapsed="false">
      <c r="A922" s="1" t="n">
        <v>1925</v>
      </c>
      <c r="B922" s="29" t="s">
        <v>49</v>
      </c>
      <c r="C922" s="62" t="n">
        <v>16.1</v>
      </c>
      <c r="D922" s="29" t="s">
        <v>71</v>
      </c>
      <c r="E922" s="29" t="s">
        <v>58</v>
      </c>
    </row>
    <row r="923" customFormat="false" ht="14.25" hidden="false" customHeight="false" outlineLevel="0" collapsed="false">
      <c r="A923" s="1" t="n">
        <v>1926</v>
      </c>
      <c r="B923" s="29" t="s">
        <v>49</v>
      </c>
      <c r="C923" s="62" t="n">
        <v>26.2</v>
      </c>
      <c r="D923" s="29" t="s">
        <v>62</v>
      </c>
      <c r="E923" s="29" t="s">
        <v>65</v>
      </c>
    </row>
    <row r="924" customFormat="false" ht="14.25" hidden="false" customHeight="false" outlineLevel="0" collapsed="false">
      <c r="A924" s="1" t="n">
        <v>1927</v>
      </c>
      <c r="B924" s="29" t="s">
        <v>49</v>
      </c>
      <c r="C924" s="62" t="n">
        <v>2.7</v>
      </c>
      <c r="D924" s="29" t="s">
        <v>56</v>
      </c>
      <c r="E924" s="29" t="s">
        <v>58</v>
      </c>
    </row>
    <row r="925" customFormat="false" ht="14.25" hidden="false" customHeight="false" outlineLevel="0" collapsed="false">
      <c r="A925" s="1" t="n">
        <v>1928</v>
      </c>
      <c r="B925" s="29" t="s">
        <v>49</v>
      </c>
      <c r="C925" s="62" t="n">
        <v>14.1</v>
      </c>
      <c r="D925" s="29" t="s">
        <v>59</v>
      </c>
      <c r="E925" s="29" t="s">
        <v>58</v>
      </c>
    </row>
    <row r="926" customFormat="false" ht="14.25" hidden="false" customHeight="false" outlineLevel="0" collapsed="false">
      <c r="A926" s="1" t="n">
        <v>1929</v>
      </c>
      <c r="B926" s="29" t="s">
        <v>49</v>
      </c>
      <c r="C926" s="62" t="n">
        <v>5.9</v>
      </c>
      <c r="D926" s="29" t="s">
        <v>59</v>
      </c>
      <c r="E926" s="29" t="s">
        <v>58</v>
      </c>
    </row>
    <row r="927" customFormat="false" ht="14.25" hidden="false" customHeight="false" outlineLevel="0" collapsed="false">
      <c r="A927" s="1" t="n">
        <v>1930</v>
      </c>
      <c r="B927" s="29" t="s">
        <v>49</v>
      </c>
      <c r="C927" s="62" t="n">
        <v>6</v>
      </c>
      <c r="D927" s="29" t="s">
        <v>50</v>
      </c>
      <c r="E927" s="29" t="s">
        <v>58</v>
      </c>
    </row>
    <row r="928" customFormat="false" ht="14.25" hidden="false" customHeight="false" outlineLevel="0" collapsed="false">
      <c r="A928" s="1" t="n">
        <v>1931</v>
      </c>
      <c r="B928" s="29" t="s">
        <v>49</v>
      </c>
      <c r="C928" s="62" t="n">
        <v>5.9</v>
      </c>
      <c r="D928" s="29" t="s">
        <v>59</v>
      </c>
      <c r="E928" s="29" t="s">
        <v>58</v>
      </c>
    </row>
    <row r="929" customFormat="false" ht="14.25" hidden="false" customHeight="false" outlineLevel="0" collapsed="false">
      <c r="A929" s="1" t="n">
        <v>1932</v>
      </c>
      <c r="B929" s="29" t="s">
        <v>49</v>
      </c>
      <c r="C929" s="62" t="n">
        <v>0.5</v>
      </c>
      <c r="D929" s="29" t="s">
        <v>52</v>
      </c>
      <c r="E929" s="29" t="s">
        <v>58</v>
      </c>
    </row>
    <row r="930" customFormat="false" ht="14.25" hidden="false" customHeight="false" outlineLevel="0" collapsed="false">
      <c r="A930" s="1" t="n">
        <v>1933</v>
      </c>
      <c r="B930" s="29" t="s">
        <v>49</v>
      </c>
      <c r="C930" s="62" t="n">
        <v>7.8</v>
      </c>
      <c r="D930" s="29" t="s">
        <v>50</v>
      </c>
      <c r="E930" s="29" t="s">
        <v>58</v>
      </c>
    </row>
    <row r="931" customFormat="false" ht="14.25" hidden="false" customHeight="false" outlineLevel="0" collapsed="false">
      <c r="A931" s="1" t="n">
        <v>1934</v>
      </c>
      <c r="B931" s="29" t="s">
        <v>49</v>
      </c>
      <c r="C931" s="62" t="n">
        <v>9.6</v>
      </c>
      <c r="D931" s="29" t="s">
        <v>56</v>
      </c>
      <c r="E931" s="29" t="s">
        <v>58</v>
      </c>
    </row>
    <row r="932" customFormat="false" ht="14.25" hidden="false" customHeight="false" outlineLevel="0" collapsed="false">
      <c r="A932" s="1" t="n">
        <v>1935</v>
      </c>
      <c r="B932" s="29" t="s">
        <v>54</v>
      </c>
      <c r="C932" s="62" t="n">
        <v>9.3</v>
      </c>
      <c r="D932" s="29" t="s">
        <v>63</v>
      </c>
      <c r="E932" s="29" t="s">
        <v>55</v>
      </c>
    </row>
    <row r="933" customFormat="false" ht="14.25" hidden="false" customHeight="false" outlineLevel="0" collapsed="false">
      <c r="A933" s="1" t="n">
        <v>1936</v>
      </c>
      <c r="B933" s="29" t="s">
        <v>49</v>
      </c>
      <c r="C933" s="62" t="n">
        <v>1.3</v>
      </c>
      <c r="D933" s="29" t="s">
        <v>62</v>
      </c>
      <c r="E933" s="29" t="s">
        <v>53</v>
      </c>
    </row>
    <row r="934" customFormat="false" ht="14.25" hidden="false" customHeight="false" outlineLevel="0" collapsed="false">
      <c r="A934" s="1" t="n">
        <v>1937</v>
      </c>
      <c r="B934" s="29" t="s">
        <v>49</v>
      </c>
      <c r="C934" s="62" t="n">
        <v>6.5</v>
      </c>
      <c r="D934" s="29" t="s">
        <v>71</v>
      </c>
      <c r="E934" s="29" t="s">
        <v>58</v>
      </c>
    </row>
    <row r="935" customFormat="false" ht="14.25" hidden="false" customHeight="false" outlineLevel="0" collapsed="false">
      <c r="A935" s="1" t="n">
        <v>1938</v>
      </c>
      <c r="B935" s="29" t="s">
        <v>49</v>
      </c>
      <c r="C935" s="62" t="n">
        <v>5.6</v>
      </c>
      <c r="D935" s="29" t="s">
        <v>71</v>
      </c>
      <c r="E935" s="29" t="s">
        <v>58</v>
      </c>
    </row>
    <row r="936" customFormat="false" ht="14.25" hidden="false" customHeight="false" outlineLevel="0" collapsed="false">
      <c r="A936" s="1" t="n">
        <v>1939</v>
      </c>
      <c r="B936" s="29" t="s">
        <v>49</v>
      </c>
      <c r="C936" s="62" t="n">
        <v>3.7</v>
      </c>
      <c r="D936" s="29" t="s">
        <v>59</v>
      </c>
      <c r="E936" s="29" t="s">
        <v>58</v>
      </c>
    </row>
    <row r="937" customFormat="false" ht="14.25" hidden="false" customHeight="false" outlineLevel="0" collapsed="false">
      <c r="A937" s="1" t="n">
        <v>1940</v>
      </c>
      <c r="B937" s="29" t="s">
        <v>49</v>
      </c>
      <c r="C937" s="62" t="n">
        <v>21.4</v>
      </c>
      <c r="D937" s="29" t="s">
        <v>52</v>
      </c>
      <c r="E937" s="29" t="s">
        <v>58</v>
      </c>
    </row>
    <row r="938" customFormat="false" ht="14.25" hidden="false" customHeight="false" outlineLevel="0" collapsed="false">
      <c r="A938" s="1" t="n">
        <v>1941</v>
      </c>
      <c r="B938" s="29" t="s">
        <v>49</v>
      </c>
      <c r="C938" s="62" t="n">
        <v>3.2</v>
      </c>
      <c r="D938" s="29" t="s">
        <v>52</v>
      </c>
      <c r="E938" s="29" t="s">
        <v>57</v>
      </c>
    </row>
    <row r="939" customFormat="false" ht="14.25" hidden="false" customHeight="false" outlineLevel="0" collapsed="false">
      <c r="A939" s="1" t="n">
        <v>1942</v>
      </c>
      <c r="B939" s="29" t="s">
        <v>54</v>
      </c>
      <c r="C939" s="62" t="n">
        <v>74.2</v>
      </c>
      <c r="D939" s="29" t="s">
        <v>52</v>
      </c>
      <c r="E939" s="29" t="s">
        <v>66</v>
      </c>
    </row>
    <row r="940" customFormat="false" ht="14.25" hidden="false" customHeight="false" outlineLevel="0" collapsed="false">
      <c r="A940" s="1" t="n">
        <v>1943</v>
      </c>
      <c r="B940" s="29" t="s">
        <v>49</v>
      </c>
      <c r="C940" s="62" t="n">
        <v>13.9</v>
      </c>
      <c r="D940" s="29" t="s">
        <v>60</v>
      </c>
      <c r="E940" s="29" t="s">
        <v>58</v>
      </c>
    </row>
    <row r="941" customFormat="false" ht="14.25" hidden="false" customHeight="false" outlineLevel="0" collapsed="false">
      <c r="A941" s="1" t="n">
        <v>1944</v>
      </c>
      <c r="B941" s="29" t="s">
        <v>49</v>
      </c>
      <c r="C941" s="62" t="n">
        <v>0.9</v>
      </c>
      <c r="D941" s="29" t="s">
        <v>60</v>
      </c>
      <c r="E941" s="29" t="s">
        <v>57</v>
      </c>
    </row>
    <row r="942" customFormat="false" ht="14.25" hidden="false" customHeight="false" outlineLevel="0" collapsed="false">
      <c r="A942" s="1" t="n">
        <v>1945</v>
      </c>
      <c r="B942" s="29" t="s">
        <v>61</v>
      </c>
      <c r="C942" s="62" t="n">
        <v>2.5</v>
      </c>
      <c r="D942" s="29" t="s">
        <v>52</v>
      </c>
      <c r="E942" s="29" t="s">
        <v>53</v>
      </c>
    </row>
    <row r="943" customFormat="false" ht="14.25" hidden="false" customHeight="false" outlineLevel="0" collapsed="false">
      <c r="A943" s="1" t="n">
        <v>1946</v>
      </c>
      <c r="B943" s="29" t="s">
        <v>49</v>
      </c>
      <c r="C943" s="62" t="n">
        <v>3.2</v>
      </c>
      <c r="D943" s="29" t="s">
        <v>59</v>
      </c>
      <c r="E943" s="29" t="s">
        <v>58</v>
      </c>
    </row>
    <row r="944" customFormat="false" ht="14.25" hidden="false" customHeight="false" outlineLevel="0" collapsed="false">
      <c r="A944" s="1" t="n">
        <v>1947</v>
      </c>
      <c r="B944" s="29" t="s">
        <v>49</v>
      </c>
      <c r="C944" s="62" t="n">
        <v>21.4</v>
      </c>
      <c r="D944" s="29" t="s">
        <v>59</v>
      </c>
      <c r="E944" s="29" t="s">
        <v>58</v>
      </c>
    </row>
    <row r="945" customFormat="false" ht="14.25" hidden="false" customHeight="false" outlineLevel="0" collapsed="false">
      <c r="A945" s="1" t="n">
        <v>1948</v>
      </c>
      <c r="B945" s="29" t="s">
        <v>49</v>
      </c>
      <c r="C945" s="62" t="n">
        <v>6.1</v>
      </c>
      <c r="D945" s="29" t="s">
        <v>52</v>
      </c>
      <c r="E945" s="29" t="s">
        <v>58</v>
      </c>
    </row>
    <row r="946" customFormat="false" ht="14.25" hidden="false" customHeight="false" outlineLevel="0" collapsed="false">
      <c r="A946" s="1" t="n">
        <v>1949</v>
      </c>
      <c r="B946" s="29" t="s">
        <v>49</v>
      </c>
      <c r="C946" s="62" t="n">
        <v>4.5</v>
      </c>
      <c r="D946" s="29" t="s">
        <v>63</v>
      </c>
      <c r="E946" s="29" t="s">
        <v>58</v>
      </c>
    </row>
    <row r="947" customFormat="false" ht="14.25" hidden="false" customHeight="false" outlineLevel="0" collapsed="false">
      <c r="A947" s="1" t="n">
        <v>1950</v>
      </c>
      <c r="B947" s="29" t="s">
        <v>49</v>
      </c>
      <c r="C947" s="62" t="n">
        <v>8.3</v>
      </c>
      <c r="D947" s="29" t="s">
        <v>63</v>
      </c>
      <c r="E947" s="29" t="s">
        <v>53</v>
      </c>
    </row>
    <row r="948" customFormat="false" ht="14.25" hidden="false" customHeight="false" outlineLevel="0" collapsed="false">
      <c r="A948" s="1" t="n">
        <v>1951</v>
      </c>
      <c r="B948" s="29" t="s">
        <v>49</v>
      </c>
      <c r="C948" s="62" t="n">
        <v>1</v>
      </c>
      <c r="D948" s="29" t="s">
        <v>62</v>
      </c>
      <c r="E948" s="29" t="s">
        <v>57</v>
      </c>
    </row>
    <row r="949" customFormat="false" ht="14.25" hidden="false" customHeight="false" outlineLevel="0" collapsed="false">
      <c r="A949" s="1" t="n">
        <v>1952</v>
      </c>
      <c r="B949" s="29" t="s">
        <v>49</v>
      </c>
      <c r="C949" s="62" t="n">
        <v>3.6</v>
      </c>
      <c r="D949" s="29" t="s">
        <v>62</v>
      </c>
      <c r="E949" s="29" t="s">
        <v>53</v>
      </c>
    </row>
    <row r="950" customFormat="false" ht="14.25" hidden="false" customHeight="false" outlineLevel="0" collapsed="false">
      <c r="A950" s="1" t="n">
        <v>1953</v>
      </c>
      <c r="B950" s="29" t="s">
        <v>49</v>
      </c>
      <c r="C950" s="62" t="n">
        <v>5.4</v>
      </c>
      <c r="D950" s="29" t="s">
        <v>50</v>
      </c>
      <c r="E950" s="29" t="s">
        <v>53</v>
      </c>
    </row>
    <row r="951" customFormat="false" ht="14.25" hidden="false" customHeight="false" outlineLevel="0" collapsed="false">
      <c r="A951" s="1" t="n">
        <v>1954</v>
      </c>
      <c r="B951" s="29" t="s">
        <v>49</v>
      </c>
      <c r="C951" s="62" t="n">
        <v>52.4</v>
      </c>
      <c r="D951" s="29" t="s">
        <v>59</v>
      </c>
      <c r="E951" s="29" t="s">
        <v>65</v>
      </c>
    </row>
    <row r="952" customFormat="false" ht="14.25" hidden="false" customHeight="false" outlineLevel="0" collapsed="false">
      <c r="A952" s="1" t="n">
        <v>1955</v>
      </c>
      <c r="B952" s="29" t="s">
        <v>49</v>
      </c>
      <c r="C952" s="62" t="n">
        <v>5</v>
      </c>
      <c r="D952" s="29" t="s">
        <v>59</v>
      </c>
      <c r="E952" s="29" t="s">
        <v>53</v>
      </c>
    </row>
    <row r="953" customFormat="false" ht="14.25" hidden="false" customHeight="false" outlineLevel="0" collapsed="false">
      <c r="A953" s="1" t="n">
        <v>1956</v>
      </c>
      <c r="B953" s="29" t="s">
        <v>49</v>
      </c>
      <c r="C953" s="62" t="n">
        <v>1.6</v>
      </c>
      <c r="D953" s="29" t="s">
        <v>59</v>
      </c>
      <c r="E953" s="29" t="s">
        <v>58</v>
      </c>
    </row>
    <row r="954" customFormat="false" ht="14.25" hidden="false" customHeight="false" outlineLevel="0" collapsed="false">
      <c r="A954" s="1" t="n">
        <v>1957</v>
      </c>
      <c r="B954" s="29" t="s">
        <v>61</v>
      </c>
      <c r="C954" s="62" t="n">
        <v>8.9</v>
      </c>
      <c r="D954" s="29" t="s">
        <v>63</v>
      </c>
      <c r="E954" s="29" t="s">
        <v>58</v>
      </c>
    </row>
    <row r="955" customFormat="false" ht="14.25" hidden="false" customHeight="false" outlineLevel="0" collapsed="false">
      <c r="A955" s="1" t="n">
        <v>1958</v>
      </c>
      <c r="B955" s="29" t="s">
        <v>49</v>
      </c>
      <c r="C955" s="62" t="n">
        <v>7</v>
      </c>
      <c r="D955" s="29" t="s">
        <v>52</v>
      </c>
      <c r="E955" s="29" t="s">
        <v>58</v>
      </c>
    </row>
    <row r="956" customFormat="false" ht="14.25" hidden="false" customHeight="false" outlineLevel="0" collapsed="false">
      <c r="A956" s="1" t="n">
        <v>1959</v>
      </c>
      <c r="B956" s="29" t="s">
        <v>49</v>
      </c>
      <c r="C956" s="62" t="n">
        <v>21.4</v>
      </c>
      <c r="D956" s="29" t="s">
        <v>52</v>
      </c>
      <c r="E956" s="29" t="s">
        <v>58</v>
      </c>
    </row>
    <row r="957" customFormat="false" ht="14.25" hidden="false" customHeight="false" outlineLevel="0" collapsed="false">
      <c r="A957" s="1" t="n">
        <v>1960</v>
      </c>
      <c r="B957" s="29" t="s">
        <v>49</v>
      </c>
      <c r="C957" s="62" t="n">
        <v>9.6</v>
      </c>
      <c r="D957" s="29" t="s">
        <v>52</v>
      </c>
      <c r="E957" s="29" t="s">
        <v>58</v>
      </c>
    </row>
    <row r="958" customFormat="false" ht="14.25" hidden="false" customHeight="false" outlineLevel="0" collapsed="false">
      <c r="A958" s="1" t="n">
        <v>1961</v>
      </c>
      <c r="B958" s="29" t="s">
        <v>49</v>
      </c>
      <c r="C958" s="62" t="n">
        <v>7</v>
      </c>
      <c r="D958" s="29" t="s">
        <v>52</v>
      </c>
      <c r="E958" s="29" t="s">
        <v>58</v>
      </c>
    </row>
    <row r="959" customFormat="false" ht="14.25" hidden="false" customHeight="false" outlineLevel="0" collapsed="false">
      <c r="A959" s="1" t="n">
        <v>1962</v>
      </c>
      <c r="B959" s="29" t="s">
        <v>49</v>
      </c>
      <c r="C959" s="62" t="n">
        <v>2.7</v>
      </c>
      <c r="D959" s="29" t="s">
        <v>71</v>
      </c>
      <c r="E959" s="29" t="s">
        <v>58</v>
      </c>
    </row>
    <row r="960" customFormat="false" ht="14.25" hidden="false" customHeight="false" outlineLevel="0" collapsed="false">
      <c r="A960" s="1" t="n">
        <v>1963</v>
      </c>
      <c r="B960" s="29" t="s">
        <v>49</v>
      </c>
      <c r="C960" s="62" t="n">
        <v>8.5</v>
      </c>
      <c r="D960" s="29" t="s">
        <v>56</v>
      </c>
      <c r="E960" s="29" t="s">
        <v>58</v>
      </c>
    </row>
    <row r="961" customFormat="false" ht="14.25" hidden="false" customHeight="false" outlineLevel="0" collapsed="false">
      <c r="A961" s="1" t="n">
        <v>1964</v>
      </c>
      <c r="B961" s="29" t="s">
        <v>49</v>
      </c>
      <c r="C961" s="62" t="n">
        <v>2.7</v>
      </c>
      <c r="D961" s="29" t="s">
        <v>52</v>
      </c>
      <c r="E961" s="29" t="s">
        <v>58</v>
      </c>
    </row>
    <row r="962" customFormat="false" ht="14.25" hidden="false" customHeight="false" outlineLevel="0" collapsed="false">
      <c r="A962" s="1" t="n">
        <v>1965</v>
      </c>
      <c r="B962" s="29" t="s">
        <v>61</v>
      </c>
      <c r="C962" s="62" t="n">
        <v>21.4</v>
      </c>
      <c r="D962" s="29" t="s">
        <v>60</v>
      </c>
      <c r="E962" s="29" t="s">
        <v>58</v>
      </c>
    </row>
    <row r="963" customFormat="false" ht="14.25" hidden="false" customHeight="false" outlineLevel="0" collapsed="false">
      <c r="A963" s="1" t="n">
        <v>1966</v>
      </c>
      <c r="B963" s="29" t="s">
        <v>54</v>
      </c>
      <c r="C963" s="62" t="n">
        <v>15.7</v>
      </c>
      <c r="D963" s="29" t="s">
        <v>62</v>
      </c>
      <c r="E963" s="29" t="s">
        <v>66</v>
      </c>
    </row>
    <row r="964" customFormat="false" ht="14.25" hidden="false" customHeight="false" outlineLevel="0" collapsed="false">
      <c r="A964" s="1" t="n">
        <v>1967</v>
      </c>
      <c r="B964" s="29" t="s">
        <v>49</v>
      </c>
      <c r="C964" s="62" t="n">
        <v>3.2</v>
      </c>
      <c r="D964" s="29" t="s">
        <v>71</v>
      </c>
      <c r="E964" s="29" t="s">
        <v>58</v>
      </c>
    </row>
    <row r="965" customFormat="false" ht="14.25" hidden="false" customHeight="false" outlineLevel="0" collapsed="false">
      <c r="A965" s="1" t="n">
        <v>1968</v>
      </c>
      <c r="B965" s="29" t="s">
        <v>49</v>
      </c>
      <c r="C965" s="62" t="n">
        <v>2.1</v>
      </c>
      <c r="D965" s="29" t="s">
        <v>52</v>
      </c>
      <c r="E965" s="29" t="s">
        <v>53</v>
      </c>
    </row>
    <row r="966" customFormat="false" ht="14.25" hidden="false" customHeight="false" outlineLevel="0" collapsed="false">
      <c r="A966" s="1" t="n">
        <v>1969</v>
      </c>
      <c r="B966" s="29" t="s">
        <v>49</v>
      </c>
      <c r="C966" s="62" t="n">
        <v>10.4</v>
      </c>
      <c r="D966" s="29" t="s">
        <v>52</v>
      </c>
      <c r="E966" s="29" t="s">
        <v>58</v>
      </c>
    </row>
    <row r="967" customFormat="false" ht="14.25" hidden="false" customHeight="false" outlineLevel="0" collapsed="false">
      <c r="A967" s="1" t="n">
        <v>1970</v>
      </c>
      <c r="B967" s="29" t="s">
        <v>54</v>
      </c>
      <c r="C967" s="62" t="n">
        <v>25.4</v>
      </c>
      <c r="D967" s="29" t="s">
        <v>56</v>
      </c>
      <c r="E967" s="29" t="s">
        <v>66</v>
      </c>
    </row>
    <row r="968" customFormat="false" ht="14.25" hidden="false" customHeight="false" outlineLevel="0" collapsed="false">
      <c r="A968" s="1" t="n">
        <v>1971</v>
      </c>
      <c r="B968" s="29" t="s">
        <v>61</v>
      </c>
      <c r="C968" s="62" t="n">
        <v>1.1</v>
      </c>
      <c r="D968" s="29" t="s">
        <v>62</v>
      </c>
      <c r="E968" s="29" t="s">
        <v>57</v>
      </c>
    </row>
    <row r="969" customFormat="false" ht="14.25" hidden="false" customHeight="false" outlineLevel="0" collapsed="false">
      <c r="A969" s="1" t="n">
        <v>1972</v>
      </c>
      <c r="B969" s="29" t="s">
        <v>49</v>
      </c>
      <c r="C969" s="62" t="n">
        <v>26.2</v>
      </c>
      <c r="D969" s="29" t="s">
        <v>62</v>
      </c>
      <c r="E969" s="29" t="s">
        <v>65</v>
      </c>
    </row>
    <row r="970" customFormat="false" ht="14.25" hidden="false" customHeight="false" outlineLevel="0" collapsed="false">
      <c r="A970" s="1" t="n">
        <v>1973</v>
      </c>
      <c r="B970" s="29" t="s">
        <v>61</v>
      </c>
      <c r="C970" s="62" t="n">
        <v>9.6</v>
      </c>
      <c r="D970" s="29" t="s">
        <v>59</v>
      </c>
      <c r="E970" s="29" t="s">
        <v>58</v>
      </c>
    </row>
    <row r="971" customFormat="false" ht="14.25" hidden="false" customHeight="false" outlineLevel="0" collapsed="false">
      <c r="A971" s="1" t="n">
        <v>1974</v>
      </c>
      <c r="B971" s="29" t="s">
        <v>49</v>
      </c>
      <c r="C971" s="62" t="n">
        <v>0.7</v>
      </c>
      <c r="D971" s="29" t="s">
        <v>50</v>
      </c>
      <c r="E971" s="29" t="s">
        <v>57</v>
      </c>
    </row>
    <row r="972" customFormat="false" ht="14.25" hidden="false" customHeight="false" outlineLevel="0" collapsed="false">
      <c r="A972" s="1" t="n">
        <v>1975</v>
      </c>
      <c r="B972" s="29" t="s">
        <v>54</v>
      </c>
      <c r="C972" s="62" t="n">
        <v>25.4</v>
      </c>
      <c r="D972" s="29" t="s">
        <v>50</v>
      </c>
      <c r="E972" s="29" t="s">
        <v>66</v>
      </c>
    </row>
    <row r="973" customFormat="false" ht="14.25" hidden="false" customHeight="false" outlineLevel="0" collapsed="false">
      <c r="A973" s="1" t="n">
        <v>1976</v>
      </c>
      <c r="B973" s="29" t="s">
        <v>54</v>
      </c>
      <c r="C973" s="62" t="n">
        <v>17.2</v>
      </c>
      <c r="D973" s="29" t="s">
        <v>50</v>
      </c>
      <c r="E973" s="29" t="s">
        <v>66</v>
      </c>
    </row>
    <row r="974" customFormat="false" ht="14.25" hidden="false" customHeight="false" outlineLevel="0" collapsed="false">
      <c r="A974" s="1" t="n">
        <v>1977</v>
      </c>
      <c r="B974" s="29" t="s">
        <v>61</v>
      </c>
      <c r="C974" s="62" t="n">
        <v>37.5</v>
      </c>
      <c r="D974" s="29" t="s">
        <v>59</v>
      </c>
      <c r="E974" s="29" t="s">
        <v>65</v>
      </c>
    </row>
    <row r="975" customFormat="false" ht="14.25" hidden="false" customHeight="false" outlineLevel="0" collapsed="false">
      <c r="A975" s="1" t="n">
        <v>1978</v>
      </c>
      <c r="B975" s="29" t="s">
        <v>49</v>
      </c>
      <c r="C975" s="62" t="n">
        <v>8.6</v>
      </c>
      <c r="D975" s="29" t="s">
        <v>59</v>
      </c>
      <c r="E975" s="29" t="s">
        <v>58</v>
      </c>
    </row>
    <row r="976" customFormat="false" ht="14.25" hidden="false" customHeight="false" outlineLevel="0" collapsed="false">
      <c r="A976" s="1" t="n">
        <v>1979</v>
      </c>
      <c r="B976" s="29" t="s">
        <v>49</v>
      </c>
      <c r="C976" s="62" t="n">
        <v>21.4</v>
      </c>
      <c r="D976" s="29" t="s">
        <v>60</v>
      </c>
      <c r="E976" s="29" t="s">
        <v>58</v>
      </c>
    </row>
    <row r="977" customFormat="false" ht="14.25" hidden="false" customHeight="false" outlineLevel="0" collapsed="false">
      <c r="A977" s="1" t="n">
        <v>1980</v>
      </c>
      <c r="B977" s="29" t="s">
        <v>49</v>
      </c>
      <c r="C977" s="62" t="n">
        <v>9.3</v>
      </c>
      <c r="D977" s="29" t="s">
        <v>59</v>
      </c>
      <c r="E977" s="29" t="s">
        <v>58</v>
      </c>
    </row>
    <row r="978" customFormat="false" ht="14.25" hidden="false" customHeight="false" outlineLevel="0" collapsed="false">
      <c r="A978" s="1" t="n">
        <v>1981</v>
      </c>
      <c r="B978" s="29" t="s">
        <v>49</v>
      </c>
      <c r="C978" s="62" t="n">
        <v>2.7</v>
      </c>
      <c r="D978" s="29" t="s">
        <v>59</v>
      </c>
      <c r="E978" s="29" t="s">
        <v>58</v>
      </c>
    </row>
    <row r="979" customFormat="false" ht="14.25" hidden="false" customHeight="false" outlineLevel="0" collapsed="false">
      <c r="A979" s="1" t="n">
        <v>1982</v>
      </c>
      <c r="B979" s="29" t="s">
        <v>49</v>
      </c>
      <c r="C979" s="62" t="n">
        <v>4.3</v>
      </c>
      <c r="D979" s="29" t="s">
        <v>59</v>
      </c>
      <c r="E979" s="29" t="s">
        <v>57</v>
      </c>
    </row>
    <row r="980" customFormat="false" ht="14.25" hidden="false" customHeight="false" outlineLevel="0" collapsed="false">
      <c r="A980" s="1" t="n">
        <v>1983</v>
      </c>
      <c r="B980" s="29" t="s">
        <v>49</v>
      </c>
      <c r="C980" s="62" t="n">
        <v>2.5</v>
      </c>
      <c r="D980" s="29" t="s">
        <v>59</v>
      </c>
      <c r="E980" s="29" t="s">
        <v>53</v>
      </c>
    </row>
    <row r="981" customFormat="false" ht="14.25" hidden="false" customHeight="false" outlineLevel="0" collapsed="false">
      <c r="A981" s="1" t="n">
        <v>1984</v>
      </c>
      <c r="B981" s="29" t="s">
        <v>49</v>
      </c>
      <c r="C981" s="62" t="n">
        <v>2.1</v>
      </c>
      <c r="D981" s="29" t="s">
        <v>56</v>
      </c>
      <c r="E981" s="29" t="s">
        <v>53</v>
      </c>
    </row>
    <row r="982" customFormat="false" ht="14.25" hidden="false" customHeight="false" outlineLevel="0" collapsed="false">
      <c r="A982" s="1" t="n">
        <v>1985</v>
      </c>
      <c r="B982" s="29" t="s">
        <v>49</v>
      </c>
      <c r="C982" s="62" t="n">
        <v>1.6</v>
      </c>
      <c r="D982" s="29" t="s">
        <v>60</v>
      </c>
      <c r="E982" s="29" t="s">
        <v>58</v>
      </c>
    </row>
    <row r="983" customFormat="false" ht="14.25" hidden="false" customHeight="false" outlineLevel="0" collapsed="false">
      <c r="A983" s="1" t="n">
        <v>1986</v>
      </c>
      <c r="B983" s="29" t="s">
        <v>49</v>
      </c>
      <c r="C983" s="62" t="n">
        <v>1.6</v>
      </c>
      <c r="D983" s="29" t="s">
        <v>60</v>
      </c>
      <c r="E983" s="29" t="s">
        <v>58</v>
      </c>
    </row>
    <row r="984" customFormat="false" ht="14.25" hidden="false" customHeight="false" outlineLevel="0" collapsed="false">
      <c r="A984" s="1" t="n">
        <v>1987</v>
      </c>
      <c r="B984" s="29" t="s">
        <v>54</v>
      </c>
      <c r="C984" s="62" t="n">
        <v>44.8</v>
      </c>
      <c r="D984" s="29" t="s">
        <v>71</v>
      </c>
      <c r="E984" s="29" t="s">
        <v>55</v>
      </c>
    </row>
    <row r="985" customFormat="false" ht="14.25" hidden="false" customHeight="false" outlineLevel="0" collapsed="false">
      <c r="A985" s="1" t="n">
        <v>1988</v>
      </c>
      <c r="B985" s="29" t="s">
        <v>49</v>
      </c>
      <c r="C985" s="62" t="n">
        <v>1.5</v>
      </c>
      <c r="D985" s="29" t="s">
        <v>52</v>
      </c>
      <c r="E985" s="29" t="s">
        <v>58</v>
      </c>
    </row>
    <row r="986" customFormat="false" ht="14.25" hidden="false" customHeight="false" outlineLevel="0" collapsed="false">
      <c r="A986" s="1" t="n">
        <v>1989</v>
      </c>
      <c r="B986" s="29" t="s">
        <v>49</v>
      </c>
      <c r="C986" s="62" t="n">
        <v>26.2</v>
      </c>
      <c r="D986" s="29" t="s">
        <v>50</v>
      </c>
      <c r="E986" s="29" t="s">
        <v>65</v>
      </c>
    </row>
    <row r="987" customFormat="false" ht="14.25" hidden="false" customHeight="false" outlineLevel="0" collapsed="false">
      <c r="A987" s="1" t="n">
        <v>1990</v>
      </c>
      <c r="B987" s="29" t="s">
        <v>49</v>
      </c>
      <c r="C987" s="62" t="n">
        <v>5.6</v>
      </c>
      <c r="D987" s="29" t="s">
        <v>50</v>
      </c>
      <c r="E987" s="29" t="s">
        <v>58</v>
      </c>
    </row>
    <row r="988" customFormat="false" ht="14.25" hidden="false" customHeight="false" outlineLevel="0" collapsed="false">
      <c r="A988" s="1" t="n">
        <v>1991</v>
      </c>
      <c r="B988" s="29" t="s">
        <v>49</v>
      </c>
      <c r="C988" s="62" t="n">
        <v>2.6</v>
      </c>
      <c r="D988" s="29" t="s">
        <v>52</v>
      </c>
      <c r="E988" s="29" t="s">
        <v>57</v>
      </c>
    </row>
    <row r="989" customFormat="false" ht="14.25" hidden="false" customHeight="false" outlineLevel="0" collapsed="false">
      <c r="A989" s="1" t="n">
        <v>1992</v>
      </c>
      <c r="B989" s="29" t="s">
        <v>49</v>
      </c>
      <c r="C989" s="62" t="n">
        <v>2.5</v>
      </c>
      <c r="D989" s="29" t="s">
        <v>59</v>
      </c>
      <c r="E989" s="29" t="s">
        <v>53</v>
      </c>
    </row>
    <row r="990" customFormat="false" ht="14.25" hidden="false" customHeight="false" outlineLevel="0" collapsed="false">
      <c r="A990" s="1" t="n">
        <v>1993</v>
      </c>
      <c r="B990" s="29" t="s">
        <v>49</v>
      </c>
      <c r="C990" s="62" t="n">
        <v>8.7</v>
      </c>
      <c r="D990" s="29" t="s">
        <v>60</v>
      </c>
      <c r="E990" s="29" t="s">
        <v>58</v>
      </c>
    </row>
    <row r="991" customFormat="false" ht="14.25" hidden="false" customHeight="false" outlineLevel="0" collapsed="false">
      <c r="A991" s="1" t="n">
        <v>1994</v>
      </c>
      <c r="B991" s="29" t="s">
        <v>49</v>
      </c>
      <c r="C991" s="62" t="n">
        <v>1.1</v>
      </c>
      <c r="D991" s="29" t="s">
        <v>56</v>
      </c>
      <c r="E991" s="29" t="s">
        <v>58</v>
      </c>
    </row>
    <row r="992" customFormat="false" ht="14.25" hidden="false" customHeight="false" outlineLevel="0" collapsed="false">
      <c r="A992" s="1" t="n">
        <v>1995</v>
      </c>
      <c r="B992" s="29" t="s">
        <v>54</v>
      </c>
      <c r="C992" s="62" t="n">
        <v>37.5</v>
      </c>
      <c r="D992" s="29" t="s">
        <v>71</v>
      </c>
      <c r="E992" s="29" t="s">
        <v>55</v>
      </c>
    </row>
    <row r="993" customFormat="false" ht="14.25" hidden="false" customHeight="false" outlineLevel="0" collapsed="false">
      <c r="A993" s="1" t="n">
        <v>1996</v>
      </c>
      <c r="B993" s="29" t="s">
        <v>49</v>
      </c>
      <c r="C993" s="62" t="n">
        <v>21.4</v>
      </c>
      <c r="D993" s="29" t="s">
        <v>71</v>
      </c>
      <c r="E993" s="29" t="s">
        <v>58</v>
      </c>
    </row>
    <row r="994" customFormat="false" ht="14.25" hidden="false" customHeight="false" outlineLevel="0" collapsed="false">
      <c r="A994" s="1" t="n">
        <v>1997</v>
      </c>
      <c r="B994" s="29" t="s">
        <v>49</v>
      </c>
      <c r="C994" s="62" t="n">
        <v>6.3</v>
      </c>
      <c r="D994" s="29" t="s">
        <v>50</v>
      </c>
      <c r="E994" s="29" t="s">
        <v>58</v>
      </c>
    </row>
    <row r="995" customFormat="false" ht="14.25" hidden="false" customHeight="false" outlineLevel="0" collapsed="false">
      <c r="A995" s="1" t="n">
        <v>1998</v>
      </c>
      <c r="B995" s="29" t="s">
        <v>49</v>
      </c>
      <c r="C995" s="62" t="n">
        <v>6.3</v>
      </c>
      <c r="D995" s="29" t="s">
        <v>59</v>
      </c>
      <c r="E995" s="29" t="s">
        <v>58</v>
      </c>
    </row>
    <row r="996" customFormat="false" ht="14.25" hidden="false" customHeight="false" outlineLevel="0" collapsed="false">
      <c r="A996" s="1" t="n">
        <v>1999</v>
      </c>
      <c r="B996" s="29" t="s">
        <v>49</v>
      </c>
      <c r="C996" s="62" t="n">
        <v>7.7</v>
      </c>
      <c r="D996" s="29" t="s">
        <v>59</v>
      </c>
      <c r="E996" s="29" t="s">
        <v>58</v>
      </c>
    </row>
    <row r="997" customFormat="false" ht="14.25" hidden="false" customHeight="false" outlineLevel="0" collapsed="false">
      <c r="A997" s="1" t="n">
        <v>2000</v>
      </c>
      <c r="B997" s="29" t="s">
        <v>54</v>
      </c>
      <c r="C997" s="62" t="n">
        <v>27.8</v>
      </c>
      <c r="D997" s="29" t="s">
        <v>60</v>
      </c>
      <c r="E997" s="29" t="s">
        <v>66</v>
      </c>
    </row>
    <row r="998" customFormat="false" ht="14.25" hidden="false" customHeight="false" outlineLevel="0" collapsed="false">
      <c r="A998" s="1" t="n">
        <v>2001</v>
      </c>
      <c r="B998" s="29" t="s">
        <v>49</v>
      </c>
      <c r="C998" s="62" t="n">
        <v>5.6</v>
      </c>
      <c r="D998" s="29" t="s">
        <v>60</v>
      </c>
      <c r="E998" s="29" t="s">
        <v>58</v>
      </c>
    </row>
    <row r="999" customFormat="false" ht="14.25" hidden="false" customHeight="false" outlineLevel="0" collapsed="false">
      <c r="A999" s="1" t="n">
        <v>2002</v>
      </c>
      <c r="B999" s="29" t="s">
        <v>49</v>
      </c>
      <c r="C999" s="62" t="n">
        <v>3.2</v>
      </c>
      <c r="D999" s="29" t="s">
        <v>56</v>
      </c>
      <c r="E999" s="29" t="s">
        <v>58</v>
      </c>
    </row>
    <row r="1000" customFormat="false" ht="14.25" hidden="false" customHeight="false" outlineLevel="0" collapsed="false">
      <c r="A1000" s="1" t="n">
        <v>2003</v>
      </c>
      <c r="B1000" s="29" t="s">
        <v>54</v>
      </c>
      <c r="C1000" s="62" t="n">
        <v>59.1</v>
      </c>
      <c r="D1000" s="29" t="s">
        <v>70</v>
      </c>
      <c r="E1000" s="29" t="s">
        <v>66</v>
      </c>
    </row>
    <row r="1001" customFormat="false" ht="14.25" hidden="false" customHeight="false" outlineLevel="0" collapsed="false">
      <c r="A1001" s="1" t="n">
        <v>2004</v>
      </c>
      <c r="B1001" s="29" t="s">
        <v>49</v>
      </c>
      <c r="C1001" s="62" t="n">
        <v>9.6</v>
      </c>
      <c r="D1001" s="29" t="s">
        <v>62</v>
      </c>
      <c r="E1001" s="29" t="s">
        <v>58</v>
      </c>
    </row>
    <row r="1002" customFormat="false" ht="14.25" hidden="false" customHeight="false" outlineLevel="0" collapsed="false">
      <c r="A1002" s="1" t="n">
        <v>2005</v>
      </c>
      <c r="B1002" s="29" t="s">
        <v>54</v>
      </c>
      <c r="C1002" s="62" t="n">
        <v>74.5</v>
      </c>
      <c r="D1002" s="29" t="s">
        <v>59</v>
      </c>
      <c r="E1002" s="29" t="s">
        <v>55</v>
      </c>
    </row>
    <row r="1003" customFormat="false" ht="14.25" hidden="false" customHeight="false" outlineLevel="0" collapsed="false">
      <c r="A1003" s="1" t="n">
        <v>2006</v>
      </c>
      <c r="B1003" s="29" t="s">
        <v>49</v>
      </c>
      <c r="C1003" s="62" t="n">
        <v>13.9</v>
      </c>
      <c r="D1003" s="29" t="s">
        <v>60</v>
      </c>
      <c r="E1003" s="29" t="s">
        <v>58</v>
      </c>
    </row>
    <row r="1004" customFormat="false" ht="14.25" hidden="false" customHeight="false" outlineLevel="0" collapsed="false">
      <c r="A1004" s="1" t="n">
        <v>2007</v>
      </c>
      <c r="B1004" s="29" t="s">
        <v>49</v>
      </c>
      <c r="C1004" s="62" t="n">
        <v>1.2</v>
      </c>
      <c r="D1004" s="29" t="s">
        <v>60</v>
      </c>
      <c r="E1004" s="29" t="s">
        <v>58</v>
      </c>
    </row>
    <row r="1005" customFormat="false" ht="14.25" hidden="false" customHeight="false" outlineLevel="0" collapsed="false">
      <c r="A1005" s="1" t="n">
        <v>2008</v>
      </c>
      <c r="B1005" s="29" t="s">
        <v>54</v>
      </c>
      <c r="C1005" s="62" t="n">
        <v>57.9</v>
      </c>
      <c r="D1005" s="29" t="s">
        <v>60</v>
      </c>
      <c r="E1005" s="29" t="s">
        <v>55</v>
      </c>
    </row>
    <row r="1006" customFormat="false" ht="14.25" hidden="false" customHeight="false" outlineLevel="0" collapsed="false">
      <c r="A1006" s="1" t="n">
        <v>2009</v>
      </c>
      <c r="B1006" s="29" t="s">
        <v>54</v>
      </c>
      <c r="C1006" s="62" t="n">
        <v>17.8</v>
      </c>
      <c r="D1006" s="29" t="s">
        <v>60</v>
      </c>
      <c r="E1006" s="29" t="s">
        <v>55</v>
      </c>
    </row>
    <row r="1007" customFormat="false" ht="14.25" hidden="false" customHeight="false" outlineLevel="0" collapsed="false">
      <c r="A1007" s="1" t="n">
        <v>2010</v>
      </c>
      <c r="B1007" s="29" t="s">
        <v>49</v>
      </c>
      <c r="C1007" s="62" t="n">
        <v>4.8</v>
      </c>
      <c r="D1007" s="29" t="s">
        <v>60</v>
      </c>
      <c r="E1007" s="29" t="s">
        <v>58</v>
      </c>
    </row>
    <row r="1008" customFormat="false" ht="14.25" hidden="false" customHeight="false" outlineLevel="0" collapsed="false">
      <c r="A1008" s="1" t="n">
        <v>2011</v>
      </c>
      <c r="B1008" s="29" t="s">
        <v>49</v>
      </c>
      <c r="C1008" s="62" t="n">
        <v>8.1</v>
      </c>
      <c r="D1008" s="29" t="s">
        <v>59</v>
      </c>
      <c r="E1008" s="29" t="s">
        <v>58</v>
      </c>
    </row>
    <row r="1009" customFormat="false" ht="14.25" hidden="false" customHeight="false" outlineLevel="0" collapsed="false">
      <c r="A1009" s="1" t="n">
        <v>2012</v>
      </c>
      <c r="B1009" s="29" t="s">
        <v>49</v>
      </c>
      <c r="C1009" s="62" t="n">
        <v>2.8</v>
      </c>
      <c r="D1009" s="29" t="s">
        <v>59</v>
      </c>
      <c r="E1009" s="29" t="s">
        <v>53</v>
      </c>
    </row>
    <row r="1010" customFormat="false" ht="14.25" hidden="false" customHeight="false" outlineLevel="0" collapsed="false">
      <c r="A1010" s="1" t="n">
        <v>2013</v>
      </c>
      <c r="B1010" s="29" t="s">
        <v>49</v>
      </c>
      <c r="C1010" s="62" t="n">
        <v>5.7</v>
      </c>
      <c r="D1010" s="29" t="s">
        <v>62</v>
      </c>
      <c r="E1010" s="29" t="s">
        <v>58</v>
      </c>
    </row>
    <row r="1011" customFormat="false" ht="14.25" hidden="false" customHeight="false" outlineLevel="0" collapsed="false">
      <c r="A1011" s="1" t="n">
        <v>2014</v>
      </c>
      <c r="B1011" s="29" t="s">
        <v>61</v>
      </c>
      <c r="C1011" s="62" t="n">
        <v>9.4</v>
      </c>
      <c r="D1011" s="29" t="s">
        <v>62</v>
      </c>
      <c r="E1011" s="29" t="s">
        <v>58</v>
      </c>
    </row>
    <row r="1012" customFormat="false" ht="14.25" hidden="false" customHeight="false" outlineLevel="0" collapsed="false">
      <c r="A1012" s="1" t="n">
        <v>2015</v>
      </c>
      <c r="B1012" s="29" t="s">
        <v>49</v>
      </c>
      <c r="C1012" s="62" t="n">
        <v>5.4</v>
      </c>
      <c r="D1012" s="29" t="s">
        <v>59</v>
      </c>
      <c r="E1012" s="29" t="s">
        <v>58</v>
      </c>
    </row>
    <row r="1013" customFormat="false" ht="14.25" hidden="false" customHeight="false" outlineLevel="0" collapsed="false">
      <c r="A1013" s="1" t="n">
        <v>2016</v>
      </c>
      <c r="B1013" s="29" t="s">
        <v>61</v>
      </c>
      <c r="C1013" s="62" t="n">
        <v>5.6</v>
      </c>
      <c r="D1013" s="29" t="s">
        <v>59</v>
      </c>
      <c r="E1013" s="29" t="s">
        <v>58</v>
      </c>
    </row>
    <row r="1014" customFormat="false" ht="14.25" hidden="false" customHeight="false" outlineLevel="0" collapsed="false">
      <c r="A1014" s="1" t="n">
        <v>2017</v>
      </c>
      <c r="B1014" s="29" t="s">
        <v>54</v>
      </c>
      <c r="C1014" s="62" t="n">
        <v>25.2</v>
      </c>
      <c r="D1014" s="29" t="s">
        <v>59</v>
      </c>
      <c r="E1014" s="29" t="s">
        <v>55</v>
      </c>
    </row>
    <row r="1015" customFormat="false" ht="14.25" hidden="false" customHeight="false" outlineLevel="0" collapsed="false">
      <c r="A1015" s="1" t="n">
        <v>2018</v>
      </c>
      <c r="B1015" s="29" t="s">
        <v>49</v>
      </c>
      <c r="C1015" s="62" t="n">
        <v>10.4</v>
      </c>
      <c r="D1015" s="29" t="s">
        <v>59</v>
      </c>
      <c r="E1015" s="29" t="s">
        <v>58</v>
      </c>
    </row>
    <row r="1016" customFormat="false" ht="14.25" hidden="false" customHeight="false" outlineLevel="0" collapsed="false">
      <c r="A1016" s="1" t="n">
        <v>2019</v>
      </c>
      <c r="B1016" s="29" t="s">
        <v>61</v>
      </c>
      <c r="C1016" s="62" t="n">
        <v>4.3</v>
      </c>
      <c r="D1016" s="29" t="s">
        <v>52</v>
      </c>
      <c r="E1016" s="29" t="s">
        <v>58</v>
      </c>
    </row>
    <row r="1017" customFormat="false" ht="14.25" hidden="false" customHeight="false" outlineLevel="0" collapsed="false">
      <c r="A1017" s="1" t="n">
        <v>2020</v>
      </c>
      <c r="B1017" s="29" t="s">
        <v>49</v>
      </c>
      <c r="C1017" s="62" t="n">
        <v>10.2</v>
      </c>
      <c r="D1017" s="29" t="s">
        <v>56</v>
      </c>
      <c r="E1017" s="29" t="s">
        <v>58</v>
      </c>
    </row>
    <row r="1018" customFormat="false" ht="14.25" hidden="false" customHeight="false" outlineLevel="0" collapsed="false">
      <c r="A1018" s="1" t="n">
        <v>2021</v>
      </c>
      <c r="B1018" s="29" t="s">
        <v>49</v>
      </c>
      <c r="C1018" s="62" t="n">
        <v>9.6</v>
      </c>
      <c r="D1018" s="29" t="s">
        <v>59</v>
      </c>
      <c r="E1018" s="29" t="s">
        <v>53</v>
      </c>
    </row>
    <row r="1019" customFormat="false" ht="14.25" hidden="false" customHeight="false" outlineLevel="0" collapsed="false">
      <c r="A1019" s="1" t="n">
        <v>2022</v>
      </c>
      <c r="B1019" s="29" t="s">
        <v>61</v>
      </c>
      <c r="C1019" s="62" t="n">
        <v>7.4</v>
      </c>
      <c r="D1019" s="29" t="s">
        <v>59</v>
      </c>
      <c r="E1019" s="29" t="s">
        <v>58</v>
      </c>
    </row>
    <row r="1020" customFormat="false" ht="14.25" hidden="false" customHeight="false" outlineLevel="0" collapsed="false">
      <c r="A1020" s="1" t="n">
        <v>2023</v>
      </c>
      <c r="B1020" s="29" t="s">
        <v>61</v>
      </c>
      <c r="C1020" s="62" t="n">
        <v>1.2</v>
      </c>
      <c r="D1020" s="29" t="s">
        <v>68</v>
      </c>
      <c r="E1020" s="29" t="s">
        <v>57</v>
      </c>
    </row>
    <row r="1021" customFormat="false" ht="14.25" hidden="false" customHeight="false" outlineLevel="0" collapsed="false">
      <c r="A1021" s="1" t="n">
        <v>2024</v>
      </c>
      <c r="B1021" s="29" t="s">
        <v>49</v>
      </c>
      <c r="C1021" s="62" t="n">
        <v>2.1</v>
      </c>
      <c r="D1021" s="29" t="s">
        <v>52</v>
      </c>
      <c r="E1021" s="29" t="s">
        <v>53</v>
      </c>
    </row>
    <row r="1022" customFormat="false" ht="14.25" hidden="false" customHeight="false" outlineLevel="0" collapsed="false">
      <c r="A1022" s="1" t="n">
        <v>2025</v>
      </c>
      <c r="B1022" s="29" t="s">
        <v>61</v>
      </c>
      <c r="C1022" s="62" t="n">
        <v>17.9</v>
      </c>
      <c r="D1022" s="29" t="s">
        <v>52</v>
      </c>
      <c r="E1022" s="29" t="s">
        <v>58</v>
      </c>
    </row>
    <row r="1023" customFormat="false" ht="14.25" hidden="false" customHeight="false" outlineLevel="0" collapsed="false">
      <c r="A1023" s="1" t="n">
        <v>2026</v>
      </c>
      <c r="B1023" s="29" t="s">
        <v>49</v>
      </c>
      <c r="C1023" s="62" t="n">
        <v>37.5</v>
      </c>
      <c r="D1023" s="29" t="s">
        <v>71</v>
      </c>
      <c r="E1023" s="29" t="s">
        <v>65</v>
      </c>
    </row>
    <row r="1024" customFormat="false" ht="14.25" hidden="false" customHeight="false" outlineLevel="0" collapsed="false">
      <c r="A1024" s="1" t="n">
        <v>2027</v>
      </c>
      <c r="B1024" s="29" t="s">
        <v>49</v>
      </c>
      <c r="C1024" s="62" t="n">
        <v>26.2</v>
      </c>
      <c r="D1024" s="29" t="s">
        <v>71</v>
      </c>
      <c r="E1024" s="29" t="s">
        <v>65</v>
      </c>
    </row>
    <row r="1025" customFormat="false" ht="14.25" hidden="false" customHeight="false" outlineLevel="0" collapsed="false">
      <c r="A1025" s="1" t="n">
        <v>2028</v>
      </c>
      <c r="B1025" s="29" t="s">
        <v>49</v>
      </c>
      <c r="C1025" s="62" t="n">
        <v>1.1</v>
      </c>
      <c r="D1025" s="29" t="s">
        <v>56</v>
      </c>
      <c r="E1025" s="29" t="s">
        <v>57</v>
      </c>
    </row>
    <row r="1026" customFormat="false" ht="14.25" hidden="false" customHeight="false" outlineLevel="0" collapsed="false">
      <c r="A1026" s="1" t="n">
        <v>2029</v>
      </c>
      <c r="B1026" s="29" t="s">
        <v>49</v>
      </c>
      <c r="C1026" s="62" t="n">
        <v>9.6</v>
      </c>
      <c r="D1026" s="29" t="s">
        <v>59</v>
      </c>
      <c r="E1026" s="29" t="s">
        <v>58</v>
      </c>
    </row>
    <row r="1027" customFormat="false" ht="14.25" hidden="false" customHeight="false" outlineLevel="0" collapsed="false">
      <c r="A1027" s="1" t="n">
        <v>2030</v>
      </c>
      <c r="B1027" s="29" t="s">
        <v>61</v>
      </c>
      <c r="C1027" s="62" t="n">
        <v>1.2</v>
      </c>
      <c r="D1027" s="29" t="s">
        <v>59</v>
      </c>
      <c r="E1027" s="29" t="s">
        <v>57</v>
      </c>
    </row>
    <row r="1028" customFormat="false" ht="14.25" hidden="false" customHeight="false" outlineLevel="0" collapsed="false">
      <c r="A1028" s="1" t="n">
        <v>2031</v>
      </c>
      <c r="B1028" s="29" t="s">
        <v>54</v>
      </c>
      <c r="C1028" s="62" t="n">
        <v>43</v>
      </c>
      <c r="D1028" s="29" t="s">
        <v>63</v>
      </c>
      <c r="E1028" s="29" t="s">
        <v>55</v>
      </c>
    </row>
    <row r="1029" customFormat="false" ht="14.25" hidden="false" customHeight="false" outlineLevel="0" collapsed="false">
      <c r="A1029" s="1" t="n">
        <v>2032</v>
      </c>
      <c r="B1029" s="29" t="s">
        <v>49</v>
      </c>
      <c r="C1029" s="62" t="n">
        <v>0.5</v>
      </c>
      <c r="D1029" s="29" t="s">
        <v>52</v>
      </c>
      <c r="E1029" s="29" t="s">
        <v>58</v>
      </c>
    </row>
    <row r="1030" customFormat="false" ht="14.25" hidden="false" customHeight="false" outlineLevel="0" collapsed="false">
      <c r="A1030" s="1" t="n">
        <v>2033</v>
      </c>
      <c r="B1030" s="29" t="s">
        <v>49</v>
      </c>
      <c r="C1030" s="62" t="n">
        <v>7.6</v>
      </c>
      <c r="D1030" s="29" t="s">
        <v>62</v>
      </c>
      <c r="E1030" s="29" t="s">
        <v>57</v>
      </c>
    </row>
    <row r="1031" customFormat="false" ht="14.25" hidden="false" customHeight="false" outlineLevel="0" collapsed="false">
      <c r="A1031" s="1" t="n">
        <v>2034</v>
      </c>
      <c r="B1031" s="29" t="s">
        <v>49</v>
      </c>
      <c r="C1031" s="62" t="n">
        <v>5.4</v>
      </c>
      <c r="D1031" s="29" t="s">
        <v>52</v>
      </c>
      <c r="E1031" s="29" t="s">
        <v>58</v>
      </c>
    </row>
    <row r="1032" customFormat="false" ht="14.25" hidden="false" customHeight="false" outlineLevel="0" collapsed="false">
      <c r="A1032" s="1" t="n">
        <v>2035</v>
      </c>
      <c r="B1032" s="29" t="s">
        <v>54</v>
      </c>
      <c r="C1032" s="62" t="n">
        <v>24.8</v>
      </c>
      <c r="D1032" s="29" t="s">
        <v>59</v>
      </c>
      <c r="E1032" s="29" t="s">
        <v>66</v>
      </c>
    </row>
    <row r="1033" customFormat="false" ht="14.25" hidden="false" customHeight="false" outlineLevel="0" collapsed="false">
      <c r="A1033" s="1" t="n">
        <v>2036</v>
      </c>
      <c r="B1033" s="29" t="s">
        <v>54</v>
      </c>
      <c r="C1033" s="62" t="n">
        <v>32.1</v>
      </c>
      <c r="D1033" s="29" t="s">
        <v>59</v>
      </c>
      <c r="E1033" s="29" t="s">
        <v>66</v>
      </c>
    </row>
    <row r="1034" customFormat="false" ht="14.25" hidden="false" customHeight="false" outlineLevel="0" collapsed="false">
      <c r="A1034" s="1" t="n">
        <v>2037</v>
      </c>
      <c r="B1034" s="29" t="s">
        <v>49</v>
      </c>
      <c r="C1034" s="62" t="n">
        <v>4.7</v>
      </c>
      <c r="D1034" s="29" t="s">
        <v>59</v>
      </c>
      <c r="E1034" s="29" t="s">
        <v>53</v>
      </c>
    </row>
    <row r="1035" customFormat="false" ht="14.25" hidden="false" customHeight="false" outlineLevel="0" collapsed="false">
      <c r="A1035" s="1" t="n">
        <v>2038</v>
      </c>
      <c r="B1035" s="29" t="s">
        <v>49</v>
      </c>
      <c r="C1035" s="62" t="n">
        <v>2.7</v>
      </c>
      <c r="D1035" s="29" t="s">
        <v>59</v>
      </c>
      <c r="E1035" s="29" t="s">
        <v>58</v>
      </c>
    </row>
    <row r="1036" customFormat="false" ht="14.25" hidden="false" customHeight="false" outlineLevel="0" collapsed="false">
      <c r="A1036" s="1" t="n">
        <v>2039</v>
      </c>
      <c r="B1036" s="29" t="s">
        <v>49</v>
      </c>
      <c r="C1036" s="62" t="n">
        <v>13.5</v>
      </c>
      <c r="D1036" s="29" t="s">
        <v>50</v>
      </c>
      <c r="E1036" s="29" t="s">
        <v>58</v>
      </c>
    </row>
    <row r="1037" customFormat="false" ht="14.25" hidden="false" customHeight="false" outlineLevel="0" collapsed="false">
      <c r="A1037" s="1" t="n">
        <v>2040</v>
      </c>
      <c r="B1037" s="29" t="s">
        <v>49</v>
      </c>
      <c r="C1037" s="62" t="n">
        <v>1.1</v>
      </c>
      <c r="D1037" s="29" t="s">
        <v>52</v>
      </c>
      <c r="E1037" s="29" t="s">
        <v>58</v>
      </c>
    </row>
    <row r="1038" customFormat="false" ht="14.25" hidden="false" customHeight="false" outlineLevel="0" collapsed="false">
      <c r="A1038" s="1" t="n">
        <v>2041</v>
      </c>
      <c r="B1038" s="29" t="s">
        <v>49</v>
      </c>
      <c r="C1038" s="62" t="n">
        <v>15.5</v>
      </c>
      <c r="D1038" s="29" t="s">
        <v>71</v>
      </c>
      <c r="E1038" s="29" t="s">
        <v>65</v>
      </c>
    </row>
    <row r="1039" customFormat="false" ht="14.25" hidden="false" customHeight="false" outlineLevel="0" collapsed="false">
      <c r="A1039" s="1" t="n">
        <v>2042</v>
      </c>
      <c r="B1039" s="29" t="s">
        <v>49</v>
      </c>
      <c r="C1039" s="62" t="n">
        <v>2.1</v>
      </c>
      <c r="D1039" s="29" t="s">
        <v>63</v>
      </c>
      <c r="E1039" s="29" t="s">
        <v>53</v>
      </c>
    </row>
    <row r="1040" customFormat="false" ht="14.25" hidden="false" customHeight="false" outlineLevel="0" collapsed="false">
      <c r="A1040" s="1" t="n">
        <v>2043</v>
      </c>
      <c r="B1040" s="29" t="s">
        <v>49</v>
      </c>
      <c r="C1040" s="62" t="n">
        <v>5.4</v>
      </c>
      <c r="D1040" s="29" t="s">
        <v>63</v>
      </c>
      <c r="E1040" s="29" t="s">
        <v>58</v>
      </c>
    </row>
    <row r="1041" customFormat="false" ht="14.25" hidden="false" customHeight="false" outlineLevel="0" collapsed="false">
      <c r="A1041" s="1" t="n">
        <v>2044</v>
      </c>
      <c r="B1041" s="29" t="s">
        <v>49</v>
      </c>
      <c r="C1041" s="62" t="n">
        <v>9.6</v>
      </c>
      <c r="D1041" s="29" t="s">
        <v>63</v>
      </c>
      <c r="E1041" s="29" t="s">
        <v>53</v>
      </c>
    </row>
    <row r="1042" customFormat="false" ht="14.25" hidden="false" customHeight="false" outlineLevel="0" collapsed="false">
      <c r="A1042" s="1" t="n">
        <v>2045</v>
      </c>
      <c r="B1042" s="29" t="s">
        <v>49</v>
      </c>
      <c r="C1042" s="62" t="n">
        <v>73.8</v>
      </c>
      <c r="D1042" s="29" t="s">
        <v>63</v>
      </c>
      <c r="E1042" s="29" t="s">
        <v>65</v>
      </c>
    </row>
    <row r="1043" customFormat="false" ht="14.25" hidden="false" customHeight="false" outlineLevel="0" collapsed="false">
      <c r="A1043" s="1" t="n">
        <v>2046</v>
      </c>
      <c r="B1043" s="29" t="s">
        <v>49</v>
      </c>
      <c r="C1043" s="62" t="n">
        <v>3.2</v>
      </c>
      <c r="D1043" s="29" t="s">
        <v>50</v>
      </c>
      <c r="E1043" s="29" t="s">
        <v>58</v>
      </c>
    </row>
    <row r="1044" customFormat="false" ht="14.25" hidden="false" customHeight="false" outlineLevel="0" collapsed="false">
      <c r="A1044" s="1" t="n">
        <v>2047</v>
      </c>
      <c r="B1044" s="29" t="s">
        <v>49</v>
      </c>
      <c r="C1044" s="62" t="n">
        <v>10.9</v>
      </c>
      <c r="D1044" s="29" t="s">
        <v>50</v>
      </c>
      <c r="E1044" s="29" t="s">
        <v>65</v>
      </c>
    </row>
    <row r="1045" customFormat="false" ht="14.25" hidden="false" customHeight="false" outlineLevel="0" collapsed="false">
      <c r="A1045" s="1" t="n">
        <v>2048</v>
      </c>
      <c r="B1045" s="29" t="s">
        <v>61</v>
      </c>
      <c r="C1045" s="62" t="n">
        <v>1.6</v>
      </c>
      <c r="D1045" s="29" t="s">
        <v>67</v>
      </c>
      <c r="E1045" s="29" t="s">
        <v>58</v>
      </c>
    </row>
    <row r="1046" customFormat="false" ht="14.25" hidden="false" customHeight="false" outlineLevel="0" collapsed="false">
      <c r="A1046" s="1" t="n">
        <v>2049</v>
      </c>
      <c r="B1046" s="29" t="s">
        <v>49</v>
      </c>
      <c r="C1046" s="62" t="n">
        <v>5.3</v>
      </c>
      <c r="D1046" s="29" t="s">
        <v>50</v>
      </c>
      <c r="E1046" s="29" t="s">
        <v>58</v>
      </c>
    </row>
    <row r="1047" customFormat="false" ht="14.25" hidden="false" customHeight="false" outlineLevel="0" collapsed="false">
      <c r="A1047" s="1" t="n">
        <v>2050</v>
      </c>
      <c r="B1047" s="29" t="s">
        <v>49</v>
      </c>
      <c r="C1047" s="62" t="n">
        <v>4.3</v>
      </c>
      <c r="D1047" s="29" t="s">
        <v>63</v>
      </c>
      <c r="E1047" s="29" t="s">
        <v>58</v>
      </c>
    </row>
    <row r="1048" customFormat="false" ht="14.25" hidden="false" customHeight="false" outlineLevel="0" collapsed="false">
      <c r="A1048" s="1" t="n">
        <v>2051</v>
      </c>
      <c r="B1048" s="29" t="s">
        <v>49</v>
      </c>
      <c r="C1048" s="62" t="n">
        <v>6</v>
      </c>
      <c r="D1048" s="29" t="s">
        <v>52</v>
      </c>
      <c r="E1048" s="29" t="s">
        <v>58</v>
      </c>
    </row>
    <row r="1049" customFormat="false" ht="14.25" hidden="false" customHeight="false" outlineLevel="0" collapsed="false">
      <c r="A1049" s="1" t="n">
        <v>2052</v>
      </c>
      <c r="B1049" s="29" t="s">
        <v>54</v>
      </c>
      <c r="C1049" s="62" t="n">
        <v>44.9</v>
      </c>
      <c r="D1049" s="29" t="s">
        <v>63</v>
      </c>
      <c r="E1049" s="29" t="s">
        <v>66</v>
      </c>
    </row>
    <row r="1050" customFormat="false" ht="14.25" hidden="false" customHeight="false" outlineLevel="0" collapsed="false">
      <c r="A1050" s="1" t="n">
        <v>2053</v>
      </c>
      <c r="B1050" s="29" t="s">
        <v>49</v>
      </c>
      <c r="C1050" s="62" t="n">
        <v>3.9</v>
      </c>
      <c r="D1050" s="29" t="s">
        <v>52</v>
      </c>
      <c r="E1050" s="29" t="s">
        <v>57</v>
      </c>
    </row>
    <row r="1051" customFormat="false" ht="14.25" hidden="false" customHeight="false" outlineLevel="0" collapsed="false">
      <c r="A1051" s="1" t="n">
        <v>2054</v>
      </c>
      <c r="B1051" s="29" t="s">
        <v>49</v>
      </c>
      <c r="C1051" s="62" t="n">
        <v>26.2</v>
      </c>
      <c r="D1051" s="29" t="s">
        <v>71</v>
      </c>
      <c r="E1051" s="29" t="s">
        <v>65</v>
      </c>
    </row>
    <row r="1052" customFormat="false" ht="14.25" hidden="false" customHeight="false" outlineLevel="0" collapsed="false">
      <c r="A1052" s="1" t="n">
        <v>2055</v>
      </c>
      <c r="B1052" s="29" t="s">
        <v>49</v>
      </c>
      <c r="C1052" s="62" t="n">
        <v>2.1</v>
      </c>
      <c r="D1052" s="29" t="s">
        <v>71</v>
      </c>
      <c r="E1052" s="29" t="s">
        <v>53</v>
      </c>
    </row>
    <row r="1053" customFormat="false" ht="14.25" hidden="false" customHeight="false" outlineLevel="0" collapsed="false">
      <c r="A1053" s="1" t="n">
        <v>2056</v>
      </c>
      <c r="B1053" s="29" t="s">
        <v>49</v>
      </c>
      <c r="C1053" s="62" t="n">
        <v>1.6</v>
      </c>
      <c r="D1053" s="29" t="s">
        <v>71</v>
      </c>
      <c r="E1053" s="29" t="s">
        <v>58</v>
      </c>
    </row>
    <row r="1054" customFormat="false" ht="14.25" hidden="false" customHeight="false" outlineLevel="0" collapsed="false">
      <c r="A1054" s="1" t="n">
        <v>2057</v>
      </c>
      <c r="B1054" s="29" t="s">
        <v>49</v>
      </c>
      <c r="C1054" s="62" t="n">
        <v>2.7</v>
      </c>
      <c r="D1054" s="29" t="s">
        <v>52</v>
      </c>
      <c r="E1054" s="29" t="s">
        <v>58</v>
      </c>
    </row>
    <row r="1055" customFormat="false" ht="14.25" hidden="false" customHeight="false" outlineLevel="0" collapsed="false">
      <c r="A1055" s="1" t="n">
        <v>2058</v>
      </c>
      <c r="B1055" s="29" t="s">
        <v>49</v>
      </c>
      <c r="C1055" s="62" t="n">
        <v>2.5</v>
      </c>
      <c r="D1055" s="29" t="s">
        <v>52</v>
      </c>
      <c r="E1055" s="29" t="s">
        <v>53</v>
      </c>
    </row>
    <row r="1056" customFormat="false" ht="14.25" hidden="false" customHeight="false" outlineLevel="0" collapsed="false">
      <c r="A1056" s="1" t="n">
        <v>2059</v>
      </c>
      <c r="B1056" s="29" t="s">
        <v>49</v>
      </c>
      <c r="C1056" s="62" t="n">
        <v>7.8</v>
      </c>
      <c r="D1056" s="29" t="s">
        <v>52</v>
      </c>
      <c r="E1056" s="29" t="s">
        <v>58</v>
      </c>
    </row>
    <row r="1057" customFormat="false" ht="14.25" hidden="false" customHeight="false" outlineLevel="0" collapsed="false">
      <c r="A1057" s="1" t="n">
        <v>2060</v>
      </c>
      <c r="B1057" s="29" t="s">
        <v>49</v>
      </c>
      <c r="C1057" s="62" t="n">
        <v>1.4</v>
      </c>
      <c r="D1057" s="29" t="s">
        <v>52</v>
      </c>
      <c r="E1057" s="29" t="s">
        <v>57</v>
      </c>
    </row>
    <row r="1058" customFormat="false" ht="14.25" hidden="false" customHeight="false" outlineLevel="0" collapsed="false">
      <c r="A1058" s="1" t="n">
        <v>2061</v>
      </c>
      <c r="B1058" s="29" t="s">
        <v>61</v>
      </c>
      <c r="C1058" s="62" t="n">
        <v>7.8</v>
      </c>
      <c r="D1058" s="29" t="s">
        <v>59</v>
      </c>
      <c r="E1058" s="29" t="s">
        <v>58</v>
      </c>
    </row>
    <row r="1059" customFormat="false" ht="14.25" hidden="false" customHeight="false" outlineLevel="0" collapsed="false">
      <c r="A1059" s="1" t="n">
        <v>2062</v>
      </c>
      <c r="B1059" s="29" t="s">
        <v>49</v>
      </c>
      <c r="C1059" s="62" t="n">
        <v>6.9</v>
      </c>
      <c r="D1059" s="29" t="s">
        <v>62</v>
      </c>
      <c r="E1059" s="29" t="s">
        <v>58</v>
      </c>
    </row>
    <row r="1060" customFormat="false" ht="14.25" hidden="false" customHeight="false" outlineLevel="0" collapsed="false">
      <c r="A1060" s="1" t="n">
        <v>2063</v>
      </c>
      <c r="B1060" s="29" t="s">
        <v>54</v>
      </c>
      <c r="C1060" s="62" t="n">
        <v>25.4</v>
      </c>
      <c r="D1060" s="29" t="s">
        <v>62</v>
      </c>
      <c r="E1060" s="29" t="s">
        <v>66</v>
      </c>
    </row>
    <row r="1061" customFormat="false" ht="14.25" hidden="false" customHeight="false" outlineLevel="0" collapsed="false">
      <c r="A1061" s="1" t="n">
        <v>2064</v>
      </c>
      <c r="B1061" s="29" t="s">
        <v>49</v>
      </c>
      <c r="C1061" s="62" t="n">
        <v>21.4</v>
      </c>
      <c r="D1061" s="29" t="s">
        <v>59</v>
      </c>
      <c r="E1061" s="29" t="s">
        <v>58</v>
      </c>
    </row>
    <row r="1062" customFormat="false" ht="14.25" hidden="false" customHeight="false" outlineLevel="0" collapsed="false">
      <c r="A1062" s="1" t="n">
        <v>2065</v>
      </c>
      <c r="B1062" s="29" t="s">
        <v>49</v>
      </c>
      <c r="C1062" s="62" t="n">
        <v>0.7</v>
      </c>
      <c r="D1062" s="29" t="s">
        <v>59</v>
      </c>
      <c r="E1062" s="29" t="s">
        <v>57</v>
      </c>
    </row>
    <row r="1063" customFormat="false" ht="14.25" hidden="false" customHeight="false" outlineLevel="0" collapsed="false">
      <c r="A1063" s="1" t="n">
        <v>2066</v>
      </c>
      <c r="B1063" s="29" t="s">
        <v>54</v>
      </c>
      <c r="C1063" s="62" t="n">
        <v>70.9</v>
      </c>
      <c r="D1063" s="29" t="s">
        <v>50</v>
      </c>
      <c r="E1063" s="29" t="s">
        <v>55</v>
      </c>
    </row>
    <row r="1064" customFormat="false" ht="14.25" hidden="false" customHeight="false" outlineLevel="0" collapsed="false">
      <c r="A1064" s="1" t="n">
        <v>2067</v>
      </c>
      <c r="B1064" s="29" t="s">
        <v>54</v>
      </c>
      <c r="C1064" s="62" t="n">
        <v>20.5</v>
      </c>
      <c r="D1064" s="29" t="s">
        <v>60</v>
      </c>
      <c r="E1064" s="29" t="s">
        <v>66</v>
      </c>
    </row>
    <row r="1065" customFormat="false" ht="14.25" hidden="false" customHeight="false" outlineLevel="0" collapsed="false">
      <c r="A1065" s="1" t="n">
        <v>2068</v>
      </c>
      <c r="B1065" s="29" t="s">
        <v>49</v>
      </c>
      <c r="C1065" s="62" t="n">
        <v>37.5</v>
      </c>
      <c r="D1065" s="29" t="s">
        <v>52</v>
      </c>
      <c r="E1065" s="29" t="s">
        <v>65</v>
      </c>
    </row>
    <row r="1066" customFormat="false" ht="14.25" hidden="false" customHeight="false" outlineLevel="0" collapsed="false">
      <c r="A1066" s="1" t="n">
        <v>2069</v>
      </c>
      <c r="B1066" s="29" t="s">
        <v>49</v>
      </c>
      <c r="C1066" s="62" t="n">
        <v>4.7</v>
      </c>
      <c r="D1066" s="29" t="s">
        <v>50</v>
      </c>
      <c r="E1066" s="29" t="s">
        <v>57</v>
      </c>
    </row>
    <row r="1067" customFormat="false" ht="14.25" hidden="false" customHeight="false" outlineLevel="0" collapsed="false">
      <c r="A1067" s="1" t="n">
        <v>2070</v>
      </c>
      <c r="B1067" s="29" t="s">
        <v>49</v>
      </c>
      <c r="C1067" s="62" t="n">
        <v>9.6</v>
      </c>
      <c r="D1067" s="29" t="s">
        <v>50</v>
      </c>
      <c r="E1067" s="29" t="s">
        <v>58</v>
      </c>
    </row>
    <row r="1068" customFormat="false" ht="14.25" hidden="false" customHeight="false" outlineLevel="0" collapsed="false">
      <c r="A1068" s="1" t="n">
        <v>2071</v>
      </c>
      <c r="B1068" s="29" t="s">
        <v>54</v>
      </c>
      <c r="C1068" s="62" t="n">
        <v>44.9</v>
      </c>
      <c r="D1068" s="29" t="s">
        <v>56</v>
      </c>
      <c r="E1068" s="29" t="s">
        <v>66</v>
      </c>
    </row>
    <row r="1069" customFormat="false" ht="14.25" hidden="false" customHeight="false" outlineLevel="0" collapsed="false">
      <c r="A1069" s="1" t="n">
        <v>2072</v>
      </c>
      <c r="B1069" s="29" t="s">
        <v>49</v>
      </c>
      <c r="C1069" s="62" t="n">
        <v>4.3</v>
      </c>
      <c r="D1069" s="29" t="s">
        <v>56</v>
      </c>
      <c r="E1069" s="29" t="s">
        <v>57</v>
      </c>
    </row>
    <row r="1070" customFormat="false" ht="14.25" hidden="false" customHeight="false" outlineLevel="0" collapsed="false">
      <c r="A1070" s="1" t="n">
        <v>2073</v>
      </c>
      <c r="B1070" s="29" t="s">
        <v>49</v>
      </c>
      <c r="C1070" s="62" t="n">
        <v>4.5</v>
      </c>
      <c r="D1070" s="29" t="s">
        <v>63</v>
      </c>
      <c r="E1070" s="29" t="s">
        <v>58</v>
      </c>
    </row>
    <row r="1071" customFormat="false" ht="14.25" hidden="false" customHeight="false" outlineLevel="0" collapsed="false">
      <c r="A1071" s="1" t="n">
        <v>2074</v>
      </c>
      <c r="B1071" s="29" t="s">
        <v>49</v>
      </c>
      <c r="C1071" s="62" t="n">
        <v>11.9</v>
      </c>
      <c r="D1071" s="29" t="s">
        <v>68</v>
      </c>
      <c r="E1071" s="29" t="s">
        <v>58</v>
      </c>
    </row>
    <row r="1072" customFormat="false" ht="14.25" hidden="false" customHeight="false" outlineLevel="0" collapsed="false">
      <c r="A1072" s="1" t="n">
        <v>2075</v>
      </c>
      <c r="B1072" s="29" t="s">
        <v>49</v>
      </c>
      <c r="C1072" s="62" t="n">
        <v>5.7</v>
      </c>
      <c r="D1072" s="29" t="s">
        <v>68</v>
      </c>
      <c r="E1072" s="29" t="s">
        <v>51</v>
      </c>
    </row>
    <row r="1073" customFormat="false" ht="14.25" hidden="false" customHeight="false" outlineLevel="0" collapsed="false">
      <c r="A1073" s="1" t="n">
        <v>2076</v>
      </c>
      <c r="B1073" s="29" t="s">
        <v>49</v>
      </c>
      <c r="C1073" s="62" t="n">
        <v>15</v>
      </c>
      <c r="D1073" s="29" t="s">
        <v>60</v>
      </c>
      <c r="E1073" s="29" t="s">
        <v>51</v>
      </c>
    </row>
    <row r="1074" customFormat="false" ht="14.25" hidden="false" customHeight="false" outlineLevel="0" collapsed="false">
      <c r="A1074" s="1" t="n">
        <v>2077</v>
      </c>
      <c r="B1074" s="29" t="s">
        <v>49</v>
      </c>
      <c r="C1074" s="62" t="n">
        <v>3.9</v>
      </c>
      <c r="D1074" s="29" t="s">
        <v>60</v>
      </c>
      <c r="E1074" s="29" t="s">
        <v>53</v>
      </c>
    </row>
    <row r="1075" customFormat="false" ht="14.25" hidden="false" customHeight="false" outlineLevel="0" collapsed="false">
      <c r="A1075" s="1" t="n">
        <v>2078</v>
      </c>
      <c r="B1075" s="29" t="s">
        <v>54</v>
      </c>
      <c r="C1075" s="62" t="n">
        <v>80.5</v>
      </c>
      <c r="D1075" s="29" t="s">
        <v>50</v>
      </c>
      <c r="E1075" s="29" t="s">
        <v>55</v>
      </c>
    </row>
    <row r="1076" customFormat="false" ht="14.25" hidden="false" customHeight="false" outlineLevel="0" collapsed="false">
      <c r="A1076" s="1" t="n">
        <v>2079</v>
      </c>
      <c r="B1076" s="29" t="s">
        <v>49</v>
      </c>
      <c r="C1076" s="62" t="n">
        <v>8</v>
      </c>
      <c r="D1076" s="29" t="s">
        <v>59</v>
      </c>
      <c r="E1076" s="29" t="s">
        <v>58</v>
      </c>
    </row>
    <row r="1077" customFormat="false" ht="14.25" hidden="false" customHeight="false" outlineLevel="0" collapsed="false">
      <c r="A1077" s="1" t="n">
        <v>2080</v>
      </c>
      <c r="B1077" s="29" t="s">
        <v>49</v>
      </c>
      <c r="C1077" s="62" t="n">
        <v>11.5</v>
      </c>
      <c r="D1077" s="29" t="s">
        <v>59</v>
      </c>
      <c r="E1077" s="29" t="s">
        <v>58</v>
      </c>
    </row>
    <row r="1078" customFormat="false" ht="14.25" hidden="false" customHeight="false" outlineLevel="0" collapsed="false">
      <c r="A1078" s="1" t="n">
        <v>2081</v>
      </c>
      <c r="B1078" s="29" t="s">
        <v>49</v>
      </c>
      <c r="C1078" s="62" t="n">
        <v>9.1</v>
      </c>
      <c r="D1078" s="29" t="s">
        <v>60</v>
      </c>
      <c r="E1078" s="29" t="s">
        <v>51</v>
      </c>
    </row>
    <row r="1079" customFormat="false" ht="14.25" hidden="false" customHeight="false" outlineLevel="0" collapsed="false">
      <c r="A1079" s="1" t="n">
        <v>2082</v>
      </c>
      <c r="B1079" s="29" t="s">
        <v>54</v>
      </c>
      <c r="C1079" s="62" t="n">
        <v>19.1</v>
      </c>
      <c r="D1079" s="29" t="s">
        <v>60</v>
      </c>
      <c r="E1079" s="29" t="s">
        <v>66</v>
      </c>
    </row>
    <row r="1080" customFormat="false" ht="14.25" hidden="false" customHeight="false" outlineLevel="0" collapsed="false">
      <c r="A1080" s="1" t="n">
        <v>2083</v>
      </c>
      <c r="B1080" s="29" t="s">
        <v>49</v>
      </c>
      <c r="C1080" s="62" t="n">
        <v>10.4</v>
      </c>
      <c r="D1080" s="29" t="s">
        <v>62</v>
      </c>
      <c r="E1080" s="29" t="s">
        <v>58</v>
      </c>
    </row>
    <row r="1081" customFormat="false" ht="14.25" hidden="false" customHeight="false" outlineLevel="0" collapsed="false">
      <c r="A1081" s="1" t="n">
        <v>2084</v>
      </c>
      <c r="B1081" s="29" t="s">
        <v>54</v>
      </c>
      <c r="C1081" s="62" t="n">
        <v>15.7</v>
      </c>
      <c r="D1081" s="29" t="s">
        <v>56</v>
      </c>
      <c r="E1081" s="29" t="s">
        <v>66</v>
      </c>
    </row>
    <row r="1082" customFormat="false" ht="14.25" hidden="false" customHeight="false" outlineLevel="0" collapsed="false">
      <c r="A1082" s="1" t="n">
        <v>2085</v>
      </c>
      <c r="B1082" s="29" t="s">
        <v>49</v>
      </c>
      <c r="C1082" s="62" t="n">
        <v>9.4</v>
      </c>
      <c r="D1082" s="29" t="s">
        <v>56</v>
      </c>
      <c r="E1082" s="29" t="s">
        <v>58</v>
      </c>
    </row>
    <row r="1083" customFormat="false" ht="14.25" hidden="false" customHeight="false" outlineLevel="0" collapsed="false">
      <c r="A1083" s="1" t="n">
        <v>2086</v>
      </c>
      <c r="B1083" s="29" t="s">
        <v>49</v>
      </c>
      <c r="C1083" s="62" t="n">
        <v>5.9</v>
      </c>
      <c r="D1083" s="29" t="s">
        <v>59</v>
      </c>
      <c r="E1083" s="29" t="s">
        <v>53</v>
      </c>
    </row>
    <row r="1084" customFormat="false" ht="14.25" hidden="false" customHeight="false" outlineLevel="0" collapsed="false">
      <c r="A1084" s="1" t="n">
        <v>2087</v>
      </c>
      <c r="B1084" s="29" t="s">
        <v>54</v>
      </c>
      <c r="C1084" s="62" t="n">
        <v>95.6</v>
      </c>
      <c r="D1084" s="29" t="s">
        <v>60</v>
      </c>
      <c r="E1084" s="29" t="s">
        <v>55</v>
      </c>
    </row>
    <row r="1085" customFormat="false" ht="14.25" hidden="false" customHeight="false" outlineLevel="0" collapsed="false">
      <c r="A1085" s="1" t="n">
        <v>2088</v>
      </c>
      <c r="B1085" s="29" t="s">
        <v>49</v>
      </c>
      <c r="C1085" s="62" t="n">
        <v>0.5</v>
      </c>
      <c r="D1085" s="29" t="s">
        <v>59</v>
      </c>
      <c r="E1085" s="29" t="s">
        <v>58</v>
      </c>
    </row>
    <row r="1086" customFormat="false" ht="14.25" hidden="false" customHeight="false" outlineLevel="0" collapsed="false">
      <c r="A1086" s="1" t="n">
        <v>2089</v>
      </c>
      <c r="B1086" s="29" t="s">
        <v>49</v>
      </c>
      <c r="C1086" s="62" t="n">
        <v>5.9</v>
      </c>
      <c r="D1086" s="29" t="s">
        <v>59</v>
      </c>
      <c r="E1086" s="29" t="s">
        <v>58</v>
      </c>
    </row>
    <row r="1087" customFormat="false" ht="14.25" hidden="false" customHeight="false" outlineLevel="0" collapsed="false">
      <c r="A1087" s="1" t="n">
        <v>2090</v>
      </c>
      <c r="B1087" s="29" t="s">
        <v>54</v>
      </c>
      <c r="C1087" s="62" t="n">
        <v>69.3</v>
      </c>
      <c r="D1087" s="29" t="s">
        <v>52</v>
      </c>
      <c r="E1087" s="29" t="s">
        <v>66</v>
      </c>
    </row>
    <row r="1088" customFormat="false" ht="14.25" hidden="false" customHeight="false" outlineLevel="0" collapsed="false">
      <c r="A1088" s="1" t="n">
        <v>2091</v>
      </c>
      <c r="B1088" s="29" t="s">
        <v>49</v>
      </c>
      <c r="C1088" s="62" t="n">
        <v>16.2</v>
      </c>
      <c r="D1088" s="29" t="s">
        <v>60</v>
      </c>
      <c r="E1088" s="29" t="s">
        <v>58</v>
      </c>
    </row>
    <row r="1089" customFormat="false" ht="14.25" hidden="false" customHeight="false" outlineLevel="0" collapsed="false">
      <c r="A1089" s="1" t="n">
        <v>2092</v>
      </c>
      <c r="B1089" s="29" t="s">
        <v>49</v>
      </c>
      <c r="C1089" s="62" t="n">
        <v>1.3</v>
      </c>
      <c r="D1089" s="29" t="s">
        <v>60</v>
      </c>
      <c r="E1089" s="29" t="s">
        <v>53</v>
      </c>
    </row>
    <row r="1090" customFormat="false" ht="14.25" hidden="false" customHeight="false" outlineLevel="0" collapsed="false">
      <c r="A1090" s="1" t="n">
        <v>2093</v>
      </c>
      <c r="B1090" s="29" t="s">
        <v>49</v>
      </c>
      <c r="C1090" s="62" t="n">
        <v>9.4</v>
      </c>
      <c r="D1090" s="29" t="s">
        <v>59</v>
      </c>
      <c r="E1090" s="29" t="s">
        <v>58</v>
      </c>
    </row>
    <row r="1091" customFormat="false" ht="14.25" hidden="false" customHeight="false" outlineLevel="0" collapsed="false">
      <c r="A1091" s="1" t="n">
        <v>2094</v>
      </c>
      <c r="B1091" s="29" t="s">
        <v>49</v>
      </c>
      <c r="C1091" s="62" t="n">
        <v>1.8</v>
      </c>
      <c r="D1091" s="29" t="s">
        <v>59</v>
      </c>
      <c r="E1091" s="29" t="s">
        <v>57</v>
      </c>
    </row>
    <row r="1092" customFormat="false" ht="14.25" hidden="false" customHeight="false" outlineLevel="0" collapsed="false">
      <c r="A1092" s="1" t="n">
        <v>2095</v>
      </c>
      <c r="B1092" s="29" t="s">
        <v>61</v>
      </c>
      <c r="C1092" s="62" t="n">
        <v>4.3</v>
      </c>
      <c r="D1092" s="29" t="s">
        <v>60</v>
      </c>
      <c r="E1092" s="29" t="s">
        <v>58</v>
      </c>
    </row>
    <row r="1093" customFormat="false" ht="14.25" hidden="false" customHeight="false" outlineLevel="0" collapsed="false">
      <c r="A1093" s="1" t="n">
        <v>2096</v>
      </c>
      <c r="B1093" s="29" t="s">
        <v>61</v>
      </c>
      <c r="C1093" s="62" t="n">
        <v>9.6</v>
      </c>
      <c r="D1093" s="29" t="s">
        <v>60</v>
      </c>
      <c r="E1093" s="29" t="s">
        <v>53</v>
      </c>
    </row>
    <row r="1094" customFormat="false" ht="14.25" hidden="false" customHeight="false" outlineLevel="0" collapsed="false">
      <c r="A1094" s="1" t="n">
        <v>2097</v>
      </c>
      <c r="B1094" s="29" t="s">
        <v>49</v>
      </c>
      <c r="C1094" s="62" t="n">
        <v>37.5</v>
      </c>
      <c r="D1094" s="29" t="s">
        <v>60</v>
      </c>
      <c r="E1094" s="29" t="s">
        <v>65</v>
      </c>
    </row>
    <row r="1095" customFormat="false" ht="14.25" hidden="false" customHeight="false" outlineLevel="0" collapsed="false">
      <c r="A1095" s="1" t="n">
        <v>2098</v>
      </c>
      <c r="B1095" s="29" t="s">
        <v>49</v>
      </c>
      <c r="C1095" s="62" t="n">
        <v>4.3</v>
      </c>
      <c r="D1095" s="29" t="s">
        <v>62</v>
      </c>
      <c r="E1095" s="29" t="s">
        <v>58</v>
      </c>
    </row>
    <row r="1096" customFormat="false" ht="14.25" hidden="false" customHeight="false" outlineLevel="0" collapsed="false">
      <c r="A1096" s="1" t="n">
        <v>2099</v>
      </c>
      <c r="B1096" s="29" t="s">
        <v>54</v>
      </c>
      <c r="C1096" s="62" t="n">
        <v>90.8</v>
      </c>
      <c r="D1096" s="29" t="s">
        <v>62</v>
      </c>
      <c r="E1096" s="29" t="s">
        <v>55</v>
      </c>
    </row>
    <row r="1097" customFormat="false" ht="14.25" hidden="false" customHeight="false" outlineLevel="0" collapsed="false">
      <c r="A1097" s="1" t="n">
        <v>2100</v>
      </c>
      <c r="B1097" s="29" t="s">
        <v>49</v>
      </c>
      <c r="C1097" s="62" t="n">
        <v>2.7</v>
      </c>
      <c r="D1097" s="29" t="s">
        <v>59</v>
      </c>
      <c r="E1097" s="29" t="s">
        <v>58</v>
      </c>
    </row>
    <row r="1098" customFormat="false" ht="14.25" hidden="false" customHeight="false" outlineLevel="0" collapsed="false">
      <c r="A1098" s="1" t="n">
        <v>2101</v>
      </c>
      <c r="B1098" s="29" t="s">
        <v>61</v>
      </c>
      <c r="C1098" s="62" t="n">
        <v>5</v>
      </c>
      <c r="D1098" s="29" t="s">
        <v>59</v>
      </c>
      <c r="E1098" s="29" t="s">
        <v>58</v>
      </c>
    </row>
    <row r="1099" customFormat="false" ht="14.25" hidden="false" customHeight="false" outlineLevel="0" collapsed="false">
      <c r="A1099" s="1" t="n">
        <v>2102</v>
      </c>
      <c r="B1099" s="29" t="s">
        <v>61</v>
      </c>
      <c r="C1099" s="62" t="n">
        <v>0.5</v>
      </c>
      <c r="D1099" s="29" t="s">
        <v>52</v>
      </c>
      <c r="E1099" s="29" t="s">
        <v>58</v>
      </c>
    </row>
    <row r="1100" customFormat="false" ht="14.25" hidden="false" customHeight="false" outlineLevel="0" collapsed="false">
      <c r="A1100" s="1" t="n">
        <v>2103</v>
      </c>
      <c r="B1100" s="29" t="s">
        <v>49</v>
      </c>
      <c r="C1100" s="62" t="n">
        <v>5.6</v>
      </c>
      <c r="D1100" s="29" t="s">
        <v>52</v>
      </c>
      <c r="E1100" s="29" t="s">
        <v>58</v>
      </c>
    </row>
    <row r="1101" customFormat="false" ht="14.25" hidden="false" customHeight="false" outlineLevel="0" collapsed="false">
      <c r="A1101" s="1" t="n">
        <v>2104</v>
      </c>
      <c r="B1101" s="29" t="s">
        <v>49</v>
      </c>
      <c r="C1101" s="62" t="n">
        <v>9.6</v>
      </c>
      <c r="D1101" s="29" t="s">
        <v>71</v>
      </c>
      <c r="E1101" s="29" t="s">
        <v>53</v>
      </c>
    </row>
    <row r="1102" customFormat="false" ht="14.25" hidden="false" customHeight="false" outlineLevel="0" collapsed="false">
      <c r="A1102" s="1" t="n">
        <v>2105</v>
      </c>
      <c r="B1102" s="29" t="s">
        <v>49</v>
      </c>
      <c r="C1102" s="62" t="n">
        <v>0.5</v>
      </c>
      <c r="D1102" s="29" t="s">
        <v>56</v>
      </c>
      <c r="E1102" s="29" t="s">
        <v>58</v>
      </c>
    </row>
    <row r="1103" customFormat="false" ht="14.25" hidden="false" customHeight="false" outlineLevel="0" collapsed="false">
      <c r="A1103" s="1" t="n">
        <v>2106</v>
      </c>
      <c r="B1103" s="29" t="s">
        <v>49</v>
      </c>
      <c r="C1103" s="62" t="n">
        <v>5.1</v>
      </c>
      <c r="D1103" s="29" t="s">
        <v>68</v>
      </c>
      <c r="E1103" s="29" t="s">
        <v>58</v>
      </c>
    </row>
    <row r="1104" customFormat="false" ht="14.25" hidden="false" customHeight="false" outlineLevel="0" collapsed="false">
      <c r="A1104" s="1" t="n">
        <v>2107</v>
      </c>
      <c r="B1104" s="29" t="s">
        <v>49</v>
      </c>
      <c r="C1104" s="62" t="n">
        <v>1.5</v>
      </c>
      <c r="D1104" s="29" t="s">
        <v>68</v>
      </c>
      <c r="E1104" s="29" t="s">
        <v>58</v>
      </c>
    </row>
    <row r="1105" customFormat="false" ht="14.25" hidden="false" customHeight="false" outlineLevel="0" collapsed="false">
      <c r="A1105" s="1" t="n">
        <v>2108</v>
      </c>
      <c r="B1105" s="29" t="s">
        <v>49</v>
      </c>
      <c r="C1105" s="62" t="n">
        <v>3.2</v>
      </c>
      <c r="D1105" s="29" t="s">
        <v>67</v>
      </c>
      <c r="E1105" s="29" t="s">
        <v>57</v>
      </c>
    </row>
    <row r="1106" customFormat="false" ht="14.25" hidden="false" customHeight="false" outlineLevel="0" collapsed="false">
      <c r="A1106" s="1" t="n">
        <v>2109</v>
      </c>
      <c r="B1106" s="29" t="s">
        <v>49</v>
      </c>
      <c r="C1106" s="62" t="n">
        <v>21.4</v>
      </c>
      <c r="D1106" s="29" t="s">
        <v>60</v>
      </c>
      <c r="E1106" s="29" t="s">
        <v>58</v>
      </c>
    </row>
    <row r="1107" customFormat="false" ht="14.25" hidden="false" customHeight="false" outlineLevel="0" collapsed="false">
      <c r="A1107" s="1" t="n">
        <v>2110</v>
      </c>
      <c r="B1107" s="29" t="s">
        <v>49</v>
      </c>
      <c r="C1107" s="62" t="n">
        <v>9.2</v>
      </c>
      <c r="D1107" s="29" t="s">
        <v>60</v>
      </c>
      <c r="E1107" s="29" t="s">
        <v>58</v>
      </c>
    </row>
    <row r="1108" customFormat="false" ht="14.25" hidden="false" customHeight="false" outlineLevel="0" collapsed="false">
      <c r="A1108" s="1" t="n">
        <v>2111</v>
      </c>
      <c r="B1108" s="29" t="s">
        <v>49</v>
      </c>
      <c r="C1108" s="62" t="n">
        <v>12.4</v>
      </c>
      <c r="D1108" s="29" t="s">
        <v>59</v>
      </c>
      <c r="E1108" s="29" t="s">
        <v>58</v>
      </c>
    </row>
    <row r="1109" customFormat="false" ht="14.25" hidden="false" customHeight="false" outlineLevel="0" collapsed="false">
      <c r="A1109" s="1" t="n">
        <v>2112</v>
      </c>
      <c r="B1109" s="29" t="s">
        <v>49</v>
      </c>
      <c r="C1109" s="62" t="n">
        <v>0.5</v>
      </c>
      <c r="D1109" s="29" t="s">
        <v>56</v>
      </c>
      <c r="E1109" s="29" t="s">
        <v>58</v>
      </c>
    </row>
    <row r="1110" customFormat="false" ht="14.25" hidden="false" customHeight="false" outlineLevel="0" collapsed="false">
      <c r="A1110" s="1" t="n">
        <v>2113</v>
      </c>
      <c r="B1110" s="29" t="s">
        <v>61</v>
      </c>
      <c r="C1110" s="62" t="n">
        <v>13.5</v>
      </c>
      <c r="D1110" s="29" t="s">
        <v>56</v>
      </c>
      <c r="E1110" s="29" t="s">
        <v>51</v>
      </c>
    </row>
    <row r="1111" customFormat="false" ht="14.25" hidden="false" customHeight="false" outlineLevel="0" collapsed="false">
      <c r="A1111" s="1" t="n">
        <v>2114</v>
      </c>
      <c r="B1111" s="29" t="s">
        <v>54</v>
      </c>
      <c r="C1111" s="62" t="n">
        <v>68.7</v>
      </c>
      <c r="D1111" s="29" t="s">
        <v>59</v>
      </c>
      <c r="E1111" s="29" t="s">
        <v>66</v>
      </c>
    </row>
    <row r="1112" customFormat="false" ht="14.25" hidden="false" customHeight="false" outlineLevel="0" collapsed="false">
      <c r="A1112" s="1" t="n">
        <v>2115</v>
      </c>
      <c r="B1112" s="29" t="s">
        <v>49</v>
      </c>
      <c r="C1112" s="62" t="n">
        <v>3.5</v>
      </c>
      <c r="D1112" s="29" t="s">
        <v>67</v>
      </c>
      <c r="E1112" s="29" t="s">
        <v>53</v>
      </c>
    </row>
    <row r="1113" customFormat="false" ht="14.25" hidden="false" customHeight="false" outlineLevel="0" collapsed="false">
      <c r="A1113" s="1" t="n">
        <v>2116</v>
      </c>
      <c r="B1113" s="29" t="s">
        <v>49</v>
      </c>
      <c r="C1113" s="62" t="n">
        <v>1.3</v>
      </c>
      <c r="D1113" s="29" t="s">
        <v>60</v>
      </c>
      <c r="E1113" s="29" t="s">
        <v>57</v>
      </c>
    </row>
    <row r="1114" customFormat="false" ht="14.25" hidden="false" customHeight="false" outlineLevel="0" collapsed="false">
      <c r="A1114" s="1" t="n">
        <v>2117</v>
      </c>
      <c r="B1114" s="29" t="s">
        <v>49</v>
      </c>
      <c r="C1114" s="62" t="n">
        <v>9.8</v>
      </c>
      <c r="D1114" s="29" t="s">
        <v>62</v>
      </c>
      <c r="E1114" s="29" t="s">
        <v>57</v>
      </c>
    </row>
    <row r="1115" customFormat="false" ht="14.25" hidden="false" customHeight="false" outlineLevel="0" collapsed="false">
      <c r="A1115" s="1" t="n">
        <v>2118</v>
      </c>
      <c r="B1115" s="29" t="s">
        <v>54</v>
      </c>
      <c r="C1115" s="62" t="n">
        <v>30</v>
      </c>
      <c r="D1115" s="29" t="s">
        <v>56</v>
      </c>
      <c r="E1115" s="29" t="s">
        <v>66</v>
      </c>
    </row>
    <row r="1116" customFormat="false" ht="14.25" hidden="false" customHeight="false" outlineLevel="0" collapsed="false">
      <c r="A1116" s="1" t="n">
        <v>2119</v>
      </c>
      <c r="B1116" s="29" t="s">
        <v>49</v>
      </c>
      <c r="C1116" s="62" t="n">
        <v>3.5</v>
      </c>
      <c r="D1116" s="29" t="s">
        <v>71</v>
      </c>
      <c r="E1116" s="29" t="s">
        <v>53</v>
      </c>
    </row>
    <row r="1117" customFormat="false" ht="14.25" hidden="false" customHeight="false" outlineLevel="0" collapsed="false">
      <c r="A1117" s="1" t="n">
        <v>2120</v>
      </c>
      <c r="B1117" s="29" t="s">
        <v>49</v>
      </c>
      <c r="C1117" s="62" t="n">
        <v>2.2</v>
      </c>
      <c r="D1117" s="29" t="s">
        <v>71</v>
      </c>
      <c r="E1117" s="29" t="s">
        <v>57</v>
      </c>
    </row>
    <row r="1118" customFormat="false" ht="14.25" hidden="false" customHeight="false" outlineLevel="0" collapsed="false">
      <c r="A1118" s="1" t="n">
        <v>2121</v>
      </c>
      <c r="B1118" s="29" t="s">
        <v>49</v>
      </c>
      <c r="C1118" s="62" t="n">
        <v>3.4</v>
      </c>
      <c r="D1118" s="29" t="s">
        <v>52</v>
      </c>
      <c r="E1118" s="29" t="s">
        <v>53</v>
      </c>
    </row>
    <row r="1119" customFormat="false" ht="14.25" hidden="false" customHeight="false" outlineLevel="0" collapsed="false">
      <c r="A1119" s="1" t="n">
        <v>2122</v>
      </c>
      <c r="B1119" s="29" t="s">
        <v>49</v>
      </c>
      <c r="C1119" s="62" t="n">
        <v>18.7</v>
      </c>
      <c r="D1119" s="29" t="s">
        <v>59</v>
      </c>
      <c r="E1119" s="29" t="s">
        <v>58</v>
      </c>
    </row>
    <row r="1120" customFormat="false" ht="14.25" hidden="false" customHeight="false" outlineLevel="0" collapsed="false">
      <c r="A1120" s="1" t="n">
        <v>2123</v>
      </c>
      <c r="B1120" s="29" t="s">
        <v>49</v>
      </c>
      <c r="C1120" s="62" t="n">
        <v>5.6</v>
      </c>
      <c r="D1120" s="29" t="s">
        <v>59</v>
      </c>
      <c r="E1120" s="29" t="s">
        <v>58</v>
      </c>
    </row>
    <row r="1121" customFormat="false" ht="14.25" hidden="false" customHeight="false" outlineLevel="0" collapsed="false">
      <c r="A1121" s="1" t="n">
        <v>2124</v>
      </c>
      <c r="B1121" s="29" t="s">
        <v>49</v>
      </c>
      <c r="C1121" s="62" t="n">
        <v>5.2</v>
      </c>
      <c r="D1121" s="29" t="s">
        <v>60</v>
      </c>
      <c r="E1121" s="29" t="s">
        <v>57</v>
      </c>
    </row>
    <row r="1122" customFormat="false" ht="14.25" hidden="false" customHeight="false" outlineLevel="0" collapsed="false">
      <c r="A1122" s="1" t="n">
        <v>2125</v>
      </c>
      <c r="B1122" s="29" t="s">
        <v>49</v>
      </c>
      <c r="C1122" s="62" t="n">
        <v>2.2</v>
      </c>
      <c r="D1122" s="29" t="s">
        <v>62</v>
      </c>
      <c r="E1122" s="29" t="s">
        <v>57</v>
      </c>
    </row>
    <row r="1123" customFormat="false" ht="14.25" hidden="false" customHeight="false" outlineLevel="0" collapsed="false">
      <c r="A1123" s="1" t="n">
        <v>2126</v>
      </c>
      <c r="B1123" s="29" t="s">
        <v>49</v>
      </c>
      <c r="C1123" s="62" t="n">
        <v>8.3</v>
      </c>
      <c r="D1123" s="29" t="s">
        <v>56</v>
      </c>
      <c r="E1123" s="29" t="s">
        <v>58</v>
      </c>
    </row>
    <row r="1124" customFormat="false" ht="14.25" hidden="false" customHeight="false" outlineLevel="0" collapsed="false">
      <c r="A1124" s="1" t="n">
        <v>2127</v>
      </c>
      <c r="B1124" s="29" t="s">
        <v>54</v>
      </c>
      <c r="C1124" s="62" t="n">
        <v>74.4</v>
      </c>
      <c r="D1124" s="29" t="s">
        <v>56</v>
      </c>
      <c r="E1124" s="29" t="s">
        <v>66</v>
      </c>
    </row>
    <row r="1125" customFormat="false" ht="14.25" hidden="false" customHeight="false" outlineLevel="0" collapsed="false">
      <c r="A1125" s="1" t="n">
        <v>2128</v>
      </c>
      <c r="B1125" s="29" t="s">
        <v>49</v>
      </c>
      <c r="C1125" s="62" t="n">
        <v>8.8</v>
      </c>
      <c r="D1125" s="29" t="s">
        <v>50</v>
      </c>
      <c r="E1125" s="29" t="s">
        <v>58</v>
      </c>
    </row>
    <row r="1126" customFormat="false" ht="14.25" hidden="false" customHeight="false" outlineLevel="0" collapsed="false">
      <c r="A1126" s="1" t="n">
        <v>2129</v>
      </c>
      <c r="B1126" s="29" t="s">
        <v>49</v>
      </c>
      <c r="C1126" s="62" t="n">
        <v>5.2</v>
      </c>
      <c r="D1126" s="29" t="s">
        <v>71</v>
      </c>
      <c r="E1126" s="29" t="s">
        <v>57</v>
      </c>
    </row>
    <row r="1127" customFormat="false" ht="14.25" hidden="false" customHeight="false" outlineLevel="0" collapsed="false">
      <c r="A1127" s="1" t="n">
        <v>2130</v>
      </c>
      <c r="B1127" s="29" t="s">
        <v>49</v>
      </c>
      <c r="C1127" s="62" t="n">
        <v>21.4</v>
      </c>
      <c r="D1127" s="29" t="s">
        <v>50</v>
      </c>
      <c r="E1127" s="29" t="s">
        <v>58</v>
      </c>
    </row>
    <row r="1128" customFormat="false" ht="14.25" hidden="false" customHeight="false" outlineLevel="0" collapsed="false">
      <c r="A1128" s="1" t="n">
        <v>2131</v>
      </c>
      <c r="B1128" s="29" t="s">
        <v>49</v>
      </c>
      <c r="C1128" s="62" t="n">
        <v>2.5</v>
      </c>
      <c r="D1128" s="29" t="s">
        <v>60</v>
      </c>
      <c r="E1128" s="29" t="s">
        <v>57</v>
      </c>
    </row>
    <row r="1129" customFormat="false" ht="14.25" hidden="false" customHeight="false" outlineLevel="0" collapsed="false">
      <c r="A1129" s="1" t="n">
        <v>2132</v>
      </c>
      <c r="B1129" s="29" t="s">
        <v>61</v>
      </c>
      <c r="C1129" s="62" t="n">
        <v>9.6</v>
      </c>
      <c r="D1129" s="29" t="s">
        <v>50</v>
      </c>
      <c r="E1129" s="29" t="s">
        <v>58</v>
      </c>
    </row>
    <row r="1130" customFormat="false" ht="14.25" hidden="false" customHeight="false" outlineLevel="0" collapsed="false">
      <c r="A1130" s="1" t="n">
        <v>2133</v>
      </c>
      <c r="B1130" s="29" t="s">
        <v>49</v>
      </c>
      <c r="C1130" s="62" t="n">
        <v>3.3</v>
      </c>
      <c r="D1130" s="29" t="s">
        <v>62</v>
      </c>
      <c r="E1130" s="29" t="s">
        <v>53</v>
      </c>
    </row>
    <row r="1131" customFormat="false" ht="14.25" hidden="false" customHeight="false" outlineLevel="0" collapsed="false">
      <c r="A1131" s="1" t="n">
        <v>2134</v>
      </c>
      <c r="B1131" s="29" t="s">
        <v>49</v>
      </c>
      <c r="C1131" s="62" t="n">
        <v>1.4</v>
      </c>
      <c r="D1131" s="29" t="s">
        <v>50</v>
      </c>
      <c r="E1131" s="29" t="s">
        <v>57</v>
      </c>
    </row>
    <row r="1132" customFormat="false" ht="14.25" hidden="false" customHeight="false" outlineLevel="0" collapsed="false">
      <c r="A1132" s="1" t="n">
        <v>2135</v>
      </c>
      <c r="B1132" s="29" t="s">
        <v>49</v>
      </c>
      <c r="C1132" s="62" t="n">
        <v>21.4</v>
      </c>
      <c r="D1132" s="29" t="s">
        <v>50</v>
      </c>
      <c r="E1132" s="29" t="s">
        <v>58</v>
      </c>
    </row>
    <row r="1133" customFormat="false" ht="14.25" hidden="false" customHeight="false" outlineLevel="0" collapsed="false">
      <c r="A1133" s="1" t="n">
        <v>2136</v>
      </c>
      <c r="B1133" s="29" t="s">
        <v>49</v>
      </c>
      <c r="C1133" s="62" t="n">
        <v>3.5</v>
      </c>
      <c r="D1133" s="29" t="s">
        <v>67</v>
      </c>
      <c r="E1133" s="29" t="s">
        <v>53</v>
      </c>
    </row>
    <row r="1134" customFormat="false" ht="14.25" hidden="false" customHeight="false" outlineLevel="0" collapsed="false">
      <c r="A1134" s="1" t="n">
        <v>2137</v>
      </c>
      <c r="B1134" s="29" t="s">
        <v>49</v>
      </c>
      <c r="C1134" s="62" t="n">
        <v>5.7</v>
      </c>
      <c r="D1134" s="29" t="s">
        <v>67</v>
      </c>
      <c r="E1134" s="29" t="s">
        <v>58</v>
      </c>
    </row>
    <row r="1135" customFormat="false" ht="14.25" hidden="false" customHeight="false" outlineLevel="0" collapsed="false">
      <c r="A1135" s="1" t="n">
        <v>2138</v>
      </c>
      <c r="B1135" s="29" t="s">
        <v>54</v>
      </c>
      <c r="C1135" s="62" t="n">
        <v>32.1</v>
      </c>
      <c r="D1135" s="29" t="s">
        <v>59</v>
      </c>
      <c r="E1135" s="29" t="s">
        <v>66</v>
      </c>
    </row>
    <row r="1136" customFormat="false" ht="14.25" hidden="false" customHeight="false" outlineLevel="0" collapsed="false">
      <c r="A1136" s="1" t="n">
        <v>2139</v>
      </c>
      <c r="B1136" s="29" t="s">
        <v>49</v>
      </c>
      <c r="C1136" s="62" t="n">
        <v>4.3</v>
      </c>
      <c r="D1136" s="29" t="s">
        <v>56</v>
      </c>
      <c r="E1136" s="29" t="s">
        <v>58</v>
      </c>
    </row>
    <row r="1137" customFormat="false" ht="14.25" hidden="false" customHeight="false" outlineLevel="0" collapsed="false">
      <c r="A1137" s="1" t="n">
        <v>2140</v>
      </c>
      <c r="B1137" s="29" t="s">
        <v>49</v>
      </c>
      <c r="C1137" s="62" t="n">
        <v>3.9</v>
      </c>
      <c r="D1137" s="29" t="s">
        <v>70</v>
      </c>
      <c r="E1137" s="29" t="s">
        <v>53</v>
      </c>
    </row>
    <row r="1138" customFormat="false" ht="14.25" hidden="false" customHeight="false" outlineLevel="0" collapsed="false">
      <c r="A1138" s="1" t="n">
        <v>2141</v>
      </c>
      <c r="B1138" s="29" t="s">
        <v>49</v>
      </c>
      <c r="C1138" s="62" t="n">
        <v>1.6</v>
      </c>
      <c r="D1138" s="29" t="s">
        <v>59</v>
      </c>
      <c r="E1138" s="29" t="s">
        <v>58</v>
      </c>
    </row>
    <row r="1139" customFormat="false" ht="14.25" hidden="false" customHeight="false" outlineLevel="0" collapsed="false">
      <c r="A1139" s="1" t="n">
        <v>2142</v>
      </c>
      <c r="B1139" s="29" t="s">
        <v>49</v>
      </c>
      <c r="C1139" s="62" t="n">
        <v>21.4</v>
      </c>
      <c r="D1139" s="29" t="s">
        <v>59</v>
      </c>
      <c r="E1139" s="29" t="s">
        <v>58</v>
      </c>
    </row>
    <row r="1140" customFormat="false" ht="14.25" hidden="false" customHeight="false" outlineLevel="0" collapsed="false">
      <c r="A1140" s="1" t="n">
        <v>2143</v>
      </c>
      <c r="B1140" s="29" t="s">
        <v>49</v>
      </c>
      <c r="C1140" s="62" t="n">
        <v>9.6</v>
      </c>
      <c r="D1140" s="29" t="s">
        <v>59</v>
      </c>
      <c r="E1140" s="29" t="s">
        <v>53</v>
      </c>
    </row>
    <row r="1141" customFormat="false" ht="14.25" hidden="false" customHeight="false" outlineLevel="0" collapsed="false">
      <c r="A1141" s="1" t="n">
        <v>2144</v>
      </c>
      <c r="B1141" s="29" t="s">
        <v>49</v>
      </c>
      <c r="C1141" s="62" t="n">
        <v>9.2</v>
      </c>
      <c r="D1141" s="29" t="s">
        <v>52</v>
      </c>
      <c r="E1141" s="29" t="s">
        <v>51</v>
      </c>
    </row>
    <row r="1142" customFormat="false" ht="14.25" hidden="false" customHeight="false" outlineLevel="0" collapsed="false">
      <c r="A1142" s="1" t="n">
        <v>2145</v>
      </c>
      <c r="B1142" s="29" t="s">
        <v>49</v>
      </c>
      <c r="C1142" s="62" t="n">
        <v>9.6</v>
      </c>
      <c r="D1142" s="29" t="s">
        <v>63</v>
      </c>
      <c r="E1142" s="29" t="s">
        <v>58</v>
      </c>
    </row>
    <row r="1143" customFormat="false" ht="14.25" hidden="false" customHeight="false" outlineLevel="0" collapsed="false">
      <c r="A1143" s="1" t="n">
        <v>2146</v>
      </c>
      <c r="B1143" s="29" t="s">
        <v>49</v>
      </c>
      <c r="C1143" s="62" t="n">
        <v>2.1</v>
      </c>
      <c r="D1143" s="29" t="s">
        <v>50</v>
      </c>
      <c r="E1143" s="29" t="s">
        <v>53</v>
      </c>
    </row>
    <row r="1144" customFormat="false" ht="14.25" hidden="false" customHeight="false" outlineLevel="0" collapsed="false">
      <c r="A1144" s="1" t="n">
        <v>2147</v>
      </c>
      <c r="B1144" s="29" t="s">
        <v>61</v>
      </c>
      <c r="C1144" s="62" t="n">
        <v>8.7</v>
      </c>
      <c r="D1144" s="29" t="s">
        <v>62</v>
      </c>
      <c r="E1144" s="29" t="s">
        <v>58</v>
      </c>
    </row>
    <row r="1145" customFormat="false" ht="14.25" hidden="false" customHeight="false" outlineLevel="0" collapsed="false">
      <c r="A1145" s="1" t="n">
        <v>2148</v>
      </c>
      <c r="B1145" s="29" t="s">
        <v>49</v>
      </c>
      <c r="C1145" s="62" t="n">
        <v>3.2</v>
      </c>
      <c r="D1145" s="29" t="s">
        <v>71</v>
      </c>
      <c r="E1145" s="29" t="s">
        <v>58</v>
      </c>
    </row>
    <row r="1146" customFormat="false" ht="14.25" hidden="false" customHeight="false" outlineLevel="0" collapsed="false">
      <c r="A1146" s="1" t="n">
        <v>2149</v>
      </c>
      <c r="B1146" s="29" t="s">
        <v>49</v>
      </c>
      <c r="C1146" s="62" t="n">
        <v>9.1</v>
      </c>
      <c r="D1146" s="29" t="s">
        <v>56</v>
      </c>
      <c r="E1146" s="29" t="s">
        <v>53</v>
      </c>
    </row>
    <row r="1147" customFormat="false" ht="14.25" hidden="false" customHeight="false" outlineLevel="0" collapsed="false">
      <c r="A1147" s="1" t="n">
        <v>2150</v>
      </c>
      <c r="B1147" s="29" t="s">
        <v>61</v>
      </c>
      <c r="C1147" s="62" t="n">
        <v>11.9</v>
      </c>
      <c r="D1147" s="29" t="s">
        <v>56</v>
      </c>
      <c r="E1147" s="29" t="s">
        <v>58</v>
      </c>
    </row>
    <row r="1148" customFormat="false" ht="14.25" hidden="false" customHeight="false" outlineLevel="0" collapsed="false">
      <c r="A1148" s="1" t="n">
        <v>2151</v>
      </c>
      <c r="B1148" s="29" t="s">
        <v>49</v>
      </c>
      <c r="C1148" s="62" t="n">
        <v>37.5</v>
      </c>
      <c r="D1148" s="29" t="s">
        <v>56</v>
      </c>
      <c r="E1148" s="29" t="s">
        <v>65</v>
      </c>
    </row>
    <row r="1149" customFormat="false" ht="14.25" hidden="false" customHeight="false" outlineLevel="0" collapsed="false">
      <c r="A1149" s="1" t="n">
        <v>2152</v>
      </c>
      <c r="B1149" s="29" t="s">
        <v>49</v>
      </c>
      <c r="C1149" s="62" t="n">
        <v>0.5</v>
      </c>
      <c r="D1149" s="29" t="s">
        <v>56</v>
      </c>
      <c r="E1149" s="29" t="s">
        <v>58</v>
      </c>
    </row>
    <row r="1150" customFormat="false" ht="14.25" hidden="false" customHeight="false" outlineLevel="0" collapsed="false">
      <c r="A1150" s="1" t="n">
        <v>2153</v>
      </c>
      <c r="B1150" s="29" t="s">
        <v>49</v>
      </c>
      <c r="C1150" s="62" t="n">
        <v>5.1</v>
      </c>
      <c r="D1150" s="29" t="s">
        <v>56</v>
      </c>
      <c r="E1150" s="29" t="s">
        <v>58</v>
      </c>
    </row>
    <row r="1151" customFormat="false" ht="14.25" hidden="false" customHeight="false" outlineLevel="0" collapsed="false">
      <c r="A1151" s="1" t="n">
        <v>2154</v>
      </c>
      <c r="B1151" s="29" t="s">
        <v>49</v>
      </c>
      <c r="C1151" s="62" t="n">
        <v>6.6</v>
      </c>
      <c r="D1151" s="29" t="s">
        <v>68</v>
      </c>
      <c r="E1151" s="29" t="s">
        <v>58</v>
      </c>
    </row>
    <row r="1152" customFormat="false" ht="14.25" hidden="false" customHeight="false" outlineLevel="0" collapsed="false">
      <c r="A1152" s="1" t="n">
        <v>2155</v>
      </c>
      <c r="B1152" s="29" t="s">
        <v>49</v>
      </c>
      <c r="C1152" s="62" t="n">
        <v>6.2</v>
      </c>
      <c r="D1152" s="29" t="s">
        <v>52</v>
      </c>
      <c r="E1152" s="29" t="s">
        <v>51</v>
      </c>
    </row>
    <row r="1153" customFormat="false" ht="14.25" hidden="false" customHeight="false" outlineLevel="0" collapsed="false">
      <c r="A1153" s="1" t="n">
        <v>2156</v>
      </c>
      <c r="B1153" s="29" t="s">
        <v>49</v>
      </c>
      <c r="C1153" s="62" t="n">
        <v>6.1</v>
      </c>
      <c r="D1153" s="29" t="s">
        <v>52</v>
      </c>
      <c r="E1153" s="29" t="s">
        <v>58</v>
      </c>
    </row>
    <row r="1154" customFormat="false" ht="14.25" hidden="false" customHeight="false" outlineLevel="0" collapsed="false">
      <c r="A1154" s="1" t="n">
        <v>2157</v>
      </c>
      <c r="B1154" s="29" t="s">
        <v>54</v>
      </c>
      <c r="C1154" s="62" t="n">
        <v>59.2</v>
      </c>
      <c r="D1154" s="29" t="s">
        <v>52</v>
      </c>
      <c r="E1154" s="29" t="s">
        <v>66</v>
      </c>
    </row>
    <row r="1155" customFormat="false" ht="14.25" hidden="false" customHeight="false" outlineLevel="0" collapsed="false">
      <c r="A1155" s="1" t="n">
        <v>2158</v>
      </c>
      <c r="B1155" s="29" t="s">
        <v>49</v>
      </c>
      <c r="C1155" s="62" t="n">
        <v>7.7</v>
      </c>
      <c r="D1155" s="29" t="s">
        <v>60</v>
      </c>
      <c r="E1155" s="29" t="s">
        <v>58</v>
      </c>
    </row>
    <row r="1156" customFormat="false" ht="14.25" hidden="false" customHeight="false" outlineLevel="0" collapsed="false">
      <c r="A1156" s="1" t="n">
        <v>2159</v>
      </c>
      <c r="B1156" s="29" t="s">
        <v>49</v>
      </c>
      <c r="C1156" s="62" t="n">
        <v>37.5</v>
      </c>
      <c r="D1156" s="29" t="s">
        <v>60</v>
      </c>
      <c r="E1156" s="29" t="s">
        <v>65</v>
      </c>
    </row>
    <row r="1157" customFormat="false" ht="14.25" hidden="false" customHeight="false" outlineLevel="0" collapsed="false">
      <c r="A1157" s="1" t="n">
        <v>2160</v>
      </c>
      <c r="B1157" s="29" t="s">
        <v>61</v>
      </c>
      <c r="C1157" s="62" t="n">
        <v>9.6</v>
      </c>
      <c r="D1157" s="29" t="s">
        <v>60</v>
      </c>
      <c r="E1157" s="29" t="s">
        <v>58</v>
      </c>
    </row>
    <row r="1158" customFormat="false" ht="14.25" hidden="false" customHeight="false" outlineLevel="0" collapsed="false">
      <c r="A1158" s="1" t="n">
        <v>2161</v>
      </c>
      <c r="B1158" s="29" t="s">
        <v>49</v>
      </c>
      <c r="C1158" s="62" t="n">
        <v>4.3</v>
      </c>
      <c r="D1158" s="29" t="s">
        <v>56</v>
      </c>
      <c r="E1158" s="29" t="s">
        <v>57</v>
      </c>
    </row>
    <row r="1159" customFormat="false" ht="14.25" hidden="false" customHeight="false" outlineLevel="0" collapsed="false">
      <c r="A1159" s="1" t="n">
        <v>2162</v>
      </c>
      <c r="B1159" s="29" t="s">
        <v>49</v>
      </c>
      <c r="C1159" s="62" t="n">
        <v>21.4</v>
      </c>
      <c r="D1159" s="29" t="s">
        <v>56</v>
      </c>
      <c r="E1159" s="29" t="s">
        <v>58</v>
      </c>
    </row>
    <row r="1160" customFormat="false" ht="14.25" hidden="false" customHeight="false" outlineLevel="0" collapsed="false">
      <c r="A1160" s="1" t="n">
        <v>2163</v>
      </c>
      <c r="B1160" s="29" t="s">
        <v>49</v>
      </c>
      <c r="C1160" s="62" t="n">
        <v>7.3</v>
      </c>
      <c r="D1160" s="29" t="s">
        <v>56</v>
      </c>
      <c r="E1160" s="29" t="s">
        <v>57</v>
      </c>
    </row>
    <row r="1161" customFormat="false" ht="14.25" hidden="false" customHeight="false" outlineLevel="0" collapsed="false">
      <c r="A1161" s="1" t="n">
        <v>2164</v>
      </c>
      <c r="B1161" s="29" t="s">
        <v>49</v>
      </c>
      <c r="C1161" s="62" t="n">
        <v>5.3</v>
      </c>
      <c r="D1161" s="29" t="s">
        <v>60</v>
      </c>
      <c r="E1161" s="29" t="s">
        <v>58</v>
      </c>
    </row>
    <row r="1162" customFormat="false" ht="14.25" hidden="false" customHeight="false" outlineLevel="0" collapsed="false">
      <c r="A1162" s="1" t="n">
        <v>2165</v>
      </c>
      <c r="B1162" s="29" t="s">
        <v>49</v>
      </c>
      <c r="C1162" s="62" t="n">
        <v>5.9</v>
      </c>
      <c r="D1162" s="29" t="s">
        <v>52</v>
      </c>
      <c r="E1162" s="29" t="s">
        <v>58</v>
      </c>
    </row>
    <row r="1163" customFormat="false" ht="14.25" hidden="false" customHeight="false" outlineLevel="0" collapsed="false">
      <c r="A1163" s="1" t="n">
        <v>2166</v>
      </c>
      <c r="B1163" s="29" t="s">
        <v>49</v>
      </c>
      <c r="C1163" s="62" t="n">
        <v>7.3</v>
      </c>
      <c r="D1163" s="29" t="s">
        <v>70</v>
      </c>
      <c r="E1163" s="29" t="s">
        <v>58</v>
      </c>
    </row>
    <row r="1164" customFormat="false" ht="14.25" hidden="false" customHeight="false" outlineLevel="0" collapsed="false">
      <c r="A1164" s="1" t="n">
        <v>2167</v>
      </c>
      <c r="B1164" s="29" t="s">
        <v>49</v>
      </c>
      <c r="C1164" s="62" t="n">
        <v>1</v>
      </c>
      <c r="D1164" s="29" t="s">
        <v>59</v>
      </c>
      <c r="E1164" s="29" t="s">
        <v>57</v>
      </c>
    </row>
    <row r="1165" customFormat="false" ht="14.25" hidden="false" customHeight="false" outlineLevel="0" collapsed="false">
      <c r="A1165" s="1" t="n">
        <v>2168</v>
      </c>
      <c r="B1165" s="29" t="s">
        <v>49</v>
      </c>
      <c r="C1165" s="62" t="n">
        <v>2.1</v>
      </c>
      <c r="D1165" s="29" t="s">
        <v>59</v>
      </c>
      <c r="E1165" s="29" t="s">
        <v>53</v>
      </c>
    </row>
    <row r="1166" customFormat="false" ht="14.25" hidden="false" customHeight="false" outlineLevel="0" collapsed="false">
      <c r="A1166" s="1" t="n">
        <v>2169</v>
      </c>
      <c r="B1166" s="29" t="s">
        <v>49</v>
      </c>
      <c r="C1166" s="62" t="n">
        <v>21.4</v>
      </c>
      <c r="D1166" s="29" t="s">
        <v>59</v>
      </c>
      <c r="E1166" s="29" t="s">
        <v>58</v>
      </c>
    </row>
    <row r="1167" customFormat="false" ht="14.25" hidden="false" customHeight="false" outlineLevel="0" collapsed="false">
      <c r="A1167" s="1" t="n">
        <v>2170</v>
      </c>
      <c r="B1167" s="29" t="s">
        <v>61</v>
      </c>
      <c r="C1167" s="62" t="n">
        <v>6</v>
      </c>
      <c r="D1167" s="29" t="s">
        <v>52</v>
      </c>
      <c r="E1167" s="29" t="s">
        <v>58</v>
      </c>
    </row>
    <row r="1168" customFormat="false" ht="14.25" hidden="false" customHeight="false" outlineLevel="0" collapsed="false">
      <c r="A1168" s="1" t="n">
        <v>2171</v>
      </c>
      <c r="B1168" s="29" t="s">
        <v>49</v>
      </c>
      <c r="C1168" s="62" t="n">
        <v>10.4</v>
      </c>
      <c r="D1168" s="29" t="s">
        <v>56</v>
      </c>
      <c r="E1168" s="29" t="s">
        <v>58</v>
      </c>
    </row>
    <row r="1169" customFormat="false" ht="14.25" hidden="false" customHeight="false" outlineLevel="0" collapsed="false">
      <c r="A1169" s="1" t="n">
        <v>2172</v>
      </c>
      <c r="B1169" s="29" t="s">
        <v>49</v>
      </c>
      <c r="C1169" s="62" t="n">
        <v>6.7</v>
      </c>
      <c r="D1169" s="29" t="s">
        <v>56</v>
      </c>
      <c r="E1169" s="29" t="s">
        <v>58</v>
      </c>
    </row>
    <row r="1170" customFormat="false" ht="14.25" hidden="false" customHeight="false" outlineLevel="0" collapsed="false">
      <c r="A1170" s="1" t="n">
        <v>2173</v>
      </c>
      <c r="B1170" s="29" t="s">
        <v>54</v>
      </c>
      <c r="C1170" s="62" t="n">
        <v>74.5</v>
      </c>
      <c r="D1170" s="29" t="s">
        <v>71</v>
      </c>
      <c r="E1170" s="29" t="s">
        <v>55</v>
      </c>
    </row>
    <row r="1171" customFormat="false" ht="14.25" hidden="false" customHeight="false" outlineLevel="0" collapsed="false">
      <c r="A1171" s="1" t="n">
        <v>2174</v>
      </c>
      <c r="B1171" s="29" t="s">
        <v>49</v>
      </c>
      <c r="C1171" s="62" t="n">
        <v>1.3</v>
      </c>
      <c r="D1171" s="29" t="s">
        <v>71</v>
      </c>
      <c r="E1171" s="29" t="s">
        <v>57</v>
      </c>
    </row>
    <row r="1172" customFormat="false" ht="14.25" hidden="false" customHeight="false" outlineLevel="0" collapsed="false">
      <c r="A1172" s="1" t="n">
        <v>2175</v>
      </c>
      <c r="B1172" s="29" t="s">
        <v>49</v>
      </c>
      <c r="C1172" s="62" t="n">
        <v>4.3</v>
      </c>
      <c r="D1172" s="29" t="s">
        <v>60</v>
      </c>
      <c r="E1172" s="29" t="s">
        <v>58</v>
      </c>
    </row>
    <row r="1173" customFormat="false" ht="14.25" hidden="false" customHeight="false" outlineLevel="0" collapsed="false">
      <c r="A1173" s="1" t="n">
        <v>2176</v>
      </c>
      <c r="B1173" s="29" t="s">
        <v>49</v>
      </c>
      <c r="C1173" s="62" t="n">
        <v>6.7</v>
      </c>
      <c r="D1173" s="29" t="s">
        <v>60</v>
      </c>
      <c r="E1173" s="29" t="s">
        <v>58</v>
      </c>
    </row>
    <row r="1174" customFormat="false" ht="14.25" hidden="false" customHeight="false" outlineLevel="0" collapsed="false">
      <c r="A1174" s="1" t="n">
        <v>2177</v>
      </c>
      <c r="B1174" s="29" t="s">
        <v>49</v>
      </c>
      <c r="C1174" s="62" t="n">
        <v>8.4</v>
      </c>
      <c r="D1174" s="29" t="s">
        <v>50</v>
      </c>
      <c r="E1174" s="29" t="s">
        <v>58</v>
      </c>
    </row>
    <row r="1175" customFormat="false" ht="14.25" hidden="false" customHeight="false" outlineLevel="0" collapsed="false">
      <c r="A1175" s="1" t="n">
        <v>2178</v>
      </c>
      <c r="B1175" s="29" t="s">
        <v>49</v>
      </c>
      <c r="C1175" s="62" t="n">
        <v>6.1</v>
      </c>
      <c r="D1175" s="29" t="s">
        <v>52</v>
      </c>
      <c r="E1175" s="29" t="s">
        <v>58</v>
      </c>
    </row>
    <row r="1176" customFormat="false" ht="14.25" hidden="false" customHeight="false" outlineLevel="0" collapsed="false">
      <c r="A1176" s="1" t="n">
        <v>2179</v>
      </c>
      <c r="B1176" s="29" t="s">
        <v>49</v>
      </c>
      <c r="C1176" s="62" t="n">
        <v>73.8</v>
      </c>
      <c r="D1176" s="29" t="s">
        <v>60</v>
      </c>
      <c r="E1176" s="29" t="s">
        <v>65</v>
      </c>
    </row>
    <row r="1177" customFormat="false" ht="14.25" hidden="false" customHeight="false" outlineLevel="0" collapsed="false">
      <c r="A1177" s="1" t="n">
        <v>2180</v>
      </c>
      <c r="B1177" s="29" t="s">
        <v>54</v>
      </c>
      <c r="C1177" s="62" t="n">
        <v>46.4</v>
      </c>
      <c r="D1177" s="29" t="s">
        <v>59</v>
      </c>
      <c r="E1177" s="29" t="s">
        <v>66</v>
      </c>
    </row>
    <row r="1178" customFormat="false" ht="14.25" hidden="false" customHeight="false" outlineLevel="0" collapsed="false">
      <c r="A1178" s="1" t="n">
        <v>2181</v>
      </c>
      <c r="B1178" s="29" t="s">
        <v>49</v>
      </c>
      <c r="C1178" s="62" t="n">
        <v>0.9</v>
      </c>
      <c r="D1178" s="29" t="s">
        <v>59</v>
      </c>
      <c r="E1178" s="29" t="s">
        <v>57</v>
      </c>
    </row>
    <row r="1179" customFormat="false" ht="14.25" hidden="false" customHeight="false" outlineLevel="0" collapsed="false">
      <c r="A1179" s="1" t="n">
        <v>2182</v>
      </c>
      <c r="B1179" s="29" t="s">
        <v>49</v>
      </c>
      <c r="C1179" s="62" t="n">
        <v>5.3</v>
      </c>
      <c r="D1179" s="29" t="s">
        <v>59</v>
      </c>
      <c r="E1179" s="29" t="s">
        <v>53</v>
      </c>
    </row>
    <row r="1180" customFormat="false" ht="14.25" hidden="false" customHeight="false" outlineLevel="0" collapsed="false">
      <c r="A1180" s="1" t="n">
        <v>2183</v>
      </c>
      <c r="B1180" s="29" t="s">
        <v>61</v>
      </c>
      <c r="C1180" s="62" t="n">
        <v>10.1</v>
      </c>
      <c r="D1180" s="29" t="s">
        <v>59</v>
      </c>
      <c r="E1180" s="29" t="s">
        <v>58</v>
      </c>
    </row>
    <row r="1181" customFormat="false" ht="14.25" hidden="false" customHeight="false" outlineLevel="0" collapsed="false">
      <c r="A1181" s="1" t="n">
        <v>2184</v>
      </c>
      <c r="B1181" s="29" t="s">
        <v>49</v>
      </c>
      <c r="C1181" s="62" t="n">
        <v>6.1</v>
      </c>
      <c r="D1181" s="29" t="s">
        <v>56</v>
      </c>
      <c r="E1181" s="29" t="s">
        <v>53</v>
      </c>
    </row>
    <row r="1182" customFormat="false" ht="14.25" hidden="false" customHeight="false" outlineLevel="0" collapsed="false">
      <c r="A1182" s="1" t="n">
        <v>2185</v>
      </c>
      <c r="B1182" s="29" t="s">
        <v>49</v>
      </c>
      <c r="C1182" s="62" t="n">
        <v>1.6</v>
      </c>
      <c r="D1182" s="29" t="s">
        <v>56</v>
      </c>
      <c r="E1182" s="29" t="s">
        <v>58</v>
      </c>
    </row>
    <row r="1183" customFormat="false" ht="14.25" hidden="false" customHeight="false" outlineLevel="0" collapsed="false">
      <c r="A1183" s="1" t="n">
        <v>2186</v>
      </c>
      <c r="B1183" s="29" t="s">
        <v>49</v>
      </c>
      <c r="C1183" s="62" t="n">
        <v>6.1</v>
      </c>
      <c r="D1183" s="29" t="s">
        <v>56</v>
      </c>
      <c r="E1183" s="29" t="s">
        <v>58</v>
      </c>
    </row>
    <row r="1184" customFormat="false" ht="14.25" hidden="false" customHeight="false" outlineLevel="0" collapsed="false">
      <c r="A1184" s="1" t="n">
        <v>2187</v>
      </c>
      <c r="B1184" s="29" t="s">
        <v>49</v>
      </c>
      <c r="C1184" s="62" t="n">
        <v>15</v>
      </c>
      <c r="D1184" s="29" t="s">
        <v>50</v>
      </c>
      <c r="E1184" s="29" t="s">
        <v>51</v>
      </c>
    </row>
    <row r="1185" customFormat="false" ht="14.25" hidden="false" customHeight="false" outlineLevel="0" collapsed="false">
      <c r="A1185" s="1" t="n">
        <v>2188</v>
      </c>
      <c r="B1185" s="29" t="s">
        <v>61</v>
      </c>
      <c r="C1185" s="62" t="n">
        <v>5.3</v>
      </c>
      <c r="D1185" s="29" t="s">
        <v>62</v>
      </c>
      <c r="E1185" s="29" t="s">
        <v>53</v>
      </c>
    </row>
    <row r="1186" customFormat="false" ht="14.25" hidden="false" customHeight="false" outlineLevel="0" collapsed="false">
      <c r="A1186" s="1" t="n">
        <v>2189</v>
      </c>
      <c r="B1186" s="29" t="s">
        <v>49</v>
      </c>
      <c r="C1186" s="62" t="n">
        <v>1.7</v>
      </c>
      <c r="D1186" s="29" t="s">
        <v>56</v>
      </c>
      <c r="E1186" s="29" t="s">
        <v>57</v>
      </c>
    </row>
    <row r="1187" customFormat="false" ht="14.25" hidden="false" customHeight="false" outlineLevel="0" collapsed="false">
      <c r="A1187" s="1" t="n">
        <v>2190</v>
      </c>
      <c r="B1187" s="29" t="s">
        <v>49</v>
      </c>
      <c r="C1187" s="62" t="n">
        <v>21.4</v>
      </c>
      <c r="D1187" s="29" t="s">
        <v>62</v>
      </c>
      <c r="E1187" s="29" t="s">
        <v>58</v>
      </c>
    </row>
    <row r="1188" customFormat="false" ht="14.25" hidden="false" customHeight="false" outlineLevel="0" collapsed="false">
      <c r="A1188" s="1" t="n">
        <v>2191</v>
      </c>
      <c r="B1188" s="29" t="s">
        <v>54</v>
      </c>
      <c r="C1188" s="62" t="n">
        <v>44.6</v>
      </c>
      <c r="D1188" s="29" t="s">
        <v>62</v>
      </c>
      <c r="E1188" s="29" t="s">
        <v>55</v>
      </c>
    </row>
    <row r="1189" customFormat="false" ht="14.25" hidden="false" customHeight="false" outlineLevel="0" collapsed="false">
      <c r="A1189" s="1" t="n">
        <v>2192</v>
      </c>
      <c r="B1189" s="29" t="s">
        <v>49</v>
      </c>
      <c r="C1189" s="62" t="n">
        <v>1.5</v>
      </c>
      <c r="D1189" s="29" t="s">
        <v>60</v>
      </c>
      <c r="E1189" s="29" t="s">
        <v>58</v>
      </c>
    </row>
    <row r="1190" customFormat="false" ht="14.25" hidden="false" customHeight="false" outlineLevel="0" collapsed="false">
      <c r="A1190" s="1" t="n">
        <v>2193</v>
      </c>
      <c r="B1190" s="29" t="s">
        <v>49</v>
      </c>
      <c r="C1190" s="62" t="n">
        <v>8.6</v>
      </c>
      <c r="D1190" s="29" t="s">
        <v>60</v>
      </c>
      <c r="E1190" s="29" t="s">
        <v>58</v>
      </c>
    </row>
    <row r="1191" customFormat="false" ht="14.25" hidden="false" customHeight="false" outlineLevel="0" collapsed="false">
      <c r="A1191" s="1" t="n">
        <v>2194</v>
      </c>
      <c r="B1191" s="29" t="s">
        <v>54</v>
      </c>
      <c r="C1191" s="62" t="n">
        <v>91.6</v>
      </c>
      <c r="D1191" s="29" t="s">
        <v>60</v>
      </c>
      <c r="E1191" s="29" t="s">
        <v>55</v>
      </c>
    </row>
    <row r="1192" customFormat="false" ht="14.25" hidden="false" customHeight="false" outlineLevel="0" collapsed="false">
      <c r="A1192" s="1" t="n">
        <v>2195</v>
      </c>
      <c r="B1192" s="29" t="s">
        <v>49</v>
      </c>
      <c r="C1192" s="62" t="n">
        <v>3.6</v>
      </c>
      <c r="D1192" s="29" t="s">
        <v>56</v>
      </c>
      <c r="E1192" s="29" t="s">
        <v>53</v>
      </c>
    </row>
    <row r="1193" customFormat="false" ht="14.25" hidden="false" customHeight="false" outlineLevel="0" collapsed="false">
      <c r="A1193" s="1" t="n">
        <v>2196</v>
      </c>
      <c r="B1193" s="29" t="s">
        <v>49</v>
      </c>
      <c r="C1193" s="62" t="n">
        <v>5.3</v>
      </c>
      <c r="D1193" s="29" t="s">
        <v>71</v>
      </c>
      <c r="E1193" s="29" t="s">
        <v>58</v>
      </c>
    </row>
    <row r="1194" customFormat="false" ht="14.25" hidden="false" customHeight="false" outlineLevel="0" collapsed="false">
      <c r="A1194" s="1" t="n">
        <v>2197</v>
      </c>
      <c r="B1194" s="29" t="s">
        <v>49</v>
      </c>
      <c r="C1194" s="62" t="n">
        <v>16.2</v>
      </c>
      <c r="D1194" s="29" t="s">
        <v>71</v>
      </c>
      <c r="E1194" s="29" t="s">
        <v>58</v>
      </c>
    </row>
    <row r="1195" customFormat="false" ht="14.25" hidden="false" customHeight="false" outlineLevel="0" collapsed="false">
      <c r="A1195" s="1" t="n">
        <v>2198</v>
      </c>
      <c r="B1195" s="29" t="s">
        <v>49</v>
      </c>
      <c r="C1195" s="62" t="n">
        <v>9.3</v>
      </c>
      <c r="D1195" s="29" t="s">
        <v>59</v>
      </c>
      <c r="E1195" s="29" t="s">
        <v>58</v>
      </c>
    </row>
    <row r="1196" customFormat="false" ht="14.25" hidden="false" customHeight="false" outlineLevel="0" collapsed="false">
      <c r="A1196" s="1" t="n">
        <v>2199</v>
      </c>
      <c r="B1196" s="29" t="s">
        <v>49</v>
      </c>
      <c r="C1196" s="62" t="n">
        <v>3.5</v>
      </c>
      <c r="D1196" s="29" t="s">
        <v>71</v>
      </c>
      <c r="E1196" s="29" t="s">
        <v>53</v>
      </c>
    </row>
    <row r="1197" customFormat="false" ht="14.25" hidden="false" customHeight="false" outlineLevel="0" collapsed="false">
      <c r="A1197" s="1" t="n">
        <v>2200</v>
      </c>
      <c r="B1197" s="29" t="s">
        <v>49</v>
      </c>
      <c r="C1197" s="62" t="n">
        <v>4.6</v>
      </c>
      <c r="D1197" s="29" t="s">
        <v>56</v>
      </c>
      <c r="E1197" s="29" t="s">
        <v>53</v>
      </c>
    </row>
    <row r="1198" customFormat="false" ht="14.25" hidden="false" customHeight="false" outlineLevel="0" collapsed="false">
      <c r="A1198" s="1" t="n">
        <v>2201</v>
      </c>
      <c r="B1198" s="29" t="s">
        <v>49</v>
      </c>
      <c r="C1198" s="62" t="n">
        <v>6.4</v>
      </c>
      <c r="D1198" s="29" t="s">
        <v>69</v>
      </c>
      <c r="E1198" s="29" t="s">
        <v>51</v>
      </c>
    </row>
    <row r="1199" customFormat="false" ht="14.25" hidden="false" customHeight="false" outlineLevel="0" collapsed="false">
      <c r="A1199" s="1" t="n">
        <v>2202</v>
      </c>
      <c r="B1199" s="29" t="s">
        <v>49</v>
      </c>
      <c r="C1199" s="62" t="n">
        <v>0.5</v>
      </c>
      <c r="D1199" s="29" t="s">
        <v>56</v>
      </c>
      <c r="E1199" s="29" t="s">
        <v>58</v>
      </c>
    </row>
    <row r="1200" customFormat="false" ht="14.25" hidden="false" customHeight="false" outlineLevel="0" collapsed="false">
      <c r="A1200" s="1" t="n">
        <v>2203</v>
      </c>
      <c r="B1200" s="29" t="s">
        <v>54</v>
      </c>
      <c r="C1200" s="62" t="n">
        <v>48.2</v>
      </c>
      <c r="D1200" s="29" t="s">
        <v>56</v>
      </c>
      <c r="E1200" s="29" t="s">
        <v>66</v>
      </c>
    </row>
    <row r="1201" customFormat="false" ht="14.25" hidden="false" customHeight="false" outlineLevel="0" collapsed="false">
      <c r="A1201" s="1" t="n">
        <v>2204</v>
      </c>
      <c r="B1201" s="29" t="s">
        <v>49</v>
      </c>
      <c r="C1201" s="62" t="n">
        <v>6.2</v>
      </c>
      <c r="D1201" s="29" t="s">
        <v>56</v>
      </c>
      <c r="E1201" s="29" t="s">
        <v>58</v>
      </c>
    </row>
    <row r="1202" customFormat="false" ht="14.25" hidden="false" customHeight="false" outlineLevel="0" collapsed="false">
      <c r="A1202" s="1" t="n">
        <v>2205</v>
      </c>
      <c r="B1202" s="29" t="s">
        <v>49</v>
      </c>
      <c r="C1202" s="62" t="n">
        <v>2.1</v>
      </c>
      <c r="D1202" s="29" t="s">
        <v>50</v>
      </c>
      <c r="E1202" s="29" t="s">
        <v>53</v>
      </c>
    </row>
    <row r="1203" customFormat="false" ht="14.25" hidden="false" customHeight="false" outlineLevel="0" collapsed="false">
      <c r="A1203" s="1" t="n">
        <v>2206</v>
      </c>
      <c r="B1203" s="29" t="s">
        <v>49</v>
      </c>
      <c r="C1203" s="62" t="n">
        <v>7</v>
      </c>
      <c r="D1203" s="29" t="s">
        <v>67</v>
      </c>
      <c r="E1203" s="29" t="s">
        <v>51</v>
      </c>
    </row>
    <row r="1204" customFormat="false" ht="14.25" hidden="false" customHeight="false" outlineLevel="0" collapsed="false">
      <c r="A1204" s="1" t="n">
        <v>2207</v>
      </c>
      <c r="B1204" s="29" t="s">
        <v>61</v>
      </c>
      <c r="C1204" s="62" t="n">
        <v>26.2</v>
      </c>
      <c r="D1204" s="29" t="s">
        <v>50</v>
      </c>
      <c r="E1204" s="29" t="s">
        <v>65</v>
      </c>
    </row>
    <row r="1205" customFormat="false" ht="14.25" hidden="false" customHeight="false" outlineLevel="0" collapsed="false">
      <c r="A1205" s="1" t="n">
        <v>2208</v>
      </c>
      <c r="B1205" s="29" t="s">
        <v>54</v>
      </c>
      <c r="C1205" s="62" t="n">
        <v>97.4</v>
      </c>
      <c r="D1205" s="29" t="s">
        <v>50</v>
      </c>
      <c r="E1205" s="29" t="s">
        <v>66</v>
      </c>
    </row>
    <row r="1206" customFormat="false" ht="14.25" hidden="false" customHeight="false" outlineLevel="0" collapsed="false">
      <c r="A1206" s="1" t="n">
        <v>2209</v>
      </c>
      <c r="B1206" s="29" t="s">
        <v>61</v>
      </c>
      <c r="C1206" s="62" t="n">
        <v>5.5</v>
      </c>
      <c r="D1206" s="29" t="s">
        <v>50</v>
      </c>
      <c r="E1206" s="29" t="s">
        <v>58</v>
      </c>
    </row>
    <row r="1207" customFormat="false" ht="14.25" hidden="false" customHeight="false" outlineLevel="0" collapsed="false">
      <c r="A1207" s="1" t="n">
        <v>2210</v>
      </c>
      <c r="B1207" s="29" t="s">
        <v>49</v>
      </c>
      <c r="C1207" s="62" t="n">
        <v>7.7</v>
      </c>
      <c r="D1207" s="29" t="s">
        <v>70</v>
      </c>
      <c r="E1207" s="29" t="s">
        <v>58</v>
      </c>
    </row>
    <row r="1208" customFormat="false" ht="14.25" hidden="false" customHeight="false" outlineLevel="0" collapsed="false">
      <c r="A1208" s="1" t="n">
        <v>2211</v>
      </c>
      <c r="B1208" s="29" t="s">
        <v>49</v>
      </c>
      <c r="C1208" s="62" t="n">
        <v>21.4</v>
      </c>
      <c r="D1208" s="29" t="s">
        <v>50</v>
      </c>
      <c r="E1208" s="29" t="s">
        <v>58</v>
      </c>
    </row>
    <row r="1209" customFormat="false" ht="14.25" hidden="false" customHeight="false" outlineLevel="0" collapsed="false">
      <c r="A1209" s="1" t="n">
        <v>2212</v>
      </c>
      <c r="B1209" s="29" t="s">
        <v>49</v>
      </c>
      <c r="C1209" s="62" t="n">
        <v>3.1</v>
      </c>
      <c r="D1209" s="29" t="s">
        <v>50</v>
      </c>
      <c r="E1209" s="29" t="s">
        <v>53</v>
      </c>
    </row>
    <row r="1210" customFormat="false" ht="14.25" hidden="false" customHeight="false" outlineLevel="0" collapsed="false">
      <c r="A1210" s="1" t="n">
        <v>2213</v>
      </c>
      <c r="B1210" s="29" t="s">
        <v>61</v>
      </c>
      <c r="C1210" s="62" t="n">
        <v>2.1</v>
      </c>
      <c r="D1210" s="29" t="s">
        <v>63</v>
      </c>
      <c r="E1210" s="29" t="s">
        <v>53</v>
      </c>
    </row>
    <row r="1211" customFormat="false" ht="14.25" hidden="false" customHeight="false" outlineLevel="0" collapsed="false">
      <c r="A1211" s="1" t="n">
        <v>2214</v>
      </c>
      <c r="B1211" s="29" t="s">
        <v>49</v>
      </c>
      <c r="C1211" s="62" t="n">
        <v>0.9</v>
      </c>
      <c r="D1211" s="29" t="s">
        <v>59</v>
      </c>
      <c r="E1211" s="29" t="s">
        <v>57</v>
      </c>
    </row>
    <row r="1212" customFormat="false" ht="14.25" hidden="false" customHeight="false" outlineLevel="0" collapsed="false">
      <c r="A1212" s="1" t="n">
        <v>2215</v>
      </c>
      <c r="B1212" s="29" t="s">
        <v>49</v>
      </c>
      <c r="C1212" s="62" t="n">
        <v>8.8</v>
      </c>
      <c r="D1212" s="29" t="s">
        <v>52</v>
      </c>
      <c r="E1212" s="29" t="s">
        <v>58</v>
      </c>
    </row>
    <row r="1213" customFormat="false" ht="14.25" hidden="false" customHeight="false" outlineLevel="0" collapsed="false">
      <c r="A1213" s="1" t="n">
        <v>2216</v>
      </c>
      <c r="B1213" s="29" t="s">
        <v>54</v>
      </c>
      <c r="C1213" s="62" t="n">
        <v>15</v>
      </c>
      <c r="D1213" s="29" t="s">
        <v>52</v>
      </c>
      <c r="E1213" s="29" t="s">
        <v>66</v>
      </c>
    </row>
    <row r="1214" customFormat="false" ht="14.25" hidden="false" customHeight="false" outlineLevel="0" collapsed="false">
      <c r="A1214" s="1" t="n">
        <v>2217</v>
      </c>
      <c r="B1214" s="29" t="s">
        <v>49</v>
      </c>
      <c r="C1214" s="62" t="n">
        <v>9.6</v>
      </c>
      <c r="D1214" s="29" t="s">
        <v>59</v>
      </c>
      <c r="E1214" s="29" t="s">
        <v>58</v>
      </c>
    </row>
    <row r="1215" customFormat="false" ht="14.25" hidden="false" customHeight="false" outlineLevel="0" collapsed="false">
      <c r="A1215" s="1" t="n">
        <v>2218</v>
      </c>
      <c r="B1215" s="29" t="s">
        <v>61</v>
      </c>
      <c r="C1215" s="62" t="n">
        <v>1.2</v>
      </c>
      <c r="D1215" s="29" t="s">
        <v>50</v>
      </c>
      <c r="E1215" s="29" t="s">
        <v>57</v>
      </c>
    </row>
    <row r="1216" customFormat="false" ht="14.25" hidden="false" customHeight="false" outlineLevel="0" collapsed="false">
      <c r="A1216" s="1" t="n">
        <v>2219</v>
      </c>
      <c r="B1216" s="29" t="s">
        <v>49</v>
      </c>
      <c r="C1216" s="62" t="n">
        <v>4.5</v>
      </c>
      <c r="D1216" s="29" t="s">
        <v>50</v>
      </c>
      <c r="E1216" s="29" t="s">
        <v>53</v>
      </c>
    </row>
    <row r="1217" customFormat="false" ht="14.25" hidden="false" customHeight="false" outlineLevel="0" collapsed="false">
      <c r="A1217" s="1" t="n">
        <v>2220</v>
      </c>
      <c r="B1217" s="29" t="s">
        <v>49</v>
      </c>
      <c r="C1217" s="62" t="n">
        <v>8.2</v>
      </c>
      <c r="D1217" s="29" t="s">
        <v>52</v>
      </c>
      <c r="E1217" s="29" t="s">
        <v>58</v>
      </c>
    </row>
    <row r="1218" customFormat="false" ht="14.25" hidden="false" customHeight="false" outlineLevel="0" collapsed="false">
      <c r="A1218" s="1" t="n">
        <v>2221</v>
      </c>
      <c r="B1218" s="29" t="s">
        <v>49</v>
      </c>
      <c r="C1218" s="62" t="n">
        <v>10.1</v>
      </c>
      <c r="D1218" s="29" t="s">
        <v>52</v>
      </c>
      <c r="E1218" s="29" t="s">
        <v>51</v>
      </c>
    </row>
    <row r="1219" customFormat="false" ht="14.25" hidden="false" customHeight="false" outlineLevel="0" collapsed="false">
      <c r="A1219" s="1" t="n">
        <v>2222</v>
      </c>
      <c r="B1219" s="29" t="s">
        <v>49</v>
      </c>
      <c r="C1219" s="62" t="n">
        <v>3.5</v>
      </c>
      <c r="D1219" s="29" t="s">
        <v>56</v>
      </c>
      <c r="E1219" s="29" t="s">
        <v>53</v>
      </c>
    </row>
    <row r="1220" customFormat="false" ht="14.25" hidden="false" customHeight="false" outlineLevel="0" collapsed="false">
      <c r="A1220" s="1" t="n">
        <v>2223</v>
      </c>
      <c r="B1220" s="29" t="s">
        <v>49</v>
      </c>
      <c r="C1220" s="62" t="n">
        <v>1.7</v>
      </c>
      <c r="D1220" s="29" t="s">
        <v>63</v>
      </c>
      <c r="E1220" s="29" t="s">
        <v>57</v>
      </c>
    </row>
    <row r="1221" customFormat="false" ht="14.25" hidden="false" customHeight="false" outlineLevel="0" collapsed="false">
      <c r="A1221" s="1" t="n">
        <v>2224</v>
      </c>
      <c r="B1221" s="29" t="s">
        <v>49</v>
      </c>
      <c r="C1221" s="62" t="n">
        <v>0.5</v>
      </c>
      <c r="D1221" s="29" t="s">
        <v>59</v>
      </c>
      <c r="E1221" s="29" t="s">
        <v>58</v>
      </c>
    </row>
    <row r="1222" customFormat="false" ht="14.25" hidden="false" customHeight="false" outlineLevel="0" collapsed="false">
      <c r="A1222" s="1" t="n">
        <v>2225</v>
      </c>
      <c r="B1222" s="29" t="s">
        <v>54</v>
      </c>
      <c r="C1222" s="62" t="n">
        <v>32.1</v>
      </c>
      <c r="D1222" s="29" t="s">
        <v>50</v>
      </c>
      <c r="E1222" s="29" t="s">
        <v>66</v>
      </c>
    </row>
    <row r="1223" customFormat="false" ht="14.25" hidden="false" customHeight="false" outlineLevel="0" collapsed="false">
      <c r="A1223" s="1" t="n">
        <v>2226</v>
      </c>
      <c r="B1223" s="29" t="s">
        <v>54</v>
      </c>
      <c r="C1223" s="62" t="n">
        <v>68.7</v>
      </c>
      <c r="D1223" s="29" t="s">
        <v>59</v>
      </c>
      <c r="E1223" s="29" t="s">
        <v>66</v>
      </c>
    </row>
    <row r="1224" customFormat="false" ht="14.25" hidden="false" customHeight="false" outlineLevel="0" collapsed="false">
      <c r="A1224" s="1" t="n">
        <v>2227</v>
      </c>
      <c r="B1224" s="29" t="s">
        <v>49</v>
      </c>
      <c r="C1224" s="62" t="n">
        <v>9.4</v>
      </c>
      <c r="D1224" s="29" t="s">
        <v>59</v>
      </c>
      <c r="E1224" s="29" t="s">
        <v>58</v>
      </c>
    </row>
    <row r="1225" customFormat="false" ht="14.25" hidden="false" customHeight="false" outlineLevel="0" collapsed="false">
      <c r="A1225" s="1" t="n">
        <v>2228</v>
      </c>
      <c r="B1225" s="29" t="s">
        <v>54</v>
      </c>
      <c r="C1225" s="62" t="n">
        <v>32.1</v>
      </c>
      <c r="D1225" s="29" t="s">
        <v>59</v>
      </c>
      <c r="E1225" s="29" t="s">
        <v>66</v>
      </c>
    </row>
    <row r="1226" customFormat="false" ht="14.25" hidden="false" customHeight="false" outlineLevel="0" collapsed="false">
      <c r="A1226" s="1" t="n">
        <v>2229</v>
      </c>
      <c r="B1226" s="29" t="s">
        <v>49</v>
      </c>
      <c r="C1226" s="62" t="n">
        <v>10.1</v>
      </c>
      <c r="D1226" s="29" t="s">
        <v>59</v>
      </c>
      <c r="E1226" s="29" t="s">
        <v>58</v>
      </c>
    </row>
    <row r="1227" customFormat="false" ht="14.25" hidden="false" customHeight="false" outlineLevel="0" collapsed="false">
      <c r="A1227" s="1" t="n">
        <v>2230</v>
      </c>
      <c r="B1227" s="29" t="s">
        <v>49</v>
      </c>
      <c r="C1227" s="62" t="n">
        <v>37.5</v>
      </c>
      <c r="D1227" s="29" t="s">
        <v>59</v>
      </c>
      <c r="E1227" s="29" t="s">
        <v>65</v>
      </c>
    </row>
    <row r="1228" customFormat="false" ht="14.25" hidden="false" customHeight="false" outlineLevel="0" collapsed="false">
      <c r="A1228" s="1" t="n">
        <v>2231</v>
      </c>
      <c r="B1228" s="29" t="s">
        <v>61</v>
      </c>
      <c r="C1228" s="62" t="n">
        <v>9.6</v>
      </c>
      <c r="D1228" s="29" t="s">
        <v>59</v>
      </c>
      <c r="E1228" s="29" t="s">
        <v>58</v>
      </c>
    </row>
    <row r="1229" customFormat="false" ht="14.25" hidden="false" customHeight="false" outlineLevel="0" collapsed="false">
      <c r="A1229" s="1" t="n">
        <v>2232</v>
      </c>
      <c r="B1229" s="29" t="s">
        <v>54</v>
      </c>
      <c r="C1229" s="62" t="n">
        <v>47.7</v>
      </c>
      <c r="D1229" s="29" t="s">
        <v>62</v>
      </c>
      <c r="E1229" s="29" t="s">
        <v>55</v>
      </c>
    </row>
    <row r="1230" customFormat="false" ht="14.25" hidden="false" customHeight="false" outlineLevel="0" collapsed="false">
      <c r="A1230" s="1" t="n">
        <v>2233</v>
      </c>
      <c r="B1230" s="29" t="s">
        <v>49</v>
      </c>
      <c r="C1230" s="62" t="n">
        <v>3.7</v>
      </c>
      <c r="D1230" s="29" t="s">
        <v>62</v>
      </c>
      <c r="E1230" s="29" t="s">
        <v>58</v>
      </c>
    </row>
    <row r="1231" customFormat="false" ht="14.25" hidden="false" customHeight="false" outlineLevel="0" collapsed="false">
      <c r="A1231" s="1" t="n">
        <v>2234</v>
      </c>
      <c r="B1231" s="29" t="s">
        <v>49</v>
      </c>
      <c r="C1231" s="62" t="n">
        <v>2.5</v>
      </c>
      <c r="D1231" s="29" t="s">
        <v>62</v>
      </c>
      <c r="E1231" s="29" t="s">
        <v>53</v>
      </c>
    </row>
    <row r="1232" customFormat="false" ht="14.25" hidden="false" customHeight="false" outlineLevel="0" collapsed="false">
      <c r="A1232" s="1" t="n">
        <v>2235</v>
      </c>
      <c r="B1232" s="29" t="s">
        <v>49</v>
      </c>
      <c r="C1232" s="62" t="n">
        <v>21.4</v>
      </c>
      <c r="D1232" s="29" t="s">
        <v>62</v>
      </c>
      <c r="E1232" s="29" t="s">
        <v>58</v>
      </c>
    </row>
    <row r="1233" customFormat="false" ht="14.25" hidden="false" customHeight="false" outlineLevel="0" collapsed="false">
      <c r="A1233" s="1" t="n">
        <v>2236</v>
      </c>
      <c r="B1233" s="29" t="s">
        <v>49</v>
      </c>
      <c r="C1233" s="62" t="n">
        <v>6.4</v>
      </c>
      <c r="D1233" s="29" t="s">
        <v>59</v>
      </c>
      <c r="E1233" s="29" t="s">
        <v>51</v>
      </c>
    </row>
    <row r="1234" customFormat="false" ht="14.25" hidden="false" customHeight="false" outlineLevel="0" collapsed="false">
      <c r="A1234" s="1" t="n">
        <v>2237</v>
      </c>
      <c r="B1234" s="29" t="s">
        <v>49</v>
      </c>
      <c r="C1234" s="62" t="n">
        <v>5.1</v>
      </c>
      <c r="D1234" s="29" t="s">
        <v>56</v>
      </c>
      <c r="E1234" s="29" t="s">
        <v>58</v>
      </c>
    </row>
    <row r="1235" customFormat="false" ht="14.25" hidden="false" customHeight="false" outlineLevel="0" collapsed="false">
      <c r="A1235" s="1" t="n">
        <v>2238</v>
      </c>
      <c r="B1235" s="29" t="s">
        <v>49</v>
      </c>
      <c r="C1235" s="62" t="n">
        <v>5.7</v>
      </c>
      <c r="D1235" s="29" t="s">
        <v>56</v>
      </c>
      <c r="E1235" s="29" t="s">
        <v>51</v>
      </c>
    </row>
    <row r="1236" customFormat="false" ht="14.25" hidden="false" customHeight="false" outlineLevel="0" collapsed="false">
      <c r="A1236" s="1" t="n">
        <v>2239</v>
      </c>
      <c r="B1236" s="29" t="s">
        <v>49</v>
      </c>
      <c r="C1236" s="62" t="n">
        <v>1.5</v>
      </c>
      <c r="D1236" s="29" t="s">
        <v>56</v>
      </c>
      <c r="E1236" s="29" t="s">
        <v>57</v>
      </c>
    </row>
    <row r="1237" customFormat="false" ht="14.25" hidden="false" customHeight="false" outlineLevel="0" collapsed="false">
      <c r="A1237" s="1" t="n">
        <v>2240</v>
      </c>
      <c r="B1237" s="29" t="s">
        <v>54</v>
      </c>
      <c r="C1237" s="62" t="n">
        <v>69.1</v>
      </c>
      <c r="D1237" s="29" t="s">
        <v>60</v>
      </c>
      <c r="E1237" s="29" t="s">
        <v>55</v>
      </c>
    </row>
    <row r="1238" customFormat="false" ht="14.25" hidden="false" customHeight="false" outlineLevel="0" collapsed="false">
      <c r="A1238" s="1" t="n">
        <v>2241</v>
      </c>
      <c r="B1238" s="29" t="s">
        <v>61</v>
      </c>
      <c r="C1238" s="62" t="n">
        <v>12.6</v>
      </c>
      <c r="D1238" s="29" t="s">
        <v>56</v>
      </c>
      <c r="E1238" s="29" t="s">
        <v>51</v>
      </c>
    </row>
    <row r="1239" customFormat="false" ht="14.25" hidden="false" customHeight="false" outlineLevel="0" collapsed="false">
      <c r="A1239" s="1" t="n">
        <v>2242</v>
      </c>
      <c r="B1239" s="29" t="s">
        <v>49</v>
      </c>
      <c r="C1239" s="62" t="n">
        <v>13.3</v>
      </c>
      <c r="D1239" s="29" t="s">
        <v>56</v>
      </c>
      <c r="E1239" s="29" t="s">
        <v>58</v>
      </c>
    </row>
    <row r="1240" customFormat="false" ht="14.25" hidden="false" customHeight="false" outlineLevel="0" collapsed="false">
      <c r="A1240" s="1" t="n">
        <v>2243</v>
      </c>
      <c r="B1240" s="29" t="s">
        <v>49</v>
      </c>
      <c r="C1240" s="62" t="n">
        <v>6.2</v>
      </c>
      <c r="D1240" s="29" t="s">
        <v>56</v>
      </c>
      <c r="E1240" s="29" t="s">
        <v>51</v>
      </c>
    </row>
    <row r="1241" customFormat="false" ht="14.25" hidden="false" customHeight="false" outlineLevel="0" collapsed="false">
      <c r="A1241" s="1" t="n">
        <v>2244</v>
      </c>
      <c r="B1241" s="29" t="s">
        <v>49</v>
      </c>
      <c r="C1241" s="62" t="n">
        <v>14.9</v>
      </c>
      <c r="D1241" s="29" t="s">
        <v>63</v>
      </c>
      <c r="E1241" s="29" t="s">
        <v>57</v>
      </c>
    </row>
    <row r="1242" customFormat="false" ht="14.25" hidden="false" customHeight="false" outlineLevel="0" collapsed="false">
      <c r="A1242" s="1" t="n">
        <v>2245</v>
      </c>
      <c r="B1242" s="29" t="s">
        <v>49</v>
      </c>
      <c r="C1242" s="62" t="n">
        <v>6.9</v>
      </c>
      <c r="D1242" s="29" t="s">
        <v>52</v>
      </c>
      <c r="E1242" s="29" t="s">
        <v>58</v>
      </c>
    </row>
    <row r="1243" customFormat="false" ht="14.25" hidden="false" customHeight="false" outlineLevel="0" collapsed="false">
      <c r="A1243" s="1" t="n">
        <v>2246</v>
      </c>
      <c r="B1243" s="29" t="s">
        <v>49</v>
      </c>
      <c r="C1243" s="62" t="n">
        <v>4.8</v>
      </c>
      <c r="D1243" s="29" t="s">
        <v>62</v>
      </c>
      <c r="E1243" s="29" t="s">
        <v>58</v>
      </c>
    </row>
    <row r="1244" customFormat="false" ht="14.25" hidden="false" customHeight="false" outlineLevel="0" collapsed="false">
      <c r="A1244" s="1" t="n">
        <v>2247</v>
      </c>
      <c r="B1244" s="29" t="s">
        <v>49</v>
      </c>
      <c r="C1244" s="62" t="n">
        <v>1</v>
      </c>
      <c r="D1244" s="29" t="s">
        <v>60</v>
      </c>
      <c r="E1244" s="29" t="s">
        <v>57</v>
      </c>
    </row>
    <row r="1245" customFormat="false" ht="14.25" hidden="false" customHeight="false" outlineLevel="0" collapsed="false">
      <c r="A1245" s="1" t="n">
        <v>2248</v>
      </c>
      <c r="B1245" s="29" t="s">
        <v>49</v>
      </c>
      <c r="C1245" s="62" t="n">
        <v>0.5</v>
      </c>
      <c r="D1245" s="29" t="s">
        <v>67</v>
      </c>
      <c r="E1245" s="29" t="s">
        <v>58</v>
      </c>
    </row>
    <row r="1246" customFormat="false" ht="14.25" hidden="false" customHeight="false" outlineLevel="0" collapsed="false">
      <c r="A1246" s="1" t="n">
        <v>2249</v>
      </c>
      <c r="B1246" s="29" t="s">
        <v>49</v>
      </c>
      <c r="C1246" s="62" t="n">
        <v>6.6</v>
      </c>
      <c r="D1246" s="29" t="s">
        <v>52</v>
      </c>
      <c r="E1246" s="29" t="s">
        <v>58</v>
      </c>
    </row>
    <row r="1247" customFormat="false" ht="14.25" hidden="false" customHeight="false" outlineLevel="0" collapsed="false">
      <c r="A1247" s="1" t="n">
        <v>2250</v>
      </c>
      <c r="B1247" s="29" t="s">
        <v>49</v>
      </c>
      <c r="C1247" s="62" t="n">
        <v>4.3</v>
      </c>
      <c r="D1247" s="29" t="s">
        <v>59</v>
      </c>
      <c r="E1247" s="29" t="s">
        <v>58</v>
      </c>
    </row>
    <row r="1248" customFormat="false" ht="14.25" hidden="false" customHeight="false" outlineLevel="0" collapsed="false">
      <c r="A1248" s="1" t="n">
        <v>2251</v>
      </c>
      <c r="B1248" s="29" t="s">
        <v>49</v>
      </c>
      <c r="C1248" s="62" t="n">
        <v>0.5</v>
      </c>
      <c r="D1248" s="29" t="s">
        <v>59</v>
      </c>
      <c r="E1248" s="29" t="s">
        <v>58</v>
      </c>
    </row>
    <row r="1249" customFormat="false" ht="14.25" hidden="false" customHeight="false" outlineLevel="0" collapsed="false">
      <c r="A1249" s="1" t="n">
        <v>2252</v>
      </c>
      <c r="B1249" s="29" t="s">
        <v>49</v>
      </c>
      <c r="C1249" s="62" t="n">
        <v>6.2</v>
      </c>
      <c r="D1249" s="29" t="s">
        <v>52</v>
      </c>
      <c r="E1249" s="29" t="s">
        <v>58</v>
      </c>
    </row>
    <row r="1250" customFormat="false" ht="14.25" hidden="false" customHeight="false" outlineLevel="0" collapsed="false">
      <c r="A1250" s="1" t="n">
        <v>2253</v>
      </c>
      <c r="B1250" s="29" t="s">
        <v>49</v>
      </c>
      <c r="C1250" s="62" t="n">
        <v>3.6</v>
      </c>
      <c r="D1250" s="29" t="s">
        <v>59</v>
      </c>
      <c r="E1250" s="29" t="s">
        <v>53</v>
      </c>
    </row>
    <row r="1251" customFormat="false" ht="14.25" hidden="false" customHeight="false" outlineLevel="0" collapsed="false">
      <c r="A1251" s="1" t="n">
        <v>2254</v>
      </c>
      <c r="B1251" s="29" t="s">
        <v>54</v>
      </c>
      <c r="C1251" s="62" t="n">
        <v>71.3</v>
      </c>
      <c r="D1251" s="29" t="s">
        <v>59</v>
      </c>
      <c r="E1251" s="29" t="s">
        <v>55</v>
      </c>
    </row>
    <row r="1252" customFormat="false" ht="14.25" hidden="false" customHeight="false" outlineLevel="0" collapsed="false">
      <c r="A1252" s="1" t="n">
        <v>2255</v>
      </c>
      <c r="B1252" s="29" t="s">
        <v>49</v>
      </c>
      <c r="C1252" s="62" t="n">
        <v>15</v>
      </c>
      <c r="D1252" s="29" t="s">
        <v>59</v>
      </c>
      <c r="E1252" s="29" t="s">
        <v>51</v>
      </c>
    </row>
    <row r="1253" customFormat="false" ht="14.25" hidden="false" customHeight="false" outlineLevel="0" collapsed="false">
      <c r="A1253" s="1" t="n">
        <v>2256</v>
      </c>
      <c r="B1253" s="29" t="s">
        <v>61</v>
      </c>
      <c r="C1253" s="62" t="n">
        <v>0.7</v>
      </c>
      <c r="D1253" s="29" t="s">
        <v>59</v>
      </c>
      <c r="E1253" s="29" t="s">
        <v>57</v>
      </c>
    </row>
    <row r="1254" customFormat="false" ht="14.25" hidden="false" customHeight="false" outlineLevel="0" collapsed="false">
      <c r="A1254" s="1" t="n">
        <v>2257</v>
      </c>
      <c r="B1254" s="29" t="s">
        <v>49</v>
      </c>
      <c r="C1254" s="62" t="n">
        <v>7.1</v>
      </c>
      <c r="D1254" s="29" t="s">
        <v>59</v>
      </c>
      <c r="E1254" s="29" t="s">
        <v>58</v>
      </c>
    </row>
    <row r="1255" customFormat="false" ht="14.25" hidden="false" customHeight="false" outlineLevel="0" collapsed="false">
      <c r="A1255" s="1" t="n">
        <v>2258</v>
      </c>
      <c r="B1255" s="29" t="s">
        <v>49</v>
      </c>
      <c r="C1255" s="62" t="n">
        <v>5.9</v>
      </c>
      <c r="D1255" s="29" t="s">
        <v>60</v>
      </c>
      <c r="E1255" s="29" t="s">
        <v>58</v>
      </c>
    </row>
    <row r="1256" customFormat="false" ht="14.25" hidden="false" customHeight="false" outlineLevel="0" collapsed="false">
      <c r="A1256" s="1" t="n">
        <v>2259</v>
      </c>
      <c r="B1256" s="29" t="s">
        <v>49</v>
      </c>
      <c r="C1256" s="62" t="n">
        <v>8.9</v>
      </c>
      <c r="D1256" s="29" t="s">
        <v>56</v>
      </c>
      <c r="E1256" s="29" t="s">
        <v>58</v>
      </c>
    </row>
    <row r="1257" customFormat="false" ht="14.25" hidden="false" customHeight="false" outlineLevel="0" collapsed="false">
      <c r="A1257" s="1" t="n">
        <v>2260</v>
      </c>
      <c r="B1257" s="29" t="s">
        <v>49</v>
      </c>
      <c r="C1257" s="62" t="n">
        <v>4.3</v>
      </c>
      <c r="D1257" s="29" t="s">
        <v>52</v>
      </c>
      <c r="E1257" s="29" t="s">
        <v>58</v>
      </c>
    </row>
    <row r="1258" customFormat="false" ht="14.25" hidden="false" customHeight="false" outlineLevel="0" collapsed="false">
      <c r="A1258" s="1" t="n">
        <v>2261</v>
      </c>
      <c r="B1258" s="29" t="s">
        <v>49</v>
      </c>
      <c r="C1258" s="62" t="n">
        <v>6.6</v>
      </c>
      <c r="D1258" s="29" t="s">
        <v>50</v>
      </c>
      <c r="E1258" s="29" t="s">
        <v>58</v>
      </c>
    </row>
    <row r="1259" customFormat="false" ht="14.25" hidden="false" customHeight="false" outlineLevel="0" collapsed="false">
      <c r="A1259" s="1" t="n">
        <v>2262</v>
      </c>
      <c r="B1259" s="29" t="s">
        <v>49</v>
      </c>
      <c r="C1259" s="62" t="n">
        <v>15.9</v>
      </c>
      <c r="D1259" s="29" t="s">
        <v>59</v>
      </c>
      <c r="E1259" s="29" t="s">
        <v>65</v>
      </c>
    </row>
    <row r="1260" customFormat="false" ht="14.25" hidden="false" customHeight="false" outlineLevel="0" collapsed="false">
      <c r="A1260" s="1" t="n">
        <v>2263</v>
      </c>
      <c r="B1260" s="29" t="s">
        <v>49</v>
      </c>
      <c r="C1260" s="62" t="n">
        <v>2.7</v>
      </c>
      <c r="D1260" s="29" t="s">
        <v>56</v>
      </c>
      <c r="E1260" s="29" t="s">
        <v>58</v>
      </c>
    </row>
    <row r="1261" customFormat="false" ht="14.25" hidden="false" customHeight="false" outlineLevel="0" collapsed="false">
      <c r="A1261" s="1" t="n">
        <v>2264</v>
      </c>
      <c r="B1261" s="29" t="s">
        <v>61</v>
      </c>
      <c r="C1261" s="62" t="n">
        <v>0.5</v>
      </c>
      <c r="D1261" s="29" t="s">
        <v>56</v>
      </c>
      <c r="E1261" s="29" t="s">
        <v>58</v>
      </c>
    </row>
    <row r="1262" customFormat="false" ht="14.25" hidden="false" customHeight="false" outlineLevel="0" collapsed="false">
      <c r="A1262" s="1" t="n">
        <v>2265</v>
      </c>
      <c r="B1262" s="29" t="s">
        <v>49</v>
      </c>
      <c r="C1262" s="62" t="n">
        <v>37.5</v>
      </c>
      <c r="D1262" s="29" t="s">
        <v>56</v>
      </c>
      <c r="E1262" s="29" t="s">
        <v>65</v>
      </c>
    </row>
    <row r="1263" customFormat="false" ht="14.25" hidden="false" customHeight="false" outlineLevel="0" collapsed="false">
      <c r="A1263" s="1" t="n">
        <v>2266</v>
      </c>
      <c r="B1263" s="29" t="s">
        <v>49</v>
      </c>
      <c r="C1263" s="62" t="n">
        <v>1.6</v>
      </c>
      <c r="D1263" s="29" t="s">
        <v>56</v>
      </c>
      <c r="E1263" s="29" t="s">
        <v>58</v>
      </c>
    </row>
    <row r="1264" customFormat="false" ht="14.25" hidden="false" customHeight="false" outlineLevel="0" collapsed="false">
      <c r="A1264" s="1" t="n">
        <v>2267</v>
      </c>
      <c r="B1264" s="29" t="s">
        <v>49</v>
      </c>
      <c r="C1264" s="62" t="n">
        <v>26.2</v>
      </c>
      <c r="D1264" s="29" t="s">
        <v>59</v>
      </c>
      <c r="E1264" s="29" t="s">
        <v>65</v>
      </c>
    </row>
    <row r="1265" customFormat="false" ht="14.25" hidden="false" customHeight="false" outlineLevel="0" collapsed="false">
      <c r="A1265" s="1" t="n">
        <v>2268</v>
      </c>
      <c r="B1265" s="29" t="s">
        <v>61</v>
      </c>
      <c r="C1265" s="62" t="n">
        <v>1.3</v>
      </c>
      <c r="D1265" s="29" t="s">
        <v>59</v>
      </c>
      <c r="E1265" s="29" t="s">
        <v>53</v>
      </c>
    </row>
    <row r="1266" customFormat="false" ht="14.25" hidden="false" customHeight="false" outlineLevel="0" collapsed="false">
      <c r="A1266" s="1" t="n">
        <v>2269</v>
      </c>
      <c r="B1266" s="29" t="s">
        <v>49</v>
      </c>
      <c r="C1266" s="62" t="n">
        <v>17.5</v>
      </c>
      <c r="D1266" s="29" t="s">
        <v>59</v>
      </c>
      <c r="E1266" s="29" t="s">
        <v>58</v>
      </c>
    </row>
    <row r="1267" customFormat="false" ht="14.25" hidden="false" customHeight="false" outlineLevel="0" collapsed="false">
      <c r="A1267" s="1" t="n">
        <v>2270</v>
      </c>
      <c r="B1267" s="29" t="s">
        <v>49</v>
      </c>
      <c r="C1267" s="62" t="n">
        <v>5.9</v>
      </c>
      <c r="D1267" s="29" t="s">
        <v>52</v>
      </c>
      <c r="E1267" s="29" t="s">
        <v>58</v>
      </c>
    </row>
    <row r="1268" customFormat="false" ht="14.25" hidden="false" customHeight="false" outlineLevel="0" collapsed="false">
      <c r="A1268" s="1" t="n">
        <v>2271</v>
      </c>
      <c r="B1268" s="29" t="s">
        <v>49</v>
      </c>
      <c r="C1268" s="62" t="n">
        <v>8.6</v>
      </c>
      <c r="D1268" s="29" t="s">
        <v>60</v>
      </c>
      <c r="E1268" s="29" t="s">
        <v>58</v>
      </c>
    </row>
    <row r="1269" customFormat="false" ht="14.25" hidden="false" customHeight="false" outlineLevel="0" collapsed="false">
      <c r="A1269" s="1" t="n">
        <v>2272</v>
      </c>
      <c r="B1269" s="29" t="s">
        <v>61</v>
      </c>
      <c r="C1269" s="62" t="n">
        <v>21.4</v>
      </c>
      <c r="D1269" s="29" t="s">
        <v>50</v>
      </c>
      <c r="E1269" s="29" t="s">
        <v>58</v>
      </c>
    </row>
    <row r="1270" customFormat="false" ht="14.25" hidden="false" customHeight="false" outlineLevel="0" collapsed="false">
      <c r="A1270" s="1" t="n">
        <v>2273</v>
      </c>
      <c r="B1270" s="29" t="s">
        <v>49</v>
      </c>
      <c r="C1270" s="62" t="n">
        <v>1.2</v>
      </c>
      <c r="D1270" s="29" t="s">
        <v>59</v>
      </c>
      <c r="E1270" s="29" t="s">
        <v>57</v>
      </c>
    </row>
    <row r="1271" customFormat="false" ht="14.25" hidden="false" customHeight="false" outlineLevel="0" collapsed="false">
      <c r="A1271" s="1" t="n">
        <v>2274</v>
      </c>
      <c r="B1271" s="29" t="s">
        <v>49</v>
      </c>
      <c r="C1271" s="62" t="n">
        <v>1.1</v>
      </c>
      <c r="D1271" s="29" t="s">
        <v>60</v>
      </c>
      <c r="E1271" s="29" t="s">
        <v>58</v>
      </c>
    </row>
    <row r="1272" customFormat="false" ht="14.25" hidden="false" customHeight="false" outlineLevel="0" collapsed="false">
      <c r="A1272" s="1" t="n">
        <v>2275</v>
      </c>
      <c r="B1272" s="29" t="s">
        <v>49</v>
      </c>
      <c r="C1272" s="62" t="n">
        <v>4.3</v>
      </c>
      <c r="D1272" s="29" t="s">
        <v>50</v>
      </c>
      <c r="E1272" s="29" t="s">
        <v>58</v>
      </c>
    </row>
    <row r="1273" customFormat="false" ht="14.25" hidden="false" customHeight="false" outlineLevel="0" collapsed="false">
      <c r="A1273" s="1" t="n">
        <v>2276</v>
      </c>
      <c r="B1273" s="29" t="s">
        <v>49</v>
      </c>
      <c r="C1273" s="62" t="n">
        <v>6.1</v>
      </c>
      <c r="D1273" s="29" t="s">
        <v>50</v>
      </c>
      <c r="E1273" s="29" t="s">
        <v>58</v>
      </c>
    </row>
    <row r="1274" customFormat="false" ht="14.25" hidden="false" customHeight="false" outlineLevel="0" collapsed="false">
      <c r="A1274" s="1" t="n">
        <v>2277</v>
      </c>
      <c r="B1274" s="29" t="s">
        <v>49</v>
      </c>
      <c r="C1274" s="62" t="n">
        <v>5.8</v>
      </c>
      <c r="D1274" s="29" t="s">
        <v>59</v>
      </c>
      <c r="E1274" s="29" t="s">
        <v>58</v>
      </c>
    </row>
    <row r="1275" customFormat="false" ht="14.25" hidden="false" customHeight="false" outlineLevel="0" collapsed="false">
      <c r="A1275" s="1" t="n">
        <v>2278</v>
      </c>
      <c r="B1275" s="29" t="s">
        <v>49</v>
      </c>
      <c r="C1275" s="62" t="n">
        <v>0.5</v>
      </c>
      <c r="D1275" s="29" t="s">
        <v>59</v>
      </c>
      <c r="E1275" s="29" t="s">
        <v>58</v>
      </c>
    </row>
    <row r="1276" customFormat="false" ht="14.25" hidden="false" customHeight="false" outlineLevel="0" collapsed="false">
      <c r="A1276" s="1" t="n">
        <v>2279</v>
      </c>
      <c r="B1276" s="29" t="s">
        <v>49</v>
      </c>
      <c r="C1276" s="62" t="n">
        <v>7.9</v>
      </c>
      <c r="D1276" s="29" t="s">
        <v>59</v>
      </c>
      <c r="E1276" s="29" t="s">
        <v>58</v>
      </c>
    </row>
    <row r="1277" customFormat="false" ht="14.25" hidden="false" customHeight="false" outlineLevel="0" collapsed="false">
      <c r="A1277" s="1" t="n">
        <v>2280</v>
      </c>
      <c r="B1277" s="29" t="s">
        <v>49</v>
      </c>
      <c r="C1277" s="62" t="n">
        <v>1.1</v>
      </c>
      <c r="D1277" s="29" t="s">
        <v>59</v>
      </c>
      <c r="E1277" s="29" t="s">
        <v>57</v>
      </c>
    </row>
    <row r="1278" customFormat="false" ht="14.25" hidden="false" customHeight="false" outlineLevel="0" collapsed="false">
      <c r="A1278" s="1" t="n">
        <v>2281</v>
      </c>
      <c r="B1278" s="29" t="s">
        <v>49</v>
      </c>
      <c r="C1278" s="62" t="n">
        <v>0.5</v>
      </c>
      <c r="D1278" s="29" t="s">
        <v>62</v>
      </c>
      <c r="E1278" s="29" t="s">
        <v>58</v>
      </c>
    </row>
    <row r="1279" customFormat="false" ht="14.25" hidden="false" customHeight="false" outlineLevel="0" collapsed="false">
      <c r="A1279" s="1" t="n">
        <v>2282</v>
      </c>
      <c r="B1279" s="29" t="s">
        <v>49</v>
      </c>
      <c r="C1279" s="62" t="n">
        <v>21.4</v>
      </c>
      <c r="D1279" s="29" t="s">
        <v>59</v>
      </c>
      <c r="E1279" s="29" t="s">
        <v>58</v>
      </c>
    </row>
    <row r="1280" customFormat="false" ht="14.25" hidden="false" customHeight="false" outlineLevel="0" collapsed="false">
      <c r="A1280" s="1" t="n">
        <v>2283</v>
      </c>
      <c r="B1280" s="29" t="s">
        <v>49</v>
      </c>
      <c r="C1280" s="62" t="n">
        <v>3.2</v>
      </c>
      <c r="D1280" s="29" t="s">
        <v>59</v>
      </c>
      <c r="E1280" s="29" t="s">
        <v>58</v>
      </c>
    </row>
    <row r="1281" customFormat="false" ht="14.25" hidden="false" customHeight="false" outlineLevel="0" collapsed="false">
      <c r="A1281" s="1" t="n">
        <v>2284</v>
      </c>
      <c r="B1281" s="29" t="s">
        <v>61</v>
      </c>
      <c r="C1281" s="62" t="n">
        <v>2.4</v>
      </c>
      <c r="D1281" s="29" t="s">
        <v>68</v>
      </c>
      <c r="E1281" s="29" t="s">
        <v>57</v>
      </c>
    </row>
    <row r="1282" customFormat="false" ht="14.25" hidden="false" customHeight="false" outlineLevel="0" collapsed="false">
      <c r="A1282" s="1" t="n">
        <v>2285</v>
      </c>
      <c r="B1282" s="29" t="s">
        <v>49</v>
      </c>
      <c r="C1282" s="62" t="n">
        <v>7.8</v>
      </c>
      <c r="D1282" s="29" t="s">
        <v>52</v>
      </c>
      <c r="E1282" s="29" t="s">
        <v>53</v>
      </c>
    </row>
    <row r="1283" customFormat="false" ht="14.25" hidden="false" customHeight="false" outlineLevel="0" collapsed="false">
      <c r="A1283" s="1" t="n">
        <v>2286</v>
      </c>
      <c r="B1283" s="29" t="s">
        <v>49</v>
      </c>
      <c r="C1283" s="62" t="n">
        <v>1.3</v>
      </c>
      <c r="D1283" s="29" t="s">
        <v>68</v>
      </c>
      <c r="E1283" s="29" t="s">
        <v>53</v>
      </c>
    </row>
    <row r="1284" customFormat="false" ht="14.25" hidden="false" customHeight="false" outlineLevel="0" collapsed="false">
      <c r="A1284" s="1" t="n">
        <v>2287</v>
      </c>
      <c r="B1284" s="29" t="s">
        <v>49</v>
      </c>
      <c r="C1284" s="62" t="n">
        <v>26.2</v>
      </c>
      <c r="D1284" s="29" t="s">
        <v>59</v>
      </c>
      <c r="E1284" s="29" t="s">
        <v>65</v>
      </c>
    </row>
    <row r="1285" customFormat="false" ht="14.25" hidden="false" customHeight="false" outlineLevel="0" collapsed="false">
      <c r="A1285" s="1" t="n">
        <v>2288</v>
      </c>
      <c r="B1285" s="29" t="s">
        <v>49</v>
      </c>
      <c r="C1285" s="62" t="n">
        <v>52.4</v>
      </c>
      <c r="D1285" s="29" t="s">
        <v>56</v>
      </c>
      <c r="E1285" s="29" t="s">
        <v>65</v>
      </c>
    </row>
    <row r="1286" customFormat="false" ht="14.25" hidden="false" customHeight="false" outlineLevel="0" collapsed="false">
      <c r="A1286" s="1" t="n">
        <v>2289</v>
      </c>
      <c r="B1286" s="29" t="s">
        <v>49</v>
      </c>
      <c r="C1286" s="62" t="n">
        <v>0.5</v>
      </c>
      <c r="D1286" s="29" t="s">
        <v>56</v>
      </c>
      <c r="E1286" s="29" t="s">
        <v>58</v>
      </c>
    </row>
    <row r="1287" customFormat="false" ht="14.25" hidden="false" customHeight="false" outlineLevel="0" collapsed="false">
      <c r="A1287" s="1" t="n">
        <v>2290</v>
      </c>
      <c r="B1287" s="29" t="s">
        <v>54</v>
      </c>
      <c r="C1287" s="62" t="n">
        <v>16.8</v>
      </c>
      <c r="D1287" s="29" t="s">
        <v>62</v>
      </c>
      <c r="E1287" s="29" t="s">
        <v>66</v>
      </c>
    </row>
    <row r="1288" customFormat="false" ht="14.25" hidden="false" customHeight="false" outlineLevel="0" collapsed="false">
      <c r="A1288" s="1" t="n">
        <v>2291</v>
      </c>
      <c r="B1288" s="29" t="s">
        <v>49</v>
      </c>
      <c r="C1288" s="62" t="n">
        <v>5.4</v>
      </c>
      <c r="D1288" s="29" t="s">
        <v>50</v>
      </c>
      <c r="E1288" s="29" t="s">
        <v>57</v>
      </c>
    </row>
    <row r="1289" customFormat="false" ht="14.25" hidden="false" customHeight="false" outlineLevel="0" collapsed="false">
      <c r="A1289" s="1" t="n">
        <v>2292</v>
      </c>
      <c r="B1289" s="29" t="s">
        <v>61</v>
      </c>
      <c r="C1289" s="62" t="n">
        <v>15</v>
      </c>
      <c r="D1289" s="29" t="s">
        <v>56</v>
      </c>
      <c r="E1289" s="29" t="s">
        <v>51</v>
      </c>
    </row>
    <row r="1290" customFormat="false" ht="14.25" hidden="false" customHeight="false" outlineLevel="0" collapsed="false">
      <c r="A1290" s="1" t="n">
        <v>2293</v>
      </c>
      <c r="B1290" s="29" t="s">
        <v>49</v>
      </c>
      <c r="C1290" s="62" t="n">
        <v>7.6</v>
      </c>
      <c r="D1290" s="29" t="s">
        <v>56</v>
      </c>
      <c r="E1290" s="29" t="s">
        <v>58</v>
      </c>
    </row>
    <row r="1291" customFormat="false" ht="14.25" hidden="false" customHeight="false" outlineLevel="0" collapsed="false">
      <c r="A1291" s="1" t="n">
        <v>2294</v>
      </c>
      <c r="B1291" s="29" t="s">
        <v>49</v>
      </c>
      <c r="C1291" s="62" t="n">
        <v>0.8</v>
      </c>
      <c r="D1291" s="29" t="s">
        <v>68</v>
      </c>
      <c r="E1291" s="29" t="s">
        <v>57</v>
      </c>
    </row>
    <row r="1292" customFormat="false" ht="14.25" hidden="false" customHeight="false" outlineLevel="0" collapsed="false">
      <c r="A1292" s="1" t="n">
        <v>2295</v>
      </c>
      <c r="B1292" s="29" t="s">
        <v>49</v>
      </c>
      <c r="C1292" s="62" t="n">
        <v>6.6</v>
      </c>
      <c r="D1292" s="29" t="s">
        <v>68</v>
      </c>
      <c r="E1292" s="29" t="s">
        <v>58</v>
      </c>
    </row>
    <row r="1293" customFormat="false" ht="14.25" hidden="false" customHeight="false" outlineLevel="0" collapsed="false">
      <c r="A1293" s="1" t="n">
        <v>2296</v>
      </c>
      <c r="B1293" s="29" t="s">
        <v>49</v>
      </c>
      <c r="C1293" s="62" t="n">
        <v>4.3</v>
      </c>
      <c r="D1293" s="29" t="s">
        <v>68</v>
      </c>
      <c r="E1293" s="29" t="s">
        <v>53</v>
      </c>
    </row>
    <row r="1294" customFormat="false" ht="14.25" hidden="false" customHeight="false" outlineLevel="0" collapsed="false">
      <c r="A1294" s="1" t="n">
        <v>2297</v>
      </c>
      <c r="B1294" s="29" t="s">
        <v>54</v>
      </c>
      <c r="C1294" s="62" t="n">
        <v>75.1</v>
      </c>
      <c r="D1294" s="29" t="s">
        <v>62</v>
      </c>
      <c r="E1294" s="29" t="s">
        <v>66</v>
      </c>
    </row>
    <row r="1295" customFormat="false" ht="14.25" hidden="false" customHeight="false" outlineLevel="0" collapsed="false">
      <c r="A1295" s="1" t="n">
        <v>2298</v>
      </c>
      <c r="B1295" s="29" t="s">
        <v>49</v>
      </c>
      <c r="C1295" s="62" t="n">
        <v>5.7</v>
      </c>
      <c r="D1295" s="29" t="s">
        <v>56</v>
      </c>
      <c r="E1295" s="29" t="s">
        <v>57</v>
      </c>
    </row>
    <row r="1296" customFormat="false" ht="14.25" hidden="false" customHeight="false" outlineLevel="0" collapsed="false">
      <c r="A1296" s="1" t="n">
        <v>2299</v>
      </c>
      <c r="B1296" s="29" t="s">
        <v>61</v>
      </c>
      <c r="C1296" s="62" t="n">
        <v>8.5</v>
      </c>
      <c r="D1296" s="29" t="s">
        <v>56</v>
      </c>
      <c r="E1296" s="29" t="s">
        <v>58</v>
      </c>
    </row>
    <row r="1297" customFormat="false" ht="14.25" hidden="false" customHeight="false" outlineLevel="0" collapsed="false">
      <c r="A1297" s="1" t="n">
        <v>2300</v>
      </c>
      <c r="B1297" s="29" t="s">
        <v>49</v>
      </c>
      <c r="C1297" s="62" t="n">
        <v>5.6</v>
      </c>
      <c r="D1297" s="29" t="s">
        <v>60</v>
      </c>
      <c r="E1297" s="29" t="s">
        <v>58</v>
      </c>
    </row>
    <row r="1298" customFormat="false" ht="14.25" hidden="false" customHeight="false" outlineLevel="0" collapsed="false">
      <c r="A1298" s="1" t="n">
        <v>2301</v>
      </c>
      <c r="B1298" s="29" t="s">
        <v>49</v>
      </c>
      <c r="C1298" s="62" t="n">
        <v>7.7</v>
      </c>
      <c r="D1298" s="29" t="s">
        <v>63</v>
      </c>
      <c r="E1298" s="29" t="s">
        <v>58</v>
      </c>
    </row>
    <row r="1299" customFormat="false" ht="14.25" hidden="false" customHeight="false" outlineLevel="0" collapsed="false">
      <c r="A1299" s="1" t="n">
        <v>2302</v>
      </c>
      <c r="B1299" s="29" t="s">
        <v>49</v>
      </c>
      <c r="C1299" s="62" t="n">
        <v>21.4</v>
      </c>
      <c r="D1299" s="29" t="s">
        <v>63</v>
      </c>
      <c r="E1299" s="29" t="s">
        <v>58</v>
      </c>
    </row>
    <row r="1300" customFormat="false" ht="14.25" hidden="false" customHeight="false" outlineLevel="0" collapsed="false">
      <c r="A1300" s="1" t="n">
        <v>2303</v>
      </c>
      <c r="B1300" s="29" t="s">
        <v>49</v>
      </c>
      <c r="C1300" s="62" t="n">
        <v>0.8</v>
      </c>
      <c r="D1300" s="29" t="s">
        <v>60</v>
      </c>
      <c r="E1300" s="29" t="s">
        <v>57</v>
      </c>
    </row>
    <row r="1301" customFormat="false" ht="14.25" hidden="false" customHeight="false" outlineLevel="0" collapsed="false">
      <c r="A1301" s="1" t="n">
        <v>2304</v>
      </c>
      <c r="B1301" s="29" t="s">
        <v>49</v>
      </c>
      <c r="C1301" s="62" t="n">
        <v>21.4</v>
      </c>
      <c r="D1301" s="29" t="s">
        <v>56</v>
      </c>
      <c r="E1301" s="29" t="s">
        <v>58</v>
      </c>
    </row>
    <row r="1302" customFormat="false" ht="14.25" hidden="false" customHeight="false" outlineLevel="0" collapsed="false">
      <c r="A1302" s="1" t="n">
        <v>2305</v>
      </c>
      <c r="B1302" s="29" t="s">
        <v>49</v>
      </c>
      <c r="C1302" s="62" t="n">
        <v>15.3</v>
      </c>
      <c r="D1302" s="29" t="s">
        <v>56</v>
      </c>
      <c r="E1302" s="29" t="s">
        <v>58</v>
      </c>
    </row>
    <row r="1303" customFormat="false" ht="14.25" hidden="false" customHeight="false" outlineLevel="0" collapsed="false">
      <c r="A1303" s="1" t="n">
        <v>2306</v>
      </c>
      <c r="B1303" s="29" t="s">
        <v>61</v>
      </c>
      <c r="C1303" s="62" t="n">
        <v>6.5</v>
      </c>
      <c r="D1303" s="29" t="s">
        <v>59</v>
      </c>
      <c r="E1303" s="29" t="s">
        <v>58</v>
      </c>
    </row>
    <row r="1304" customFormat="false" ht="14.25" hidden="false" customHeight="false" outlineLevel="0" collapsed="false">
      <c r="A1304" s="1" t="n">
        <v>2307</v>
      </c>
      <c r="B1304" s="29" t="s">
        <v>49</v>
      </c>
      <c r="C1304" s="62" t="n">
        <v>1</v>
      </c>
      <c r="D1304" s="29" t="s">
        <v>59</v>
      </c>
      <c r="E1304" s="29" t="s">
        <v>57</v>
      </c>
    </row>
    <row r="1305" customFormat="false" ht="14.25" hidden="false" customHeight="false" outlineLevel="0" collapsed="false">
      <c r="A1305" s="1" t="n">
        <v>2308</v>
      </c>
      <c r="B1305" s="29" t="s">
        <v>49</v>
      </c>
      <c r="C1305" s="62" t="n">
        <v>3.6</v>
      </c>
      <c r="D1305" s="29" t="s">
        <v>56</v>
      </c>
      <c r="E1305" s="29" t="s">
        <v>57</v>
      </c>
    </row>
    <row r="1306" customFormat="false" ht="14.25" hidden="false" customHeight="false" outlineLevel="0" collapsed="false">
      <c r="A1306" s="1" t="n">
        <v>2309</v>
      </c>
      <c r="B1306" s="29" t="s">
        <v>61</v>
      </c>
      <c r="C1306" s="62" t="n">
        <v>9.1</v>
      </c>
      <c r="D1306" s="29" t="s">
        <v>62</v>
      </c>
      <c r="E1306" s="29" t="s">
        <v>58</v>
      </c>
    </row>
    <row r="1307" customFormat="false" ht="14.25" hidden="false" customHeight="false" outlineLevel="0" collapsed="false">
      <c r="A1307" s="1" t="n">
        <v>2310</v>
      </c>
      <c r="B1307" s="29" t="s">
        <v>61</v>
      </c>
      <c r="C1307" s="62" t="n">
        <v>15.5</v>
      </c>
      <c r="D1307" s="29" t="s">
        <v>56</v>
      </c>
      <c r="E1307" s="29" t="s">
        <v>65</v>
      </c>
    </row>
    <row r="1308" customFormat="false" ht="14.25" hidden="false" customHeight="false" outlineLevel="0" collapsed="false">
      <c r="A1308" s="1" t="n">
        <v>2311</v>
      </c>
      <c r="B1308" s="29" t="s">
        <v>54</v>
      </c>
      <c r="C1308" s="62" t="n">
        <v>75.1</v>
      </c>
      <c r="D1308" s="29" t="s">
        <v>71</v>
      </c>
      <c r="E1308" s="29" t="s">
        <v>66</v>
      </c>
    </row>
    <row r="1309" customFormat="false" ht="14.25" hidden="false" customHeight="false" outlineLevel="0" collapsed="false">
      <c r="A1309" s="1" t="n">
        <v>2312</v>
      </c>
      <c r="B1309" s="29" t="s">
        <v>49</v>
      </c>
      <c r="C1309" s="62" t="n">
        <v>4.5</v>
      </c>
      <c r="D1309" s="29" t="s">
        <v>50</v>
      </c>
      <c r="E1309" s="29" t="s">
        <v>58</v>
      </c>
    </row>
    <row r="1310" customFormat="false" ht="14.25" hidden="false" customHeight="false" outlineLevel="0" collapsed="false">
      <c r="A1310" s="1" t="n">
        <v>2313</v>
      </c>
      <c r="B1310" s="29" t="s">
        <v>49</v>
      </c>
      <c r="C1310" s="62" t="n">
        <v>21.4</v>
      </c>
      <c r="D1310" s="29" t="s">
        <v>59</v>
      </c>
      <c r="E1310" s="29" t="s">
        <v>58</v>
      </c>
    </row>
    <row r="1311" customFormat="false" ht="14.25" hidden="false" customHeight="false" outlineLevel="0" collapsed="false">
      <c r="A1311" s="1" t="n">
        <v>2314</v>
      </c>
      <c r="B1311" s="29" t="s">
        <v>49</v>
      </c>
      <c r="C1311" s="62" t="n">
        <v>6.1</v>
      </c>
      <c r="D1311" s="29" t="s">
        <v>59</v>
      </c>
      <c r="E1311" s="29" t="s">
        <v>58</v>
      </c>
    </row>
    <row r="1312" customFormat="false" ht="14.25" hidden="false" customHeight="false" outlineLevel="0" collapsed="false">
      <c r="A1312" s="1" t="n">
        <v>2315</v>
      </c>
      <c r="B1312" s="29" t="s">
        <v>49</v>
      </c>
      <c r="C1312" s="62" t="n">
        <v>2.1</v>
      </c>
      <c r="D1312" s="29" t="s">
        <v>56</v>
      </c>
      <c r="E1312" s="29" t="s">
        <v>57</v>
      </c>
    </row>
    <row r="1313" customFormat="false" ht="14.25" hidden="false" customHeight="false" outlineLevel="0" collapsed="false">
      <c r="A1313" s="1" t="n">
        <v>2316</v>
      </c>
      <c r="B1313" s="29" t="s">
        <v>49</v>
      </c>
      <c r="C1313" s="62" t="n">
        <v>3.9</v>
      </c>
      <c r="D1313" s="29" t="s">
        <v>50</v>
      </c>
      <c r="E1313" s="29" t="s">
        <v>57</v>
      </c>
    </row>
    <row r="1314" customFormat="false" ht="14.25" hidden="false" customHeight="false" outlineLevel="0" collapsed="false">
      <c r="A1314" s="1" t="n">
        <v>2317</v>
      </c>
      <c r="B1314" s="29" t="s">
        <v>49</v>
      </c>
      <c r="C1314" s="62" t="n">
        <v>7.3</v>
      </c>
      <c r="D1314" s="29" t="s">
        <v>56</v>
      </c>
      <c r="E1314" s="29" t="s">
        <v>58</v>
      </c>
    </row>
    <row r="1315" customFormat="false" ht="14.25" hidden="false" customHeight="false" outlineLevel="0" collapsed="false">
      <c r="A1315" s="1" t="n">
        <v>2318</v>
      </c>
      <c r="B1315" s="29" t="s">
        <v>61</v>
      </c>
      <c r="C1315" s="62" t="n">
        <v>6.2</v>
      </c>
      <c r="D1315" s="29" t="s">
        <v>59</v>
      </c>
      <c r="E1315" s="29" t="s">
        <v>57</v>
      </c>
    </row>
    <row r="1316" customFormat="false" ht="14.25" hidden="false" customHeight="false" outlineLevel="0" collapsed="false">
      <c r="A1316" s="1" t="n">
        <v>2319</v>
      </c>
      <c r="B1316" s="29" t="s">
        <v>49</v>
      </c>
      <c r="C1316" s="62" t="n">
        <v>1.3</v>
      </c>
      <c r="D1316" s="29" t="s">
        <v>56</v>
      </c>
      <c r="E1316" s="29" t="s">
        <v>57</v>
      </c>
    </row>
    <row r="1317" customFormat="false" ht="14.25" hidden="false" customHeight="false" outlineLevel="0" collapsed="false">
      <c r="A1317" s="1" t="n">
        <v>2320</v>
      </c>
      <c r="B1317" s="29" t="s">
        <v>49</v>
      </c>
      <c r="C1317" s="62" t="n">
        <v>9.8</v>
      </c>
      <c r="D1317" s="29" t="s">
        <v>56</v>
      </c>
      <c r="E1317" s="29" t="s">
        <v>57</v>
      </c>
    </row>
    <row r="1318" customFormat="false" ht="14.25" hidden="false" customHeight="false" outlineLevel="0" collapsed="false">
      <c r="A1318" s="1" t="n">
        <v>2321</v>
      </c>
      <c r="B1318" s="29" t="s">
        <v>49</v>
      </c>
      <c r="C1318" s="62" t="n">
        <v>0.8</v>
      </c>
      <c r="D1318" s="29" t="s">
        <v>71</v>
      </c>
      <c r="E1318" s="29" t="s">
        <v>57</v>
      </c>
    </row>
    <row r="1319" customFormat="false" ht="14.25" hidden="false" customHeight="false" outlineLevel="0" collapsed="false">
      <c r="A1319" s="1" t="n">
        <v>2322</v>
      </c>
      <c r="B1319" s="29" t="s">
        <v>49</v>
      </c>
      <c r="C1319" s="62" t="n">
        <v>19.3</v>
      </c>
      <c r="D1319" s="29" t="s">
        <v>71</v>
      </c>
      <c r="E1319" s="29" t="s">
        <v>65</v>
      </c>
    </row>
    <row r="1320" customFormat="false" ht="14.25" hidden="false" customHeight="false" outlineLevel="0" collapsed="false">
      <c r="A1320" s="1" t="n">
        <v>2323</v>
      </c>
      <c r="B1320" s="29" t="s">
        <v>49</v>
      </c>
      <c r="C1320" s="62" t="n">
        <v>5.6</v>
      </c>
      <c r="D1320" s="29" t="s">
        <v>71</v>
      </c>
      <c r="E1320" s="29" t="s">
        <v>58</v>
      </c>
    </row>
    <row r="1321" customFormat="false" ht="14.25" hidden="false" customHeight="false" outlineLevel="0" collapsed="false">
      <c r="A1321" s="1" t="n">
        <v>2324</v>
      </c>
      <c r="B1321" s="29" t="s">
        <v>49</v>
      </c>
      <c r="C1321" s="62" t="n">
        <v>7.1</v>
      </c>
      <c r="D1321" s="29" t="s">
        <v>71</v>
      </c>
      <c r="E1321" s="29" t="s">
        <v>53</v>
      </c>
    </row>
    <row r="1322" customFormat="false" ht="14.25" hidden="false" customHeight="false" outlineLevel="0" collapsed="false">
      <c r="A1322" s="1" t="n">
        <v>2325</v>
      </c>
      <c r="B1322" s="29" t="s">
        <v>54</v>
      </c>
      <c r="C1322" s="62" t="n">
        <v>60.1</v>
      </c>
      <c r="D1322" s="29" t="s">
        <v>56</v>
      </c>
      <c r="E1322" s="29" t="s">
        <v>66</v>
      </c>
    </row>
    <row r="1323" customFormat="false" ht="14.25" hidden="false" customHeight="false" outlineLevel="0" collapsed="false">
      <c r="A1323" s="1" t="n">
        <v>2326</v>
      </c>
      <c r="B1323" s="29" t="s">
        <v>54</v>
      </c>
      <c r="C1323" s="62" t="n">
        <v>42</v>
      </c>
      <c r="D1323" s="29" t="s">
        <v>60</v>
      </c>
      <c r="E1323" s="29" t="s">
        <v>55</v>
      </c>
    </row>
    <row r="1324" customFormat="false" ht="14.25" hidden="false" customHeight="false" outlineLevel="0" collapsed="false">
      <c r="A1324" s="1" t="n">
        <v>2327</v>
      </c>
      <c r="B1324" s="29" t="s">
        <v>49</v>
      </c>
      <c r="C1324" s="62" t="n">
        <v>5.3</v>
      </c>
      <c r="D1324" s="29" t="s">
        <v>59</v>
      </c>
      <c r="E1324" s="29" t="s">
        <v>58</v>
      </c>
    </row>
    <row r="1325" customFormat="false" ht="14.25" hidden="false" customHeight="false" outlineLevel="0" collapsed="false">
      <c r="A1325" s="1" t="n">
        <v>2328</v>
      </c>
      <c r="B1325" s="29" t="s">
        <v>49</v>
      </c>
      <c r="C1325" s="62" t="n">
        <v>1.6</v>
      </c>
      <c r="D1325" s="29" t="s">
        <v>50</v>
      </c>
      <c r="E1325" s="29" t="s">
        <v>58</v>
      </c>
    </row>
    <row r="1326" customFormat="false" ht="14.25" hidden="false" customHeight="false" outlineLevel="0" collapsed="false">
      <c r="A1326" s="1" t="n">
        <v>2329</v>
      </c>
      <c r="B1326" s="29" t="s">
        <v>49</v>
      </c>
      <c r="C1326" s="62" t="n">
        <v>4.3</v>
      </c>
      <c r="D1326" s="29" t="s">
        <v>59</v>
      </c>
      <c r="E1326" s="29" t="s">
        <v>58</v>
      </c>
    </row>
    <row r="1327" customFormat="false" ht="14.25" hidden="false" customHeight="false" outlineLevel="0" collapsed="false">
      <c r="A1327" s="1" t="n">
        <v>2330</v>
      </c>
      <c r="B1327" s="29" t="s">
        <v>61</v>
      </c>
      <c r="C1327" s="62" t="n">
        <v>5.2</v>
      </c>
      <c r="D1327" s="29" t="s">
        <v>50</v>
      </c>
      <c r="E1327" s="29" t="s">
        <v>58</v>
      </c>
    </row>
    <row r="1328" customFormat="false" ht="14.25" hidden="false" customHeight="false" outlineLevel="0" collapsed="false">
      <c r="A1328" s="1" t="n">
        <v>2331</v>
      </c>
      <c r="B1328" s="29" t="s">
        <v>61</v>
      </c>
      <c r="C1328" s="62" t="n">
        <v>3.7</v>
      </c>
      <c r="D1328" s="29" t="s">
        <v>50</v>
      </c>
      <c r="E1328" s="29" t="s">
        <v>58</v>
      </c>
    </row>
    <row r="1329" customFormat="false" ht="14.25" hidden="false" customHeight="false" outlineLevel="0" collapsed="false">
      <c r="A1329" s="1" t="n">
        <v>2332</v>
      </c>
      <c r="B1329" s="29" t="s">
        <v>49</v>
      </c>
      <c r="C1329" s="62" t="n">
        <v>5.1</v>
      </c>
      <c r="D1329" s="29" t="s">
        <v>56</v>
      </c>
      <c r="E1329" s="29" t="s">
        <v>58</v>
      </c>
    </row>
    <row r="1330" customFormat="false" ht="14.25" hidden="false" customHeight="false" outlineLevel="0" collapsed="false">
      <c r="A1330" s="1" t="n">
        <v>2333</v>
      </c>
      <c r="B1330" s="29" t="s">
        <v>49</v>
      </c>
      <c r="C1330" s="62" t="n">
        <v>2.1</v>
      </c>
      <c r="D1330" s="29" t="s">
        <v>56</v>
      </c>
      <c r="E1330" s="29" t="s">
        <v>53</v>
      </c>
    </row>
    <row r="1331" customFormat="false" ht="14.25" hidden="false" customHeight="false" outlineLevel="0" collapsed="false">
      <c r="A1331" s="1" t="n">
        <v>2334</v>
      </c>
      <c r="B1331" s="29" t="s">
        <v>49</v>
      </c>
      <c r="C1331" s="62" t="n">
        <v>4.8</v>
      </c>
      <c r="D1331" s="29" t="s">
        <v>56</v>
      </c>
      <c r="E1331" s="29" t="s">
        <v>58</v>
      </c>
    </row>
    <row r="1332" customFormat="false" ht="14.25" hidden="false" customHeight="false" outlineLevel="0" collapsed="false">
      <c r="A1332" s="1" t="n">
        <v>2335</v>
      </c>
      <c r="B1332" s="29" t="s">
        <v>49</v>
      </c>
      <c r="C1332" s="62" t="n">
        <v>4.8</v>
      </c>
      <c r="D1332" s="29" t="s">
        <v>60</v>
      </c>
      <c r="E1332" s="29" t="s">
        <v>58</v>
      </c>
    </row>
    <row r="1333" customFormat="false" ht="14.25" hidden="false" customHeight="false" outlineLevel="0" collapsed="false">
      <c r="A1333" s="1" t="n">
        <v>2336</v>
      </c>
      <c r="B1333" s="29" t="s">
        <v>54</v>
      </c>
      <c r="C1333" s="62" t="n">
        <v>75.1</v>
      </c>
      <c r="D1333" s="29" t="s">
        <v>52</v>
      </c>
      <c r="E1333" s="29" t="s">
        <v>66</v>
      </c>
    </row>
    <row r="1334" customFormat="false" ht="14.25" hidden="false" customHeight="false" outlineLevel="0" collapsed="false">
      <c r="A1334" s="1" t="n">
        <v>2337</v>
      </c>
      <c r="B1334" s="29" t="s">
        <v>49</v>
      </c>
      <c r="C1334" s="62" t="n">
        <v>5.4</v>
      </c>
      <c r="D1334" s="29" t="s">
        <v>52</v>
      </c>
      <c r="E1334" s="29" t="s">
        <v>58</v>
      </c>
    </row>
    <row r="1335" customFormat="false" ht="14.25" hidden="false" customHeight="false" outlineLevel="0" collapsed="false">
      <c r="A1335" s="1" t="n">
        <v>2338</v>
      </c>
      <c r="B1335" s="29" t="s">
        <v>49</v>
      </c>
      <c r="C1335" s="62" t="n">
        <v>6.1</v>
      </c>
      <c r="D1335" s="29" t="s">
        <v>70</v>
      </c>
      <c r="E1335" s="29" t="s">
        <v>58</v>
      </c>
    </row>
    <row r="1336" customFormat="false" ht="14.25" hidden="false" customHeight="false" outlineLevel="0" collapsed="false">
      <c r="A1336" s="1" t="n">
        <v>2339</v>
      </c>
      <c r="B1336" s="29" t="s">
        <v>49</v>
      </c>
      <c r="C1336" s="62" t="n">
        <v>2.7</v>
      </c>
      <c r="D1336" s="29" t="s">
        <v>70</v>
      </c>
      <c r="E1336" s="29" t="s">
        <v>58</v>
      </c>
    </row>
    <row r="1337" customFormat="false" ht="14.25" hidden="false" customHeight="false" outlineLevel="0" collapsed="false">
      <c r="A1337" s="1" t="n">
        <v>2340</v>
      </c>
      <c r="B1337" s="29" t="s">
        <v>61</v>
      </c>
      <c r="C1337" s="62" t="n">
        <v>0.5</v>
      </c>
      <c r="D1337" s="29" t="s">
        <v>59</v>
      </c>
      <c r="E1337" s="29" t="s">
        <v>58</v>
      </c>
    </row>
    <row r="1338" customFormat="false" ht="14.25" hidden="false" customHeight="false" outlineLevel="0" collapsed="false">
      <c r="A1338" s="1" t="n">
        <v>2341</v>
      </c>
      <c r="B1338" s="29" t="s">
        <v>49</v>
      </c>
      <c r="C1338" s="62" t="n">
        <v>1.6</v>
      </c>
      <c r="D1338" s="29" t="s">
        <v>56</v>
      </c>
      <c r="E1338" s="29" t="s">
        <v>58</v>
      </c>
    </row>
    <row r="1339" customFormat="false" ht="14.25" hidden="false" customHeight="false" outlineLevel="0" collapsed="false">
      <c r="A1339" s="1" t="n">
        <v>2342</v>
      </c>
      <c r="B1339" s="29" t="s">
        <v>49</v>
      </c>
      <c r="C1339" s="62" t="n">
        <v>1.1</v>
      </c>
      <c r="D1339" s="29" t="s">
        <v>56</v>
      </c>
      <c r="E1339" s="29" t="s">
        <v>57</v>
      </c>
    </row>
    <row r="1340" customFormat="false" ht="14.25" hidden="false" customHeight="false" outlineLevel="0" collapsed="false">
      <c r="A1340" s="1" t="n">
        <v>2343</v>
      </c>
      <c r="B1340" s="29" t="s">
        <v>61</v>
      </c>
      <c r="C1340" s="62" t="n">
        <v>4.3</v>
      </c>
      <c r="D1340" s="29" t="s">
        <v>59</v>
      </c>
      <c r="E1340" s="29" t="s">
        <v>58</v>
      </c>
    </row>
    <row r="1341" customFormat="false" ht="14.25" hidden="false" customHeight="false" outlineLevel="0" collapsed="false">
      <c r="A1341" s="1" t="n">
        <v>2344</v>
      </c>
      <c r="B1341" s="29" t="s">
        <v>49</v>
      </c>
      <c r="C1341" s="62" t="n">
        <v>9.6</v>
      </c>
      <c r="D1341" s="29" t="s">
        <v>60</v>
      </c>
      <c r="E1341" s="29" t="s">
        <v>53</v>
      </c>
    </row>
    <row r="1342" customFormat="false" ht="14.25" hidden="false" customHeight="false" outlineLevel="0" collapsed="false">
      <c r="A1342" s="1" t="n">
        <v>2345</v>
      </c>
      <c r="B1342" s="29" t="s">
        <v>49</v>
      </c>
      <c r="C1342" s="62" t="n">
        <v>7.4</v>
      </c>
      <c r="D1342" s="29" t="s">
        <v>70</v>
      </c>
      <c r="E1342" s="29" t="s">
        <v>58</v>
      </c>
    </row>
    <row r="1343" customFormat="false" ht="14.25" hidden="false" customHeight="false" outlineLevel="0" collapsed="false">
      <c r="A1343" s="1" t="n">
        <v>2346</v>
      </c>
      <c r="B1343" s="29" t="s">
        <v>61</v>
      </c>
      <c r="C1343" s="62" t="n">
        <v>21.4</v>
      </c>
      <c r="D1343" s="29" t="s">
        <v>70</v>
      </c>
      <c r="E1343" s="29" t="s">
        <v>58</v>
      </c>
    </row>
    <row r="1344" customFormat="false" ht="14.25" hidden="false" customHeight="false" outlineLevel="0" collapsed="false">
      <c r="A1344" s="1" t="n">
        <v>2347</v>
      </c>
      <c r="B1344" s="29" t="s">
        <v>49</v>
      </c>
      <c r="C1344" s="62" t="n">
        <v>1.2</v>
      </c>
      <c r="D1344" s="29" t="s">
        <v>50</v>
      </c>
      <c r="E1344" s="29" t="s">
        <v>57</v>
      </c>
    </row>
    <row r="1345" customFormat="false" ht="14.25" hidden="false" customHeight="false" outlineLevel="0" collapsed="false">
      <c r="A1345" s="1" t="n">
        <v>2348</v>
      </c>
      <c r="B1345" s="29" t="s">
        <v>49</v>
      </c>
      <c r="C1345" s="62" t="n">
        <v>6.1</v>
      </c>
      <c r="D1345" s="29" t="s">
        <v>60</v>
      </c>
      <c r="E1345" s="29" t="s">
        <v>58</v>
      </c>
    </row>
    <row r="1346" customFormat="false" ht="14.25" hidden="false" customHeight="false" outlineLevel="0" collapsed="false">
      <c r="A1346" s="1" t="n">
        <v>2349</v>
      </c>
      <c r="B1346" s="29" t="s">
        <v>49</v>
      </c>
      <c r="C1346" s="62" t="n">
        <v>6.5</v>
      </c>
      <c r="D1346" s="29" t="s">
        <v>50</v>
      </c>
      <c r="E1346" s="29" t="s">
        <v>51</v>
      </c>
    </row>
    <row r="1347" customFormat="false" ht="14.25" hidden="false" customHeight="false" outlineLevel="0" collapsed="false">
      <c r="A1347" s="1" t="n">
        <v>2350</v>
      </c>
      <c r="B1347" s="29" t="s">
        <v>54</v>
      </c>
      <c r="C1347" s="62" t="n">
        <v>69.3</v>
      </c>
      <c r="D1347" s="29" t="s">
        <v>56</v>
      </c>
      <c r="E1347" s="29" t="s">
        <v>66</v>
      </c>
    </row>
    <row r="1348" customFormat="false" ht="14.25" hidden="false" customHeight="false" outlineLevel="0" collapsed="false">
      <c r="A1348" s="1" t="n">
        <v>2351</v>
      </c>
      <c r="B1348" s="29" t="s">
        <v>49</v>
      </c>
      <c r="C1348" s="62" t="n">
        <v>1.6</v>
      </c>
      <c r="D1348" s="29" t="s">
        <v>56</v>
      </c>
      <c r="E1348" s="29" t="s">
        <v>58</v>
      </c>
    </row>
    <row r="1349" customFormat="false" ht="14.25" hidden="false" customHeight="false" outlineLevel="0" collapsed="false">
      <c r="A1349" s="1" t="n">
        <v>2352</v>
      </c>
      <c r="B1349" s="29" t="s">
        <v>49</v>
      </c>
      <c r="C1349" s="62" t="n">
        <v>8.3</v>
      </c>
      <c r="D1349" s="29" t="s">
        <v>56</v>
      </c>
      <c r="E1349" s="29" t="s">
        <v>58</v>
      </c>
    </row>
    <row r="1350" customFormat="false" ht="14.25" hidden="false" customHeight="false" outlineLevel="0" collapsed="false">
      <c r="A1350" s="1" t="n">
        <v>2353</v>
      </c>
      <c r="B1350" s="29" t="s">
        <v>49</v>
      </c>
      <c r="C1350" s="62" t="n">
        <v>7.7</v>
      </c>
      <c r="D1350" s="29" t="s">
        <v>60</v>
      </c>
      <c r="E1350" s="29" t="s">
        <v>58</v>
      </c>
    </row>
    <row r="1351" customFormat="false" ht="14.25" hidden="false" customHeight="false" outlineLevel="0" collapsed="false">
      <c r="A1351" s="1" t="n">
        <v>2354</v>
      </c>
      <c r="B1351" s="29" t="s">
        <v>49</v>
      </c>
      <c r="C1351" s="62" t="n">
        <v>5.7</v>
      </c>
      <c r="D1351" s="29" t="s">
        <v>60</v>
      </c>
      <c r="E1351" s="29" t="s">
        <v>58</v>
      </c>
    </row>
    <row r="1352" customFormat="false" ht="14.25" hidden="false" customHeight="false" outlineLevel="0" collapsed="false">
      <c r="A1352" s="1" t="n">
        <v>2355</v>
      </c>
      <c r="B1352" s="29" t="s">
        <v>54</v>
      </c>
      <c r="C1352" s="62" t="n">
        <v>32.1</v>
      </c>
      <c r="D1352" s="29" t="s">
        <v>70</v>
      </c>
      <c r="E1352" s="29" t="s">
        <v>66</v>
      </c>
    </row>
    <row r="1353" customFormat="false" ht="14.25" hidden="false" customHeight="false" outlineLevel="0" collapsed="false">
      <c r="A1353" s="1" t="n">
        <v>2356</v>
      </c>
      <c r="B1353" s="29" t="s">
        <v>49</v>
      </c>
      <c r="C1353" s="62" t="n">
        <v>6</v>
      </c>
      <c r="D1353" s="29" t="s">
        <v>70</v>
      </c>
      <c r="E1353" s="29" t="s">
        <v>58</v>
      </c>
    </row>
    <row r="1354" customFormat="false" ht="14.25" hidden="false" customHeight="false" outlineLevel="0" collapsed="false">
      <c r="A1354" s="1" t="n">
        <v>2357</v>
      </c>
      <c r="B1354" s="29" t="s">
        <v>61</v>
      </c>
      <c r="C1354" s="62" t="n">
        <v>1.8</v>
      </c>
      <c r="D1354" s="29" t="s">
        <v>69</v>
      </c>
      <c r="E1354" s="29" t="s">
        <v>57</v>
      </c>
    </row>
    <row r="1355" customFormat="false" ht="14.25" hidden="false" customHeight="false" outlineLevel="0" collapsed="false">
      <c r="A1355" s="1" t="n">
        <v>2358</v>
      </c>
      <c r="B1355" s="29" t="s">
        <v>49</v>
      </c>
      <c r="C1355" s="62" t="n">
        <v>0.7</v>
      </c>
      <c r="D1355" s="29" t="s">
        <v>60</v>
      </c>
      <c r="E1355" s="29" t="s">
        <v>57</v>
      </c>
    </row>
    <row r="1356" customFormat="false" ht="14.25" hidden="false" customHeight="false" outlineLevel="0" collapsed="false">
      <c r="A1356" s="1" t="n">
        <v>2359</v>
      </c>
      <c r="B1356" s="29" t="s">
        <v>49</v>
      </c>
      <c r="C1356" s="62" t="n">
        <v>5.3</v>
      </c>
      <c r="D1356" s="29" t="s">
        <v>60</v>
      </c>
      <c r="E1356" s="29" t="s">
        <v>58</v>
      </c>
    </row>
    <row r="1357" customFormat="false" ht="14.25" hidden="false" customHeight="false" outlineLevel="0" collapsed="false">
      <c r="A1357" s="1" t="n">
        <v>2360</v>
      </c>
      <c r="B1357" s="29" t="s">
        <v>49</v>
      </c>
      <c r="C1357" s="62" t="n">
        <v>0.5</v>
      </c>
      <c r="D1357" s="29" t="s">
        <v>59</v>
      </c>
      <c r="E1357" s="29" t="s">
        <v>58</v>
      </c>
    </row>
    <row r="1358" customFormat="false" ht="14.25" hidden="false" customHeight="false" outlineLevel="0" collapsed="false">
      <c r="A1358" s="1" t="n">
        <v>2361</v>
      </c>
      <c r="B1358" s="29" t="s">
        <v>49</v>
      </c>
      <c r="C1358" s="62" t="n">
        <v>1.1</v>
      </c>
      <c r="D1358" s="29" t="s">
        <v>59</v>
      </c>
      <c r="E1358" s="29" t="s">
        <v>58</v>
      </c>
    </row>
    <row r="1359" customFormat="false" ht="14.25" hidden="false" customHeight="false" outlineLevel="0" collapsed="false">
      <c r="A1359" s="1" t="n">
        <v>2362</v>
      </c>
      <c r="B1359" s="29" t="s">
        <v>49</v>
      </c>
      <c r="C1359" s="62" t="n">
        <v>9.6</v>
      </c>
      <c r="D1359" s="29" t="s">
        <v>59</v>
      </c>
      <c r="E1359" s="29" t="s">
        <v>58</v>
      </c>
    </row>
    <row r="1360" customFormat="false" ht="14.25" hidden="false" customHeight="false" outlineLevel="0" collapsed="false">
      <c r="A1360" s="1" t="n">
        <v>2363</v>
      </c>
      <c r="B1360" s="29" t="s">
        <v>49</v>
      </c>
      <c r="C1360" s="62" t="n">
        <v>9</v>
      </c>
      <c r="D1360" s="29" t="s">
        <v>62</v>
      </c>
      <c r="E1360" s="29" t="s">
        <v>53</v>
      </c>
    </row>
    <row r="1361" customFormat="false" ht="14.25" hidden="false" customHeight="false" outlineLevel="0" collapsed="false">
      <c r="A1361" s="1" t="n">
        <v>2364</v>
      </c>
      <c r="B1361" s="29" t="s">
        <v>54</v>
      </c>
      <c r="C1361" s="62" t="n">
        <v>44.9</v>
      </c>
      <c r="D1361" s="29" t="s">
        <v>59</v>
      </c>
      <c r="E1361" s="29" t="s">
        <v>66</v>
      </c>
    </row>
    <row r="1362" customFormat="false" ht="14.25" hidden="false" customHeight="false" outlineLevel="0" collapsed="false">
      <c r="A1362" s="1" t="n">
        <v>2365</v>
      </c>
      <c r="B1362" s="29" t="s">
        <v>61</v>
      </c>
      <c r="C1362" s="62" t="n">
        <v>2.1</v>
      </c>
      <c r="D1362" s="29" t="s">
        <v>59</v>
      </c>
      <c r="E1362" s="29" t="s">
        <v>57</v>
      </c>
    </row>
    <row r="1363" customFormat="false" ht="14.25" hidden="false" customHeight="false" outlineLevel="0" collapsed="false">
      <c r="A1363" s="1" t="n">
        <v>2366</v>
      </c>
      <c r="B1363" s="29" t="s">
        <v>49</v>
      </c>
      <c r="C1363" s="62" t="n">
        <v>21.3</v>
      </c>
      <c r="D1363" s="29" t="s">
        <v>56</v>
      </c>
      <c r="E1363" s="29" t="s">
        <v>65</v>
      </c>
    </row>
    <row r="1364" customFormat="false" ht="14.25" hidden="false" customHeight="false" outlineLevel="0" collapsed="false">
      <c r="A1364" s="1" t="n">
        <v>2367</v>
      </c>
      <c r="B1364" s="29" t="s">
        <v>49</v>
      </c>
      <c r="C1364" s="62" t="n">
        <v>1.6</v>
      </c>
      <c r="D1364" s="29" t="s">
        <v>56</v>
      </c>
      <c r="E1364" s="29" t="s">
        <v>58</v>
      </c>
    </row>
    <row r="1365" customFormat="false" ht="14.25" hidden="false" customHeight="false" outlineLevel="0" collapsed="false">
      <c r="A1365" s="1" t="n">
        <v>2368</v>
      </c>
      <c r="B1365" s="29" t="s">
        <v>49</v>
      </c>
      <c r="C1365" s="62" t="n">
        <v>6.2</v>
      </c>
      <c r="D1365" s="29" t="s">
        <v>56</v>
      </c>
      <c r="E1365" s="29" t="s">
        <v>51</v>
      </c>
    </row>
    <row r="1366" customFormat="false" ht="14.25" hidden="false" customHeight="false" outlineLevel="0" collapsed="false">
      <c r="A1366" s="1" t="n">
        <v>2369</v>
      </c>
      <c r="B1366" s="29" t="s">
        <v>49</v>
      </c>
      <c r="C1366" s="62" t="n">
        <v>12</v>
      </c>
      <c r="D1366" s="29" t="s">
        <v>71</v>
      </c>
      <c r="E1366" s="29" t="s">
        <v>58</v>
      </c>
    </row>
    <row r="1367" customFormat="false" ht="14.25" hidden="false" customHeight="false" outlineLevel="0" collapsed="false">
      <c r="A1367" s="1" t="n">
        <v>2370</v>
      </c>
      <c r="B1367" s="29" t="s">
        <v>61</v>
      </c>
      <c r="C1367" s="62" t="n">
        <v>7.3</v>
      </c>
      <c r="D1367" s="29" t="s">
        <v>56</v>
      </c>
      <c r="E1367" s="29" t="s">
        <v>58</v>
      </c>
    </row>
    <row r="1368" customFormat="false" ht="14.25" hidden="false" customHeight="false" outlineLevel="0" collapsed="false">
      <c r="A1368" s="1" t="n">
        <v>2371</v>
      </c>
      <c r="B1368" s="29" t="s">
        <v>49</v>
      </c>
      <c r="C1368" s="62" t="n">
        <v>6.2</v>
      </c>
      <c r="D1368" s="29" t="s">
        <v>60</v>
      </c>
      <c r="E1368" s="29" t="s">
        <v>51</v>
      </c>
    </row>
    <row r="1369" customFormat="false" ht="14.25" hidden="false" customHeight="false" outlineLevel="0" collapsed="false">
      <c r="A1369" s="1" t="n">
        <v>2372</v>
      </c>
      <c r="B1369" s="29" t="s">
        <v>61</v>
      </c>
      <c r="C1369" s="62" t="n">
        <v>14.1</v>
      </c>
      <c r="D1369" s="29" t="s">
        <v>59</v>
      </c>
      <c r="E1369" s="29" t="s">
        <v>58</v>
      </c>
    </row>
    <row r="1370" customFormat="false" ht="14.25" hidden="false" customHeight="false" outlineLevel="0" collapsed="false">
      <c r="A1370" s="1" t="n">
        <v>2373</v>
      </c>
      <c r="B1370" s="29" t="s">
        <v>61</v>
      </c>
      <c r="C1370" s="62" t="n">
        <v>12.3</v>
      </c>
      <c r="D1370" s="29" t="s">
        <v>56</v>
      </c>
      <c r="E1370" s="29" t="s">
        <v>58</v>
      </c>
    </row>
    <row r="1371" customFormat="false" ht="14.25" hidden="false" customHeight="false" outlineLevel="0" collapsed="false">
      <c r="A1371" s="1" t="n">
        <v>2374</v>
      </c>
      <c r="B1371" s="29" t="s">
        <v>61</v>
      </c>
      <c r="C1371" s="62" t="n">
        <v>9.6</v>
      </c>
      <c r="D1371" s="29" t="s">
        <v>56</v>
      </c>
      <c r="E1371" s="29" t="s">
        <v>53</v>
      </c>
    </row>
    <row r="1372" customFormat="false" ht="14.25" hidden="false" customHeight="false" outlineLevel="0" collapsed="false">
      <c r="A1372" s="1" t="n">
        <v>2375</v>
      </c>
      <c r="B1372" s="29" t="s">
        <v>49</v>
      </c>
      <c r="C1372" s="62" t="n">
        <v>6.7</v>
      </c>
      <c r="D1372" s="29" t="s">
        <v>56</v>
      </c>
      <c r="E1372" s="29" t="s">
        <v>51</v>
      </c>
    </row>
    <row r="1373" customFormat="false" ht="14.25" hidden="false" customHeight="false" outlineLevel="0" collapsed="false">
      <c r="A1373" s="1" t="n">
        <v>2376</v>
      </c>
      <c r="B1373" s="29" t="s">
        <v>49</v>
      </c>
      <c r="C1373" s="62" t="n">
        <v>7.7</v>
      </c>
      <c r="D1373" s="29" t="s">
        <v>71</v>
      </c>
      <c r="E1373" s="29" t="s">
        <v>58</v>
      </c>
    </row>
    <row r="1374" customFormat="false" ht="14.25" hidden="false" customHeight="false" outlineLevel="0" collapsed="false">
      <c r="A1374" s="1" t="n">
        <v>2377</v>
      </c>
      <c r="B1374" s="29" t="s">
        <v>49</v>
      </c>
      <c r="C1374" s="62" t="n">
        <v>6.4</v>
      </c>
      <c r="D1374" s="29" t="s">
        <v>56</v>
      </c>
      <c r="E1374" s="29" t="s">
        <v>58</v>
      </c>
    </row>
    <row r="1375" customFormat="false" ht="14.25" hidden="false" customHeight="false" outlineLevel="0" collapsed="false">
      <c r="A1375" s="1" t="n">
        <v>2378</v>
      </c>
      <c r="B1375" s="29" t="s">
        <v>49</v>
      </c>
      <c r="C1375" s="62" t="n">
        <v>15.5</v>
      </c>
      <c r="D1375" s="29" t="s">
        <v>56</v>
      </c>
      <c r="E1375" s="29" t="s">
        <v>65</v>
      </c>
    </row>
    <row r="1376" customFormat="false" ht="14.25" hidden="false" customHeight="false" outlineLevel="0" collapsed="false">
      <c r="A1376" s="1" t="n">
        <v>2379</v>
      </c>
      <c r="B1376" s="29" t="s">
        <v>49</v>
      </c>
      <c r="C1376" s="62" t="n">
        <v>26.2</v>
      </c>
      <c r="D1376" s="29" t="s">
        <v>56</v>
      </c>
      <c r="E1376" s="29" t="s">
        <v>65</v>
      </c>
    </row>
    <row r="1377" customFormat="false" ht="14.25" hidden="false" customHeight="false" outlineLevel="0" collapsed="false">
      <c r="A1377" s="1" t="n">
        <v>2380</v>
      </c>
      <c r="B1377" s="29" t="s">
        <v>49</v>
      </c>
      <c r="C1377" s="62" t="n">
        <v>9.6</v>
      </c>
      <c r="D1377" s="29" t="s">
        <v>56</v>
      </c>
      <c r="E1377" s="29" t="s">
        <v>58</v>
      </c>
    </row>
    <row r="1378" customFormat="false" ht="14.25" hidden="false" customHeight="false" outlineLevel="0" collapsed="false">
      <c r="A1378" s="1" t="n">
        <v>2381</v>
      </c>
      <c r="B1378" s="29" t="s">
        <v>61</v>
      </c>
      <c r="C1378" s="62" t="n">
        <v>1.4</v>
      </c>
      <c r="D1378" s="29" t="s">
        <v>56</v>
      </c>
      <c r="E1378" s="29" t="s">
        <v>57</v>
      </c>
    </row>
    <row r="1379" customFormat="false" ht="14.25" hidden="false" customHeight="false" outlineLevel="0" collapsed="false">
      <c r="A1379" s="1" t="n">
        <v>2382</v>
      </c>
      <c r="B1379" s="29" t="s">
        <v>49</v>
      </c>
      <c r="C1379" s="62" t="n">
        <v>9.6</v>
      </c>
      <c r="D1379" s="29" t="s">
        <v>59</v>
      </c>
      <c r="E1379" s="29" t="s">
        <v>53</v>
      </c>
    </row>
    <row r="1380" customFormat="false" ht="14.25" hidden="false" customHeight="false" outlineLevel="0" collapsed="false">
      <c r="A1380" s="1" t="n">
        <v>2383</v>
      </c>
      <c r="B1380" s="29" t="s">
        <v>49</v>
      </c>
      <c r="C1380" s="62" t="n">
        <v>4.4</v>
      </c>
      <c r="D1380" s="29" t="s">
        <v>59</v>
      </c>
      <c r="E1380" s="29" t="s">
        <v>53</v>
      </c>
    </row>
    <row r="1381" customFormat="false" ht="14.25" hidden="false" customHeight="false" outlineLevel="0" collapsed="false">
      <c r="A1381" s="1" t="n">
        <v>2384</v>
      </c>
      <c r="B1381" s="29" t="s">
        <v>49</v>
      </c>
      <c r="C1381" s="62" t="n">
        <v>2.1</v>
      </c>
      <c r="D1381" s="29" t="s">
        <v>59</v>
      </c>
      <c r="E1381" s="29" t="s">
        <v>53</v>
      </c>
    </row>
    <row r="1382" customFormat="false" ht="14.25" hidden="false" customHeight="false" outlineLevel="0" collapsed="false">
      <c r="A1382" s="1" t="n">
        <v>2385</v>
      </c>
      <c r="B1382" s="29" t="s">
        <v>49</v>
      </c>
      <c r="C1382" s="62" t="n">
        <v>5.1</v>
      </c>
      <c r="D1382" s="29" t="s">
        <v>50</v>
      </c>
      <c r="E1382" s="29" t="s">
        <v>51</v>
      </c>
    </row>
    <row r="1383" customFormat="false" ht="14.25" hidden="false" customHeight="false" outlineLevel="0" collapsed="false">
      <c r="A1383" s="1" t="n">
        <v>2386</v>
      </c>
      <c r="B1383" s="29" t="s">
        <v>49</v>
      </c>
      <c r="C1383" s="62" t="n">
        <v>1</v>
      </c>
      <c r="D1383" s="29" t="s">
        <v>50</v>
      </c>
      <c r="E1383" s="29" t="s">
        <v>57</v>
      </c>
    </row>
    <row r="1384" customFormat="false" ht="14.25" hidden="false" customHeight="false" outlineLevel="0" collapsed="false">
      <c r="A1384" s="1" t="n">
        <v>2387</v>
      </c>
      <c r="B1384" s="29" t="s">
        <v>49</v>
      </c>
      <c r="C1384" s="62" t="n">
        <v>9.3</v>
      </c>
      <c r="D1384" s="29" t="s">
        <v>50</v>
      </c>
      <c r="E1384" s="29" t="s">
        <v>58</v>
      </c>
    </row>
    <row r="1385" customFormat="false" ht="14.25" hidden="false" customHeight="false" outlineLevel="0" collapsed="false">
      <c r="A1385" s="1" t="n">
        <v>2388</v>
      </c>
      <c r="B1385" s="29" t="s">
        <v>61</v>
      </c>
      <c r="C1385" s="62" t="n">
        <v>6.7</v>
      </c>
      <c r="D1385" s="29" t="s">
        <v>52</v>
      </c>
      <c r="E1385" s="29" t="s">
        <v>58</v>
      </c>
    </row>
    <row r="1386" customFormat="false" ht="14.25" hidden="false" customHeight="false" outlineLevel="0" collapsed="false">
      <c r="A1386" s="1" t="n">
        <v>2389</v>
      </c>
      <c r="B1386" s="29" t="s">
        <v>49</v>
      </c>
      <c r="C1386" s="62" t="n">
        <v>20.3</v>
      </c>
      <c r="D1386" s="29" t="s">
        <v>59</v>
      </c>
      <c r="E1386" s="29" t="s">
        <v>58</v>
      </c>
    </row>
    <row r="1387" customFormat="false" ht="14.25" hidden="false" customHeight="false" outlineLevel="0" collapsed="false">
      <c r="A1387" s="1" t="n">
        <v>2390</v>
      </c>
      <c r="B1387" s="29" t="s">
        <v>49</v>
      </c>
      <c r="C1387" s="62" t="n">
        <v>26.2</v>
      </c>
      <c r="D1387" s="29" t="s">
        <v>56</v>
      </c>
      <c r="E1387" s="29" t="s">
        <v>65</v>
      </c>
    </row>
    <row r="1388" customFormat="false" ht="14.25" hidden="false" customHeight="false" outlineLevel="0" collapsed="false">
      <c r="A1388" s="1" t="n">
        <v>2391</v>
      </c>
      <c r="B1388" s="29" t="s">
        <v>49</v>
      </c>
      <c r="C1388" s="62" t="n">
        <v>8.8</v>
      </c>
      <c r="D1388" s="29" t="s">
        <v>59</v>
      </c>
      <c r="E1388" s="29" t="s">
        <v>58</v>
      </c>
    </row>
    <row r="1389" customFormat="false" ht="14.25" hidden="false" customHeight="false" outlineLevel="0" collapsed="false">
      <c r="A1389" s="1" t="n">
        <v>2392</v>
      </c>
      <c r="B1389" s="29" t="s">
        <v>49</v>
      </c>
      <c r="C1389" s="62" t="n">
        <v>5.5</v>
      </c>
      <c r="D1389" s="29" t="s">
        <v>59</v>
      </c>
      <c r="E1389" s="29" t="s">
        <v>58</v>
      </c>
    </row>
    <row r="1390" customFormat="false" ht="14.25" hidden="false" customHeight="false" outlineLevel="0" collapsed="false">
      <c r="A1390" s="1" t="n">
        <v>2393</v>
      </c>
      <c r="B1390" s="29" t="s">
        <v>49</v>
      </c>
      <c r="C1390" s="62" t="n">
        <v>5.3</v>
      </c>
      <c r="D1390" s="29" t="s">
        <v>52</v>
      </c>
      <c r="E1390" s="29" t="s">
        <v>53</v>
      </c>
    </row>
    <row r="1391" customFormat="false" ht="14.25" hidden="false" customHeight="false" outlineLevel="0" collapsed="false">
      <c r="A1391" s="1" t="n">
        <v>2394</v>
      </c>
      <c r="B1391" s="29" t="s">
        <v>61</v>
      </c>
      <c r="C1391" s="62" t="n">
        <v>6.7</v>
      </c>
      <c r="D1391" s="29" t="s">
        <v>52</v>
      </c>
      <c r="E1391" s="29" t="s">
        <v>58</v>
      </c>
    </row>
    <row r="1392" customFormat="false" ht="14.25" hidden="false" customHeight="false" outlineLevel="0" collapsed="false">
      <c r="A1392" s="1" t="n">
        <v>2395</v>
      </c>
      <c r="B1392" s="29" t="s">
        <v>54</v>
      </c>
      <c r="C1392" s="62" t="n">
        <v>31.2</v>
      </c>
      <c r="D1392" s="29" t="s">
        <v>50</v>
      </c>
      <c r="E1392" s="29" t="s">
        <v>55</v>
      </c>
    </row>
    <row r="1393" customFormat="false" ht="14.25" hidden="false" customHeight="false" outlineLevel="0" collapsed="false">
      <c r="A1393" s="1" t="n">
        <v>2396</v>
      </c>
      <c r="B1393" s="29" t="s">
        <v>49</v>
      </c>
      <c r="C1393" s="62" t="n">
        <v>7.9</v>
      </c>
      <c r="D1393" s="29" t="s">
        <v>70</v>
      </c>
      <c r="E1393" s="29" t="s">
        <v>58</v>
      </c>
    </row>
    <row r="1394" customFormat="false" ht="14.25" hidden="false" customHeight="false" outlineLevel="0" collapsed="false">
      <c r="A1394" s="1" t="n">
        <v>2397</v>
      </c>
      <c r="B1394" s="29" t="s">
        <v>54</v>
      </c>
      <c r="C1394" s="62" t="n">
        <v>15.2</v>
      </c>
      <c r="D1394" s="29" t="s">
        <v>70</v>
      </c>
      <c r="E1394" s="29" t="s">
        <v>66</v>
      </c>
    </row>
    <row r="1395" customFormat="false" ht="14.25" hidden="false" customHeight="false" outlineLevel="0" collapsed="false">
      <c r="A1395" s="1" t="n">
        <v>2398</v>
      </c>
      <c r="B1395" s="29" t="s">
        <v>49</v>
      </c>
      <c r="C1395" s="62" t="n">
        <v>5.1</v>
      </c>
      <c r="D1395" s="29" t="s">
        <v>70</v>
      </c>
      <c r="E1395" s="29" t="s">
        <v>57</v>
      </c>
    </row>
    <row r="1396" customFormat="false" ht="14.25" hidden="false" customHeight="false" outlineLevel="0" collapsed="false">
      <c r="A1396" s="1" t="n">
        <v>2399</v>
      </c>
      <c r="B1396" s="29" t="s">
        <v>49</v>
      </c>
      <c r="C1396" s="62" t="n">
        <v>1.5</v>
      </c>
      <c r="D1396" s="29" t="s">
        <v>59</v>
      </c>
      <c r="E1396" s="29" t="s">
        <v>58</v>
      </c>
    </row>
    <row r="1397" customFormat="false" ht="14.25" hidden="false" customHeight="false" outlineLevel="0" collapsed="false">
      <c r="A1397" s="1" t="n">
        <v>2400</v>
      </c>
      <c r="B1397" s="29" t="s">
        <v>49</v>
      </c>
      <c r="C1397" s="62" t="n">
        <v>9.4</v>
      </c>
      <c r="D1397" s="29" t="s">
        <v>59</v>
      </c>
      <c r="E1397" s="29" t="s">
        <v>58</v>
      </c>
    </row>
    <row r="1398" customFormat="false" ht="14.25" hidden="false" customHeight="false" outlineLevel="0" collapsed="false">
      <c r="A1398" s="1" t="n">
        <v>2401</v>
      </c>
      <c r="B1398" s="29" t="s">
        <v>49</v>
      </c>
      <c r="C1398" s="62" t="n">
        <v>6.1</v>
      </c>
      <c r="D1398" s="29" t="s">
        <v>59</v>
      </c>
      <c r="E1398" s="29" t="s">
        <v>58</v>
      </c>
    </row>
    <row r="1399" customFormat="false" ht="14.25" hidden="false" customHeight="false" outlineLevel="0" collapsed="false">
      <c r="A1399" s="1" t="n">
        <v>2402</v>
      </c>
      <c r="B1399" s="29" t="s">
        <v>49</v>
      </c>
      <c r="C1399" s="62" t="n">
        <v>3.2</v>
      </c>
      <c r="D1399" s="29" t="s">
        <v>59</v>
      </c>
      <c r="E1399" s="29" t="s">
        <v>57</v>
      </c>
    </row>
    <row r="1400" customFormat="false" ht="14.25" hidden="false" customHeight="false" outlineLevel="0" collapsed="false">
      <c r="A1400" s="1" t="n">
        <v>2403</v>
      </c>
      <c r="B1400" s="29" t="s">
        <v>49</v>
      </c>
      <c r="C1400" s="62" t="n">
        <v>2.7</v>
      </c>
      <c r="D1400" s="29" t="s">
        <v>50</v>
      </c>
      <c r="E1400" s="29" t="s">
        <v>53</v>
      </c>
    </row>
    <row r="1401" customFormat="false" ht="14.25" hidden="false" customHeight="false" outlineLevel="0" collapsed="false">
      <c r="A1401" s="1" t="n">
        <v>2404</v>
      </c>
      <c r="B1401" s="29" t="s">
        <v>49</v>
      </c>
      <c r="C1401" s="62" t="n">
        <v>6.7</v>
      </c>
      <c r="D1401" s="29" t="s">
        <v>50</v>
      </c>
      <c r="E1401" s="29" t="s">
        <v>58</v>
      </c>
    </row>
    <row r="1402" customFormat="false" ht="14.25" hidden="false" customHeight="false" outlineLevel="0" collapsed="false">
      <c r="A1402" s="1" t="n">
        <v>2405</v>
      </c>
      <c r="B1402" s="29" t="s">
        <v>49</v>
      </c>
      <c r="C1402" s="62" t="n">
        <v>26.2</v>
      </c>
      <c r="D1402" s="29" t="s">
        <v>50</v>
      </c>
      <c r="E1402" s="29" t="s">
        <v>65</v>
      </c>
    </row>
    <row r="1403" customFormat="false" ht="14.25" hidden="false" customHeight="false" outlineLevel="0" collapsed="false">
      <c r="A1403" s="1" t="n">
        <v>2406</v>
      </c>
      <c r="B1403" s="29" t="s">
        <v>49</v>
      </c>
      <c r="C1403" s="62" t="n">
        <v>3.2</v>
      </c>
      <c r="D1403" s="29" t="s">
        <v>56</v>
      </c>
      <c r="E1403" s="29" t="s">
        <v>57</v>
      </c>
    </row>
    <row r="1404" customFormat="false" ht="14.25" hidden="false" customHeight="false" outlineLevel="0" collapsed="false">
      <c r="A1404" s="1" t="n">
        <v>2407</v>
      </c>
      <c r="B1404" s="29" t="s">
        <v>49</v>
      </c>
      <c r="C1404" s="62" t="n">
        <v>0.5</v>
      </c>
      <c r="D1404" s="29" t="s">
        <v>67</v>
      </c>
      <c r="E1404" s="29" t="s">
        <v>58</v>
      </c>
    </row>
    <row r="1405" customFormat="false" ht="14.25" hidden="false" customHeight="false" outlineLevel="0" collapsed="false">
      <c r="A1405" s="1" t="n">
        <v>2408</v>
      </c>
      <c r="B1405" s="29" t="s">
        <v>49</v>
      </c>
      <c r="C1405" s="62" t="n">
        <v>6.2</v>
      </c>
      <c r="D1405" s="29" t="s">
        <v>52</v>
      </c>
      <c r="E1405" s="29" t="s">
        <v>58</v>
      </c>
    </row>
    <row r="1406" customFormat="false" ht="14.25" hidden="false" customHeight="false" outlineLevel="0" collapsed="false">
      <c r="A1406" s="1" t="n">
        <v>2409</v>
      </c>
      <c r="B1406" s="29" t="s">
        <v>49</v>
      </c>
      <c r="C1406" s="62" t="n">
        <v>3</v>
      </c>
      <c r="D1406" s="29" t="s">
        <v>52</v>
      </c>
      <c r="E1406" s="29" t="s">
        <v>53</v>
      </c>
    </row>
    <row r="1407" customFormat="false" ht="14.25" hidden="false" customHeight="false" outlineLevel="0" collapsed="false">
      <c r="A1407" s="1" t="n">
        <v>2410</v>
      </c>
      <c r="B1407" s="29" t="s">
        <v>61</v>
      </c>
      <c r="C1407" s="62" t="n">
        <v>6.6</v>
      </c>
      <c r="D1407" s="29" t="s">
        <v>59</v>
      </c>
      <c r="E1407" s="29" t="s">
        <v>57</v>
      </c>
    </row>
    <row r="1408" customFormat="false" ht="14.25" hidden="false" customHeight="false" outlineLevel="0" collapsed="false">
      <c r="A1408" s="1" t="n">
        <v>2411</v>
      </c>
      <c r="B1408" s="29" t="s">
        <v>49</v>
      </c>
      <c r="C1408" s="62" t="n">
        <v>21.4</v>
      </c>
      <c r="D1408" s="29" t="s">
        <v>59</v>
      </c>
      <c r="E1408" s="29" t="s">
        <v>58</v>
      </c>
    </row>
    <row r="1409" customFormat="false" ht="14.25" hidden="false" customHeight="false" outlineLevel="0" collapsed="false">
      <c r="A1409" s="1" t="n">
        <v>2412</v>
      </c>
      <c r="B1409" s="29" t="s">
        <v>49</v>
      </c>
      <c r="C1409" s="62" t="n">
        <v>5.2</v>
      </c>
      <c r="D1409" s="29" t="s">
        <v>50</v>
      </c>
      <c r="E1409" s="29" t="s">
        <v>58</v>
      </c>
    </row>
    <row r="1410" customFormat="false" ht="14.25" hidden="false" customHeight="false" outlineLevel="0" collapsed="false">
      <c r="A1410" s="1" t="n">
        <v>2413</v>
      </c>
      <c r="B1410" s="29" t="s">
        <v>61</v>
      </c>
      <c r="C1410" s="62" t="n">
        <v>3.2</v>
      </c>
      <c r="D1410" s="29" t="s">
        <v>68</v>
      </c>
      <c r="E1410" s="29" t="s">
        <v>58</v>
      </c>
    </row>
    <row r="1411" customFormat="false" ht="14.25" hidden="false" customHeight="false" outlineLevel="0" collapsed="false">
      <c r="A1411" s="1" t="n">
        <v>2414</v>
      </c>
      <c r="B1411" s="29" t="s">
        <v>54</v>
      </c>
      <c r="C1411" s="62" t="n">
        <v>64.2</v>
      </c>
      <c r="D1411" s="29" t="s">
        <v>56</v>
      </c>
      <c r="E1411" s="29" t="s">
        <v>66</v>
      </c>
    </row>
    <row r="1412" customFormat="false" ht="14.25" hidden="false" customHeight="false" outlineLevel="0" collapsed="false">
      <c r="A1412" s="1" t="n">
        <v>2415</v>
      </c>
      <c r="B1412" s="29" t="s">
        <v>49</v>
      </c>
      <c r="C1412" s="62" t="n">
        <v>6.4</v>
      </c>
      <c r="D1412" s="29" t="s">
        <v>59</v>
      </c>
      <c r="E1412" s="29" t="s">
        <v>58</v>
      </c>
    </row>
    <row r="1413" customFormat="false" ht="14.25" hidden="false" customHeight="false" outlineLevel="0" collapsed="false">
      <c r="A1413" s="1" t="n">
        <v>2416</v>
      </c>
      <c r="B1413" s="29" t="s">
        <v>49</v>
      </c>
      <c r="C1413" s="62" t="n">
        <v>8</v>
      </c>
      <c r="D1413" s="29" t="s">
        <v>56</v>
      </c>
      <c r="E1413" s="29" t="s">
        <v>58</v>
      </c>
    </row>
    <row r="1414" customFormat="false" ht="14.25" hidden="false" customHeight="false" outlineLevel="0" collapsed="false">
      <c r="A1414" s="1" t="n">
        <v>2417</v>
      </c>
      <c r="B1414" s="29" t="s">
        <v>49</v>
      </c>
      <c r="C1414" s="62" t="n">
        <v>9.3</v>
      </c>
      <c r="D1414" s="29" t="s">
        <v>56</v>
      </c>
      <c r="E1414" s="29" t="s">
        <v>58</v>
      </c>
    </row>
    <row r="1415" customFormat="false" ht="14.25" hidden="false" customHeight="false" outlineLevel="0" collapsed="false">
      <c r="A1415" s="1" t="n">
        <v>2418</v>
      </c>
      <c r="B1415" s="29" t="s">
        <v>49</v>
      </c>
      <c r="C1415" s="62" t="n">
        <v>6.6</v>
      </c>
      <c r="D1415" s="29" t="s">
        <v>50</v>
      </c>
      <c r="E1415" s="29" t="s">
        <v>58</v>
      </c>
    </row>
    <row r="1416" customFormat="false" ht="14.25" hidden="false" customHeight="false" outlineLevel="0" collapsed="false">
      <c r="A1416" s="1" t="n">
        <v>2419</v>
      </c>
      <c r="B1416" s="29" t="s">
        <v>54</v>
      </c>
      <c r="C1416" s="62" t="n">
        <v>27.8</v>
      </c>
      <c r="D1416" s="29" t="s">
        <v>52</v>
      </c>
      <c r="E1416" s="29" t="s">
        <v>66</v>
      </c>
    </row>
    <row r="1417" customFormat="false" ht="14.25" hidden="false" customHeight="false" outlineLevel="0" collapsed="false">
      <c r="A1417" s="1" t="n">
        <v>2420</v>
      </c>
      <c r="B1417" s="29" t="s">
        <v>49</v>
      </c>
      <c r="C1417" s="62" t="n">
        <v>8.3</v>
      </c>
      <c r="D1417" s="29" t="s">
        <v>52</v>
      </c>
      <c r="E1417" s="29" t="s">
        <v>53</v>
      </c>
    </row>
    <row r="1418" customFormat="false" ht="14.25" hidden="false" customHeight="false" outlineLevel="0" collapsed="false">
      <c r="A1418" s="1" t="n">
        <v>2421</v>
      </c>
      <c r="B1418" s="29" t="s">
        <v>49</v>
      </c>
      <c r="C1418" s="62" t="n">
        <v>2.4</v>
      </c>
      <c r="D1418" s="29" t="s">
        <v>52</v>
      </c>
      <c r="E1418" s="29" t="s">
        <v>57</v>
      </c>
    </row>
    <row r="1419" customFormat="false" ht="14.25" hidden="false" customHeight="false" outlineLevel="0" collapsed="false">
      <c r="A1419" s="1" t="n">
        <v>2422</v>
      </c>
      <c r="B1419" s="29" t="s">
        <v>61</v>
      </c>
      <c r="C1419" s="62" t="n">
        <v>5.9</v>
      </c>
      <c r="D1419" s="29" t="s">
        <v>59</v>
      </c>
      <c r="E1419" s="29" t="s">
        <v>58</v>
      </c>
    </row>
    <row r="1420" customFormat="false" ht="14.25" hidden="false" customHeight="false" outlineLevel="0" collapsed="false">
      <c r="A1420" s="1" t="n">
        <v>2423</v>
      </c>
      <c r="B1420" s="29" t="s">
        <v>49</v>
      </c>
      <c r="C1420" s="62" t="n">
        <v>7</v>
      </c>
      <c r="D1420" s="29" t="s">
        <v>50</v>
      </c>
      <c r="E1420" s="29" t="s">
        <v>51</v>
      </c>
    </row>
    <row r="1421" customFormat="false" ht="14.25" hidden="false" customHeight="false" outlineLevel="0" collapsed="false">
      <c r="A1421" s="1" t="n">
        <v>2424</v>
      </c>
      <c r="B1421" s="29" t="s">
        <v>49</v>
      </c>
      <c r="C1421" s="62" t="n">
        <v>6.2</v>
      </c>
      <c r="D1421" s="29" t="s">
        <v>70</v>
      </c>
      <c r="E1421" s="29" t="s">
        <v>51</v>
      </c>
    </row>
    <row r="1422" customFormat="false" ht="14.25" hidden="false" customHeight="false" outlineLevel="0" collapsed="false">
      <c r="A1422" s="1" t="n">
        <v>2425</v>
      </c>
      <c r="B1422" s="29" t="s">
        <v>49</v>
      </c>
      <c r="C1422" s="62" t="n">
        <v>7.8</v>
      </c>
      <c r="D1422" s="29" t="s">
        <v>70</v>
      </c>
      <c r="E1422" s="29" t="s">
        <v>58</v>
      </c>
    </row>
    <row r="1423" customFormat="false" ht="14.25" hidden="false" customHeight="false" outlineLevel="0" collapsed="false">
      <c r="A1423" s="1" t="n">
        <v>2426</v>
      </c>
      <c r="B1423" s="29" t="s">
        <v>61</v>
      </c>
      <c r="C1423" s="62" t="n">
        <v>7.7</v>
      </c>
      <c r="D1423" s="29" t="s">
        <v>60</v>
      </c>
      <c r="E1423" s="29" t="s">
        <v>58</v>
      </c>
    </row>
    <row r="1424" customFormat="false" ht="14.25" hidden="false" customHeight="false" outlineLevel="0" collapsed="false">
      <c r="A1424" s="1" t="n">
        <v>2427</v>
      </c>
      <c r="B1424" s="29" t="s">
        <v>61</v>
      </c>
      <c r="C1424" s="62" t="n">
        <v>4.5</v>
      </c>
      <c r="D1424" s="29" t="s">
        <v>56</v>
      </c>
      <c r="E1424" s="29" t="s">
        <v>58</v>
      </c>
    </row>
    <row r="1425" customFormat="false" ht="14.25" hidden="false" customHeight="false" outlineLevel="0" collapsed="false">
      <c r="A1425" s="1" t="n">
        <v>2428</v>
      </c>
      <c r="B1425" s="29" t="s">
        <v>54</v>
      </c>
      <c r="C1425" s="62" t="n">
        <v>32.1</v>
      </c>
      <c r="D1425" s="29" t="s">
        <v>52</v>
      </c>
      <c r="E1425" s="29" t="s">
        <v>66</v>
      </c>
    </row>
    <row r="1426" customFormat="false" ht="14.25" hidden="false" customHeight="false" outlineLevel="0" collapsed="false">
      <c r="A1426" s="1" t="n">
        <v>2429</v>
      </c>
      <c r="B1426" s="29" t="s">
        <v>49</v>
      </c>
      <c r="C1426" s="62" t="n">
        <v>23.8</v>
      </c>
      <c r="D1426" s="29" t="s">
        <v>50</v>
      </c>
      <c r="E1426" s="29" t="s">
        <v>65</v>
      </c>
    </row>
    <row r="1427" customFormat="false" ht="14.25" hidden="false" customHeight="false" outlineLevel="0" collapsed="false">
      <c r="A1427" s="1" t="n">
        <v>2430</v>
      </c>
      <c r="B1427" s="29" t="s">
        <v>49</v>
      </c>
      <c r="C1427" s="62" t="n">
        <v>8.8</v>
      </c>
      <c r="D1427" s="29" t="s">
        <v>56</v>
      </c>
      <c r="E1427" s="29" t="s">
        <v>58</v>
      </c>
    </row>
    <row r="1428" customFormat="false" ht="14.25" hidden="false" customHeight="false" outlineLevel="0" collapsed="false">
      <c r="A1428" s="1" t="n">
        <v>2431</v>
      </c>
      <c r="B1428" s="29" t="s">
        <v>49</v>
      </c>
      <c r="C1428" s="62" t="n">
        <v>26.2</v>
      </c>
      <c r="D1428" s="29" t="s">
        <v>52</v>
      </c>
      <c r="E1428" s="29" t="s">
        <v>65</v>
      </c>
    </row>
    <row r="1429" customFormat="false" ht="14.25" hidden="false" customHeight="false" outlineLevel="0" collapsed="false">
      <c r="A1429" s="1" t="n">
        <v>2432</v>
      </c>
      <c r="B1429" s="29" t="s">
        <v>49</v>
      </c>
      <c r="C1429" s="62" t="n">
        <v>5.4</v>
      </c>
      <c r="D1429" s="29" t="s">
        <v>52</v>
      </c>
      <c r="E1429" s="29" t="s">
        <v>58</v>
      </c>
    </row>
    <row r="1430" customFormat="false" ht="14.25" hidden="false" customHeight="false" outlineLevel="0" collapsed="false">
      <c r="A1430" s="1" t="n">
        <v>2433</v>
      </c>
      <c r="B1430" s="29" t="s">
        <v>49</v>
      </c>
      <c r="C1430" s="62" t="n">
        <v>21.4</v>
      </c>
      <c r="D1430" s="29" t="s">
        <v>56</v>
      </c>
      <c r="E1430" s="29" t="s">
        <v>58</v>
      </c>
    </row>
    <row r="1431" customFormat="false" ht="14.25" hidden="false" customHeight="false" outlineLevel="0" collapsed="false">
      <c r="A1431" s="1" t="n">
        <v>2434</v>
      </c>
      <c r="B1431" s="29" t="s">
        <v>49</v>
      </c>
      <c r="C1431" s="62" t="n">
        <v>7.6</v>
      </c>
      <c r="D1431" s="29" t="s">
        <v>62</v>
      </c>
      <c r="E1431" s="29" t="s">
        <v>58</v>
      </c>
    </row>
    <row r="1432" customFormat="false" ht="14.25" hidden="false" customHeight="false" outlineLevel="0" collapsed="false">
      <c r="A1432" s="1" t="n">
        <v>2435</v>
      </c>
      <c r="B1432" s="29" t="s">
        <v>49</v>
      </c>
      <c r="C1432" s="62" t="n">
        <v>1.6</v>
      </c>
      <c r="D1432" s="29" t="s">
        <v>52</v>
      </c>
      <c r="E1432" s="29" t="s">
        <v>58</v>
      </c>
    </row>
    <row r="1433" customFormat="false" ht="14.25" hidden="false" customHeight="false" outlineLevel="0" collapsed="false">
      <c r="A1433" s="1" t="n">
        <v>2436</v>
      </c>
      <c r="B1433" s="29" t="s">
        <v>61</v>
      </c>
      <c r="C1433" s="62" t="n">
        <v>21.3</v>
      </c>
      <c r="D1433" s="29" t="s">
        <v>71</v>
      </c>
      <c r="E1433" s="29" t="s">
        <v>65</v>
      </c>
    </row>
    <row r="1434" customFormat="false" ht="14.25" hidden="false" customHeight="false" outlineLevel="0" collapsed="false">
      <c r="A1434" s="1" t="n">
        <v>2437</v>
      </c>
      <c r="B1434" s="29" t="s">
        <v>49</v>
      </c>
      <c r="C1434" s="62" t="n">
        <v>26.2</v>
      </c>
      <c r="D1434" s="29" t="s">
        <v>50</v>
      </c>
      <c r="E1434" s="29" t="s">
        <v>65</v>
      </c>
    </row>
    <row r="1435" customFormat="false" ht="14.25" hidden="false" customHeight="false" outlineLevel="0" collapsed="false">
      <c r="A1435" s="1" t="n">
        <v>2438</v>
      </c>
      <c r="B1435" s="29" t="s">
        <v>49</v>
      </c>
      <c r="C1435" s="62" t="n">
        <v>7.9</v>
      </c>
      <c r="D1435" s="29" t="s">
        <v>50</v>
      </c>
      <c r="E1435" s="29" t="s">
        <v>58</v>
      </c>
    </row>
    <row r="1436" customFormat="false" ht="14.25" hidden="false" customHeight="false" outlineLevel="0" collapsed="false">
      <c r="A1436" s="1" t="n">
        <v>2439</v>
      </c>
      <c r="B1436" s="29" t="s">
        <v>49</v>
      </c>
      <c r="C1436" s="62" t="n">
        <v>5.4</v>
      </c>
      <c r="D1436" s="29" t="s">
        <v>67</v>
      </c>
      <c r="E1436" s="29" t="s">
        <v>58</v>
      </c>
    </row>
    <row r="1437" customFormat="false" ht="14.25" hidden="false" customHeight="false" outlineLevel="0" collapsed="false">
      <c r="A1437" s="1" t="n">
        <v>2440</v>
      </c>
      <c r="B1437" s="29" t="s">
        <v>49</v>
      </c>
      <c r="C1437" s="62" t="n">
        <v>1.1</v>
      </c>
      <c r="D1437" s="29" t="s">
        <v>67</v>
      </c>
      <c r="E1437" s="29" t="s">
        <v>57</v>
      </c>
    </row>
    <row r="1438" customFormat="false" ht="14.25" hidden="false" customHeight="false" outlineLevel="0" collapsed="false">
      <c r="A1438" s="1" t="n">
        <v>2441</v>
      </c>
      <c r="B1438" s="29" t="s">
        <v>49</v>
      </c>
      <c r="C1438" s="62" t="n">
        <v>1.7</v>
      </c>
      <c r="D1438" s="29" t="s">
        <v>69</v>
      </c>
      <c r="E1438" s="29" t="s">
        <v>57</v>
      </c>
    </row>
    <row r="1439" customFormat="false" ht="14.25" hidden="false" customHeight="false" outlineLevel="0" collapsed="false">
      <c r="A1439" s="1" t="n">
        <v>2442</v>
      </c>
      <c r="B1439" s="29" t="s">
        <v>54</v>
      </c>
      <c r="C1439" s="62" t="n">
        <v>63.1</v>
      </c>
      <c r="D1439" s="29" t="s">
        <v>52</v>
      </c>
      <c r="E1439" s="29" t="s">
        <v>66</v>
      </c>
    </row>
    <row r="1440" customFormat="false" ht="14.25" hidden="false" customHeight="false" outlineLevel="0" collapsed="false">
      <c r="A1440" s="1" t="n">
        <v>2443</v>
      </c>
      <c r="B1440" s="29" t="s">
        <v>54</v>
      </c>
      <c r="C1440" s="62" t="n">
        <v>34.7</v>
      </c>
      <c r="D1440" s="29" t="s">
        <v>56</v>
      </c>
      <c r="E1440" s="29" t="s">
        <v>66</v>
      </c>
    </row>
    <row r="1441" customFormat="false" ht="14.25" hidden="false" customHeight="false" outlineLevel="0" collapsed="false">
      <c r="A1441" s="1" t="n">
        <v>2444</v>
      </c>
      <c r="B1441" s="29" t="s">
        <v>54</v>
      </c>
      <c r="C1441" s="62" t="n">
        <v>64.2</v>
      </c>
      <c r="D1441" s="29" t="s">
        <v>62</v>
      </c>
      <c r="E1441" s="29" t="s">
        <v>66</v>
      </c>
    </row>
    <row r="1442" customFormat="false" ht="14.25" hidden="false" customHeight="false" outlineLevel="0" collapsed="false">
      <c r="A1442" s="1" t="n">
        <v>2445</v>
      </c>
      <c r="B1442" s="29" t="s">
        <v>61</v>
      </c>
      <c r="C1442" s="62" t="n">
        <v>4.8</v>
      </c>
      <c r="D1442" s="29" t="s">
        <v>59</v>
      </c>
      <c r="E1442" s="29" t="s">
        <v>58</v>
      </c>
    </row>
    <row r="1443" customFormat="false" ht="14.25" hidden="false" customHeight="false" outlineLevel="0" collapsed="false">
      <c r="A1443" s="1" t="n">
        <v>2446</v>
      </c>
      <c r="B1443" s="29" t="s">
        <v>49</v>
      </c>
      <c r="C1443" s="62" t="n">
        <v>26.2</v>
      </c>
      <c r="D1443" s="29" t="s">
        <v>63</v>
      </c>
      <c r="E1443" s="29" t="s">
        <v>65</v>
      </c>
    </row>
    <row r="1444" customFormat="false" ht="14.25" hidden="false" customHeight="false" outlineLevel="0" collapsed="false">
      <c r="A1444" s="1" t="n">
        <v>2447</v>
      </c>
      <c r="B1444" s="29" t="s">
        <v>49</v>
      </c>
      <c r="C1444" s="62" t="n">
        <v>6.6</v>
      </c>
      <c r="D1444" s="29" t="s">
        <v>50</v>
      </c>
      <c r="E1444" s="29" t="s">
        <v>58</v>
      </c>
    </row>
    <row r="1445" customFormat="false" ht="14.25" hidden="false" customHeight="false" outlineLevel="0" collapsed="false">
      <c r="A1445" s="1" t="n">
        <v>2448</v>
      </c>
      <c r="B1445" s="29" t="s">
        <v>49</v>
      </c>
      <c r="C1445" s="62" t="n">
        <v>5.6</v>
      </c>
      <c r="D1445" s="29" t="s">
        <v>59</v>
      </c>
      <c r="E1445" s="29" t="s">
        <v>58</v>
      </c>
    </row>
    <row r="1446" customFormat="false" ht="14.25" hidden="false" customHeight="false" outlineLevel="0" collapsed="false">
      <c r="A1446" s="1" t="n">
        <v>2449</v>
      </c>
      <c r="B1446" s="29" t="s">
        <v>49</v>
      </c>
      <c r="C1446" s="62" t="n">
        <v>3.2</v>
      </c>
      <c r="D1446" s="29" t="s">
        <v>56</v>
      </c>
      <c r="E1446" s="29" t="s">
        <v>58</v>
      </c>
    </row>
    <row r="1447" customFormat="false" ht="14.25" hidden="false" customHeight="false" outlineLevel="0" collapsed="false">
      <c r="A1447" s="1" t="n">
        <v>2450</v>
      </c>
      <c r="B1447" s="29" t="s">
        <v>49</v>
      </c>
      <c r="C1447" s="62" t="n">
        <v>2.4</v>
      </c>
      <c r="D1447" s="29" t="s">
        <v>56</v>
      </c>
      <c r="E1447" s="29" t="s">
        <v>57</v>
      </c>
    </row>
    <row r="1448" customFormat="false" ht="14.25" hidden="false" customHeight="false" outlineLevel="0" collapsed="false">
      <c r="A1448" s="1" t="n">
        <v>2451</v>
      </c>
      <c r="B1448" s="29" t="s">
        <v>49</v>
      </c>
      <c r="C1448" s="62" t="n">
        <v>9.1</v>
      </c>
      <c r="D1448" s="29" t="s">
        <v>59</v>
      </c>
      <c r="E1448" s="29" t="s">
        <v>51</v>
      </c>
    </row>
    <row r="1449" customFormat="false" ht="14.25" hidden="false" customHeight="false" outlineLevel="0" collapsed="false">
      <c r="A1449" s="1" t="n">
        <v>2452</v>
      </c>
      <c r="B1449" s="29" t="s">
        <v>49</v>
      </c>
      <c r="C1449" s="62" t="n">
        <v>9.6</v>
      </c>
      <c r="D1449" s="29" t="s">
        <v>59</v>
      </c>
      <c r="E1449" s="29" t="s">
        <v>58</v>
      </c>
    </row>
    <row r="1450" customFormat="false" ht="14.25" hidden="false" customHeight="false" outlineLevel="0" collapsed="false">
      <c r="A1450" s="1" t="n">
        <v>2453</v>
      </c>
      <c r="B1450" s="29" t="s">
        <v>54</v>
      </c>
      <c r="C1450" s="62" t="n">
        <v>153.8</v>
      </c>
      <c r="D1450" s="29" t="s">
        <v>59</v>
      </c>
      <c r="E1450" s="29" t="s">
        <v>66</v>
      </c>
    </row>
    <row r="1451" customFormat="false" ht="14.25" hidden="false" customHeight="false" outlineLevel="0" collapsed="false">
      <c r="A1451" s="1" t="n">
        <v>2454</v>
      </c>
      <c r="B1451" s="29" t="s">
        <v>61</v>
      </c>
      <c r="C1451" s="62" t="n">
        <v>7.2</v>
      </c>
      <c r="D1451" s="29" t="s">
        <v>59</v>
      </c>
      <c r="E1451" s="29" t="s">
        <v>51</v>
      </c>
    </row>
    <row r="1452" customFormat="false" ht="14.25" hidden="false" customHeight="false" outlineLevel="0" collapsed="false">
      <c r="A1452" s="1" t="n">
        <v>2455</v>
      </c>
      <c r="B1452" s="29" t="s">
        <v>49</v>
      </c>
      <c r="C1452" s="62" t="n">
        <v>8.2</v>
      </c>
      <c r="D1452" s="29" t="s">
        <v>59</v>
      </c>
      <c r="E1452" s="29" t="s">
        <v>58</v>
      </c>
    </row>
    <row r="1453" customFormat="false" ht="14.25" hidden="false" customHeight="false" outlineLevel="0" collapsed="false">
      <c r="A1453" s="1" t="n">
        <v>2456</v>
      </c>
      <c r="B1453" s="29" t="s">
        <v>49</v>
      </c>
      <c r="C1453" s="62" t="n">
        <v>3.2</v>
      </c>
      <c r="D1453" s="29" t="s">
        <v>56</v>
      </c>
      <c r="E1453" s="29" t="s">
        <v>58</v>
      </c>
    </row>
    <row r="1454" customFormat="false" ht="14.25" hidden="false" customHeight="false" outlineLevel="0" collapsed="false">
      <c r="A1454" s="1" t="n">
        <v>2457</v>
      </c>
      <c r="B1454" s="29" t="s">
        <v>49</v>
      </c>
      <c r="C1454" s="62" t="n">
        <v>1</v>
      </c>
      <c r="D1454" s="29" t="s">
        <v>56</v>
      </c>
      <c r="E1454" s="29" t="s">
        <v>57</v>
      </c>
    </row>
    <row r="1455" customFormat="false" ht="14.25" hidden="false" customHeight="false" outlineLevel="0" collapsed="false">
      <c r="A1455" s="1" t="n">
        <v>2458</v>
      </c>
      <c r="B1455" s="29" t="s">
        <v>61</v>
      </c>
      <c r="C1455" s="62" t="n">
        <v>3.5</v>
      </c>
      <c r="D1455" s="29" t="s">
        <v>56</v>
      </c>
      <c r="E1455" s="29" t="s">
        <v>53</v>
      </c>
    </row>
    <row r="1456" customFormat="false" ht="14.25" hidden="false" customHeight="false" outlineLevel="0" collapsed="false">
      <c r="A1456" s="1" t="n">
        <v>2459</v>
      </c>
      <c r="B1456" s="29" t="s">
        <v>49</v>
      </c>
      <c r="C1456" s="62" t="n">
        <v>3.1</v>
      </c>
      <c r="D1456" s="29" t="s">
        <v>56</v>
      </c>
      <c r="E1456" s="29" t="s">
        <v>57</v>
      </c>
    </row>
    <row r="1457" customFormat="false" ht="14.25" hidden="false" customHeight="false" outlineLevel="0" collapsed="false">
      <c r="A1457" s="1" t="n">
        <v>2460</v>
      </c>
      <c r="B1457" s="29" t="s">
        <v>61</v>
      </c>
      <c r="C1457" s="62" t="n">
        <v>9.6</v>
      </c>
      <c r="D1457" s="29" t="s">
        <v>56</v>
      </c>
      <c r="E1457" s="29" t="s">
        <v>53</v>
      </c>
    </row>
    <row r="1458" customFormat="false" ht="14.25" hidden="false" customHeight="false" outlineLevel="0" collapsed="false">
      <c r="A1458" s="1" t="n">
        <v>2461</v>
      </c>
      <c r="B1458" s="29" t="s">
        <v>49</v>
      </c>
      <c r="C1458" s="62" t="n">
        <v>6.2</v>
      </c>
      <c r="D1458" s="29" t="s">
        <v>56</v>
      </c>
      <c r="E1458" s="29" t="s">
        <v>58</v>
      </c>
    </row>
    <row r="1459" customFormat="false" ht="14.25" hidden="false" customHeight="false" outlineLevel="0" collapsed="false">
      <c r="A1459" s="1" t="n">
        <v>2462</v>
      </c>
      <c r="B1459" s="29" t="s">
        <v>61</v>
      </c>
      <c r="C1459" s="62" t="n">
        <v>2.2</v>
      </c>
      <c r="D1459" s="29" t="s">
        <v>67</v>
      </c>
      <c r="E1459" s="29" t="s">
        <v>57</v>
      </c>
    </row>
    <row r="1460" customFormat="false" ht="14.25" hidden="false" customHeight="false" outlineLevel="0" collapsed="false">
      <c r="A1460" s="1" t="n">
        <v>2463</v>
      </c>
      <c r="B1460" s="29" t="s">
        <v>49</v>
      </c>
      <c r="C1460" s="62" t="n">
        <v>6.7</v>
      </c>
      <c r="D1460" s="29" t="s">
        <v>59</v>
      </c>
      <c r="E1460" s="29" t="s">
        <v>58</v>
      </c>
    </row>
    <row r="1461" customFormat="false" ht="14.25" hidden="false" customHeight="false" outlineLevel="0" collapsed="false">
      <c r="A1461" s="1" t="n">
        <v>2464</v>
      </c>
      <c r="B1461" s="29" t="s">
        <v>49</v>
      </c>
      <c r="C1461" s="62" t="n">
        <v>5.1</v>
      </c>
      <c r="D1461" s="29" t="s">
        <v>56</v>
      </c>
      <c r="E1461" s="29" t="s">
        <v>58</v>
      </c>
    </row>
    <row r="1462" customFormat="false" ht="14.25" hidden="false" customHeight="false" outlineLevel="0" collapsed="false">
      <c r="A1462" s="1" t="n">
        <v>2465</v>
      </c>
      <c r="B1462" s="29" t="s">
        <v>61</v>
      </c>
      <c r="C1462" s="62" t="n">
        <v>8.1</v>
      </c>
      <c r="D1462" s="29" t="s">
        <v>67</v>
      </c>
      <c r="E1462" s="29" t="s">
        <v>58</v>
      </c>
    </row>
    <row r="1463" customFormat="false" ht="14.25" hidden="false" customHeight="false" outlineLevel="0" collapsed="false">
      <c r="A1463" s="1" t="n">
        <v>2466</v>
      </c>
      <c r="B1463" s="29" t="s">
        <v>49</v>
      </c>
      <c r="C1463" s="62" t="n">
        <v>8.4</v>
      </c>
      <c r="D1463" s="29" t="s">
        <v>52</v>
      </c>
      <c r="E1463" s="29" t="s">
        <v>58</v>
      </c>
    </row>
    <row r="1464" customFormat="false" ht="14.25" hidden="false" customHeight="false" outlineLevel="0" collapsed="false">
      <c r="A1464" s="1" t="n">
        <v>2467</v>
      </c>
      <c r="B1464" s="29" t="s">
        <v>49</v>
      </c>
      <c r="C1464" s="62" t="n">
        <v>4.2</v>
      </c>
      <c r="D1464" s="29" t="s">
        <v>50</v>
      </c>
      <c r="E1464" s="29" t="s">
        <v>57</v>
      </c>
    </row>
    <row r="1465" customFormat="false" ht="14.25" hidden="false" customHeight="false" outlineLevel="0" collapsed="false">
      <c r="A1465" s="1" t="n">
        <v>2468</v>
      </c>
      <c r="B1465" s="29" t="s">
        <v>49</v>
      </c>
      <c r="C1465" s="62" t="n">
        <v>19.3</v>
      </c>
      <c r="D1465" s="29" t="s">
        <v>59</v>
      </c>
      <c r="E1465" s="29" t="s">
        <v>65</v>
      </c>
    </row>
    <row r="1466" customFormat="false" ht="14.25" hidden="false" customHeight="false" outlineLevel="0" collapsed="false">
      <c r="A1466" s="1" t="n">
        <v>2469</v>
      </c>
      <c r="B1466" s="29" t="s">
        <v>49</v>
      </c>
      <c r="C1466" s="62" t="n">
        <v>4.4</v>
      </c>
      <c r="D1466" s="29" t="s">
        <v>62</v>
      </c>
      <c r="E1466" s="29" t="s">
        <v>57</v>
      </c>
    </row>
    <row r="1467" customFormat="false" ht="14.25" hidden="false" customHeight="false" outlineLevel="0" collapsed="false">
      <c r="A1467" s="1" t="n">
        <v>2470</v>
      </c>
      <c r="B1467" s="29" t="s">
        <v>61</v>
      </c>
      <c r="C1467" s="62" t="n">
        <v>0.7</v>
      </c>
      <c r="D1467" s="29" t="s">
        <v>62</v>
      </c>
      <c r="E1467" s="29" t="s">
        <v>57</v>
      </c>
    </row>
    <row r="1468" customFormat="false" ht="14.25" hidden="false" customHeight="false" outlineLevel="0" collapsed="false">
      <c r="A1468" s="1" t="n">
        <v>2471</v>
      </c>
      <c r="B1468" s="29" t="s">
        <v>49</v>
      </c>
      <c r="C1468" s="62" t="n">
        <v>0.5</v>
      </c>
      <c r="D1468" s="29" t="s">
        <v>56</v>
      </c>
      <c r="E1468" s="29" t="s">
        <v>58</v>
      </c>
    </row>
    <row r="1469" customFormat="false" ht="14.25" hidden="false" customHeight="false" outlineLevel="0" collapsed="false">
      <c r="A1469" s="1" t="n">
        <v>2472</v>
      </c>
      <c r="B1469" s="29" t="s">
        <v>49</v>
      </c>
      <c r="C1469" s="62" t="n">
        <v>1.3</v>
      </c>
      <c r="D1469" s="29" t="s">
        <v>59</v>
      </c>
      <c r="E1469" s="29" t="s">
        <v>53</v>
      </c>
    </row>
    <row r="1470" customFormat="false" ht="14.25" hidden="false" customHeight="false" outlineLevel="0" collapsed="false">
      <c r="A1470" s="1" t="n">
        <v>2473</v>
      </c>
      <c r="B1470" s="29" t="s">
        <v>49</v>
      </c>
      <c r="C1470" s="62" t="n">
        <v>4.5</v>
      </c>
      <c r="D1470" s="29" t="s">
        <v>62</v>
      </c>
      <c r="E1470" s="29" t="s">
        <v>57</v>
      </c>
    </row>
    <row r="1471" customFormat="false" ht="14.25" hidden="false" customHeight="false" outlineLevel="0" collapsed="false">
      <c r="A1471" s="1" t="n">
        <v>2474</v>
      </c>
      <c r="B1471" s="29" t="s">
        <v>49</v>
      </c>
      <c r="C1471" s="62" t="n">
        <v>6.6</v>
      </c>
      <c r="D1471" s="29" t="s">
        <v>59</v>
      </c>
      <c r="E1471" s="29" t="s">
        <v>53</v>
      </c>
    </row>
    <row r="1472" customFormat="false" ht="14.25" hidden="false" customHeight="false" outlineLevel="0" collapsed="false">
      <c r="A1472" s="1" t="n">
        <v>2475</v>
      </c>
      <c r="B1472" s="29" t="s">
        <v>49</v>
      </c>
      <c r="C1472" s="62" t="n">
        <v>2.1</v>
      </c>
      <c r="D1472" s="29" t="s">
        <v>59</v>
      </c>
      <c r="E1472" s="29" t="s">
        <v>53</v>
      </c>
    </row>
    <row r="1473" customFormat="false" ht="14.25" hidden="false" customHeight="false" outlineLevel="0" collapsed="false">
      <c r="A1473" s="1" t="n">
        <v>2476</v>
      </c>
      <c r="B1473" s="29" t="s">
        <v>49</v>
      </c>
      <c r="C1473" s="62" t="n">
        <v>9</v>
      </c>
      <c r="D1473" s="29" t="s">
        <v>59</v>
      </c>
      <c r="E1473" s="29" t="s">
        <v>58</v>
      </c>
    </row>
    <row r="1474" customFormat="false" ht="14.25" hidden="false" customHeight="false" outlineLevel="0" collapsed="false">
      <c r="A1474" s="1" t="n">
        <v>2477</v>
      </c>
      <c r="B1474" s="29" t="s">
        <v>49</v>
      </c>
      <c r="C1474" s="62" t="n">
        <v>0.7</v>
      </c>
      <c r="D1474" s="29" t="s">
        <v>52</v>
      </c>
      <c r="E1474" s="29" t="s">
        <v>57</v>
      </c>
    </row>
    <row r="1475" customFormat="false" ht="14.25" hidden="false" customHeight="false" outlineLevel="0" collapsed="false">
      <c r="A1475" s="1" t="n">
        <v>2478</v>
      </c>
      <c r="B1475" s="29" t="s">
        <v>49</v>
      </c>
      <c r="C1475" s="62" t="n">
        <v>0.7</v>
      </c>
      <c r="D1475" s="29" t="s">
        <v>52</v>
      </c>
      <c r="E1475" s="29" t="s">
        <v>57</v>
      </c>
    </row>
    <row r="1476" customFormat="false" ht="14.25" hidden="false" customHeight="false" outlineLevel="0" collapsed="false">
      <c r="A1476" s="1" t="n">
        <v>2479</v>
      </c>
      <c r="B1476" s="29" t="s">
        <v>49</v>
      </c>
      <c r="C1476" s="62" t="n">
        <v>5.2</v>
      </c>
      <c r="D1476" s="29" t="s">
        <v>68</v>
      </c>
      <c r="E1476" s="29" t="s">
        <v>58</v>
      </c>
    </row>
    <row r="1477" customFormat="false" ht="14.25" hidden="false" customHeight="false" outlineLevel="0" collapsed="false">
      <c r="A1477" s="1" t="n">
        <v>2480</v>
      </c>
      <c r="B1477" s="29" t="s">
        <v>49</v>
      </c>
      <c r="C1477" s="62" t="n">
        <v>1.6</v>
      </c>
      <c r="D1477" s="29" t="s">
        <v>62</v>
      </c>
      <c r="E1477" s="29" t="s">
        <v>58</v>
      </c>
    </row>
    <row r="1478" customFormat="false" ht="14.25" hidden="false" customHeight="false" outlineLevel="0" collapsed="false">
      <c r="A1478" s="1" t="n">
        <v>2481</v>
      </c>
      <c r="B1478" s="29" t="s">
        <v>49</v>
      </c>
      <c r="C1478" s="62" t="n">
        <v>9.3</v>
      </c>
      <c r="D1478" s="29" t="s">
        <v>59</v>
      </c>
      <c r="E1478" s="29" t="s">
        <v>58</v>
      </c>
    </row>
    <row r="1479" customFormat="false" ht="14.25" hidden="false" customHeight="false" outlineLevel="0" collapsed="false">
      <c r="A1479" s="1" t="n">
        <v>2482</v>
      </c>
      <c r="B1479" s="29" t="s">
        <v>61</v>
      </c>
      <c r="C1479" s="62" t="n">
        <v>3.1</v>
      </c>
      <c r="D1479" s="29" t="s">
        <v>67</v>
      </c>
      <c r="E1479" s="29" t="s">
        <v>53</v>
      </c>
    </row>
    <row r="1480" customFormat="false" ht="14.25" hidden="false" customHeight="false" outlineLevel="0" collapsed="false">
      <c r="A1480" s="1" t="n">
        <v>2483</v>
      </c>
      <c r="B1480" s="29" t="s">
        <v>61</v>
      </c>
      <c r="C1480" s="62" t="n">
        <v>21.4</v>
      </c>
      <c r="D1480" s="29" t="s">
        <v>67</v>
      </c>
      <c r="E1480" s="29" t="s">
        <v>58</v>
      </c>
    </row>
    <row r="1481" customFormat="false" ht="14.25" hidden="false" customHeight="false" outlineLevel="0" collapsed="false">
      <c r="A1481" s="1" t="n">
        <v>2484</v>
      </c>
      <c r="B1481" s="29" t="s">
        <v>49</v>
      </c>
      <c r="C1481" s="62" t="n">
        <v>5.7</v>
      </c>
      <c r="D1481" s="29" t="s">
        <v>67</v>
      </c>
      <c r="E1481" s="29" t="s">
        <v>58</v>
      </c>
    </row>
    <row r="1482" customFormat="false" ht="14.25" hidden="false" customHeight="false" outlineLevel="0" collapsed="false">
      <c r="A1482" s="1" t="n">
        <v>2485</v>
      </c>
      <c r="B1482" s="29" t="s">
        <v>49</v>
      </c>
      <c r="C1482" s="62" t="n">
        <v>2.1</v>
      </c>
      <c r="D1482" s="29" t="s">
        <v>67</v>
      </c>
      <c r="E1482" s="29" t="s">
        <v>57</v>
      </c>
    </row>
    <row r="1483" customFormat="false" ht="14.25" hidden="false" customHeight="false" outlineLevel="0" collapsed="false">
      <c r="A1483" s="1" t="n">
        <v>2486</v>
      </c>
      <c r="B1483" s="29" t="s">
        <v>49</v>
      </c>
      <c r="C1483" s="62" t="n">
        <v>3.2</v>
      </c>
      <c r="D1483" s="29" t="s">
        <v>52</v>
      </c>
      <c r="E1483" s="29" t="s">
        <v>58</v>
      </c>
    </row>
    <row r="1484" customFormat="false" ht="14.25" hidden="false" customHeight="false" outlineLevel="0" collapsed="false">
      <c r="A1484" s="1" t="n">
        <v>2487</v>
      </c>
      <c r="B1484" s="29" t="s">
        <v>49</v>
      </c>
      <c r="C1484" s="62" t="n">
        <v>0.5</v>
      </c>
      <c r="D1484" s="29" t="s">
        <v>52</v>
      </c>
      <c r="E1484" s="29" t="s">
        <v>58</v>
      </c>
    </row>
    <row r="1485" customFormat="false" ht="14.25" hidden="false" customHeight="false" outlineLevel="0" collapsed="false">
      <c r="A1485" s="1" t="n">
        <v>2488</v>
      </c>
      <c r="B1485" s="29" t="s">
        <v>49</v>
      </c>
      <c r="C1485" s="62" t="n">
        <v>6.8</v>
      </c>
      <c r="D1485" s="29" t="s">
        <v>52</v>
      </c>
      <c r="E1485" s="29" t="s">
        <v>58</v>
      </c>
    </row>
    <row r="1486" customFormat="false" ht="14.25" hidden="false" customHeight="false" outlineLevel="0" collapsed="false">
      <c r="A1486" s="1" t="n">
        <v>2489</v>
      </c>
      <c r="B1486" s="29" t="s">
        <v>49</v>
      </c>
      <c r="C1486" s="62" t="n">
        <v>9.6</v>
      </c>
      <c r="D1486" s="29" t="s">
        <v>62</v>
      </c>
      <c r="E1486" s="29" t="s">
        <v>58</v>
      </c>
    </row>
    <row r="1487" customFormat="false" ht="14.25" hidden="false" customHeight="false" outlineLevel="0" collapsed="false">
      <c r="A1487" s="1" t="n">
        <v>2490</v>
      </c>
      <c r="B1487" s="29" t="s">
        <v>49</v>
      </c>
      <c r="C1487" s="62" t="n">
        <v>5.5</v>
      </c>
      <c r="D1487" s="29" t="s">
        <v>62</v>
      </c>
      <c r="E1487" s="29" t="s">
        <v>58</v>
      </c>
    </row>
    <row r="1488" customFormat="false" ht="14.25" hidden="false" customHeight="false" outlineLevel="0" collapsed="false">
      <c r="A1488" s="1" t="n">
        <v>2491</v>
      </c>
      <c r="B1488" s="29" t="s">
        <v>54</v>
      </c>
      <c r="C1488" s="62" t="n">
        <v>105.9</v>
      </c>
      <c r="D1488" s="29" t="s">
        <v>60</v>
      </c>
      <c r="E1488" s="29" t="s">
        <v>66</v>
      </c>
    </row>
    <row r="1489" customFormat="false" ht="14.25" hidden="false" customHeight="false" outlineLevel="0" collapsed="false">
      <c r="A1489" s="1" t="n">
        <v>2492</v>
      </c>
      <c r="B1489" s="29" t="s">
        <v>49</v>
      </c>
      <c r="C1489" s="62" t="n">
        <v>1.6</v>
      </c>
      <c r="D1489" s="29" t="s">
        <v>56</v>
      </c>
      <c r="E1489" s="29" t="s">
        <v>58</v>
      </c>
    </row>
    <row r="1490" customFormat="false" ht="14.25" hidden="false" customHeight="false" outlineLevel="0" collapsed="false">
      <c r="A1490" s="1" t="n">
        <v>2493</v>
      </c>
      <c r="B1490" s="29" t="s">
        <v>49</v>
      </c>
      <c r="C1490" s="62" t="n">
        <v>6</v>
      </c>
      <c r="D1490" s="29" t="s">
        <v>67</v>
      </c>
      <c r="E1490" s="29" t="s">
        <v>58</v>
      </c>
    </row>
    <row r="1491" customFormat="false" ht="14.25" hidden="false" customHeight="false" outlineLevel="0" collapsed="false">
      <c r="A1491" s="1" t="n">
        <v>2494</v>
      </c>
      <c r="B1491" s="29" t="s">
        <v>61</v>
      </c>
      <c r="C1491" s="62" t="n">
        <v>5.9</v>
      </c>
      <c r="D1491" s="29" t="s">
        <v>67</v>
      </c>
      <c r="E1491" s="29" t="s">
        <v>58</v>
      </c>
    </row>
    <row r="1492" customFormat="false" ht="14.25" hidden="false" customHeight="false" outlineLevel="0" collapsed="false">
      <c r="A1492" s="1" t="n">
        <v>2495</v>
      </c>
      <c r="B1492" s="29" t="s">
        <v>61</v>
      </c>
      <c r="C1492" s="62" t="n">
        <v>5.4</v>
      </c>
      <c r="D1492" s="29" t="s">
        <v>67</v>
      </c>
      <c r="E1492" s="29" t="s">
        <v>58</v>
      </c>
    </row>
    <row r="1493" customFormat="false" ht="14.25" hidden="false" customHeight="false" outlineLevel="0" collapsed="false">
      <c r="A1493" s="1" t="n">
        <v>2496</v>
      </c>
      <c r="B1493" s="29" t="s">
        <v>49</v>
      </c>
      <c r="C1493" s="62" t="n">
        <v>9.6</v>
      </c>
      <c r="D1493" s="29" t="s">
        <v>52</v>
      </c>
      <c r="E1493" s="29" t="s">
        <v>58</v>
      </c>
    </row>
    <row r="1494" customFormat="false" ht="14.25" hidden="false" customHeight="false" outlineLevel="0" collapsed="false">
      <c r="A1494" s="1" t="n">
        <v>2497</v>
      </c>
      <c r="B1494" s="29" t="s">
        <v>54</v>
      </c>
      <c r="C1494" s="62" t="n">
        <v>95.6</v>
      </c>
      <c r="D1494" s="29" t="s">
        <v>59</v>
      </c>
      <c r="E1494" s="29" t="s">
        <v>55</v>
      </c>
    </row>
    <row r="1495" customFormat="false" ht="14.25" hidden="false" customHeight="false" outlineLevel="0" collapsed="false">
      <c r="A1495" s="1" t="n">
        <v>2498</v>
      </c>
      <c r="B1495" s="29" t="s">
        <v>49</v>
      </c>
      <c r="C1495" s="62" t="n">
        <v>6.4</v>
      </c>
      <c r="D1495" s="29" t="s">
        <v>70</v>
      </c>
      <c r="E1495" s="29" t="s">
        <v>58</v>
      </c>
    </row>
    <row r="1496" customFormat="false" ht="14.25" hidden="false" customHeight="false" outlineLevel="0" collapsed="false">
      <c r="A1496" s="1" t="n">
        <v>2499</v>
      </c>
      <c r="B1496" s="29" t="s">
        <v>49</v>
      </c>
      <c r="C1496" s="62" t="n">
        <v>9.1</v>
      </c>
      <c r="D1496" s="29" t="s">
        <v>70</v>
      </c>
      <c r="E1496" s="29" t="s">
        <v>53</v>
      </c>
    </row>
    <row r="1497" customFormat="false" ht="14.25" hidden="false" customHeight="false" outlineLevel="0" collapsed="false">
      <c r="A1497" s="1" t="n">
        <v>2500</v>
      </c>
      <c r="B1497" s="29" t="s">
        <v>49</v>
      </c>
      <c r="C1497" s="62" t="n">
        <v>2.4</v>
      </c>
      <c r="D1497" s="29" t="s">
        <v>70</v>
      </c>
      <c r="E1497" s="29" t="s">
        <v>57</v>
      </c>
    </row>
    <row r="1498" customFormat="false" ht="14.25" hidden="false" customHeight="false" outlineLevel="0" collapsed="false">
      <c r="A1498" s="1" t="n">
        <v>2501</v>
      </c>
      <c r="B1498" s="29" t="s">
        <v>49</v>
      </c>
      <c r="C1498" s="62" t="n">
        <v>6.4</v>
      </c>
      <c r="D1498" s="29" t="s">
        <v>56</v>
      </c>
      <c r="E1498" s="29" t="s">
        <v>51</v>
      </c>
    </row>
    <row r="1499" customFormat="false" ht="14.25" hidden="false" customHeight="false" outlineLevel="0" collapsed="false">
      <c r="A1499" s="1" t="n">
        <v>2502</v>
      </c>
      <c r="B1499" s="29" t="s">
        <v>49</v>
      </c>
      <c r="C1499" s="62" t="n">
        <v>11</v>
      </c>
      <c r="D1499" s="29" t="s">
        <v>62</v>
      </c>
      <c r="E1499" s="29" t="s">
        <v>58</v>
      </c>
    </row>
    <row r="1500" customFormat="false" ht="14.25" hidden="false" customHeight="false" outlineLevel="0" collapsed="false">
      <c r="A1500" s="1" t="n">
        <v>2503</v>
      </c>
      <c r="B1500" s="29" t="s">
        <v>49</v>
      </c>
      <c r="C1500" s="62" t="n">
        <v>1.1</v>
      </c>
      <c r="D1500" s="29" t="s">
        <v>71</v>
      </c>
      <c r="E1500" s="29" t="s">
        <v>57</v>
      </c>
    </row>
    <row r="1501" customFormat="false" ht="14.25" hidden="false" customHeight="false" outlineLevel="0" collapsed="false">
      <c r="A1501" s="1" t="n">
        <v>2504</v>
      </c>
      <c r="B1501" s="29" t="s">
        <v>49</v>
      </c>
      <c r="C1501" s="62" t="n">
        <v>1.6</v>
      </c>
      <c r="D1501" s="29" t="s">
        <v>52</v>
      </c>
      <c r="E1501" s="29" t="s">
        <v>58</v>
      </c>
    </row>
    <row r="1502" customFormat="false" ht="14.25" hidden="false" customHeight="false" outlineLevel="0" collapsed="false">
      <c r="A1502" s="1" t="n">
        <v>2505</v>
      </c>
      <c r="B1502" s="29" t="s">
        <v>49</v>
      </c>
      <c r="C1502" s="62" t="n">
        <v>3.3</v>
      </c>
      <c r="D1502" s="29" t="s">
        <v>63</v>
      </c>
      <c r="E1502" s="29" t="s">
        <v>57</v>
      </c>
    </row>
    <row r="1503" customFormat="false" ht="14.25" hidden="false" customHeight="false" outlineLevel="0" collapsed="false">
      <c r="A1503" s="1" t="n">
        <v>2506</v>
      </c>
      <c r="B1503" s="29" t="s">
        <v>49</v>
      </c>
      <c r="C1503" s="62" t="n">
        <v>26.2</v>
      </c>
      <c r="D1503" s="29" t="s">
        <v>63</v>
      </c>
      <c r="E1503" s="29" t="s">
        <v>65</v>
      </c>
    </row>
    <row r="1504" customFormat="false" ht="14.25" hidden="false" customHeight="false" outlineLevel="0" collapsed="false">
      <c r="A1504" s="1" t="n">
        <v>2507</v>
      </c>
      <c r="B1504" s="29" t="s">
        <v>49</v>
      </c>
      <c r="C1504" s="62" t="n">
        <v>0.5</v>
      </c>
      <c r="D1504" s="29" t="s">
        <v>59</v>
      </c>
      <c r="E1504" s="29" t="s">
        <v>58</v>
      </c>
    </row>
    <row r="1505" customFormat="false" ht="14.25" hidden="false" customHeight="false" outlineLevel="0" collapsed="false">
      <c r="A1505" s="1" t="n">
        <v>2508</v>
      </c>
      <c r="B1505" s="29" t="s">
        <v>54</v>
      </c>
      <c r="C1505" s="62" t="n">
        <v>38.3</v>
      </c>
      <c r="D1505" s="29" t="s">
        <v>59</v>
      </c>
      <c r="E1505" s="29" t="s">
        <v>55</v>
      </c>
    </row>
    <row r="1506" customFormat="false" ht="14.25" hidden="false" customHeight="false" outlineLevel="0" collapsed="false">
      <c r="A1506" s="1" t="n">
        <v>2509</v>
      </c>
      <c r="B1506" s="29" t="s">
        <v>49</v>
      </c>
      <c r="C1506" s="62" t="n">
        <v>6.9</v>
      </c>
      <c r="D1506" s="29" t="s">
        <v>60</v>
      </c>
      <c r="E1506" s="29" t="s">
        <v>58</v>
      </c>
    </row>
    <row r="1507" customFormat="false" ht="14.25" hidden="false" customHeight="false" outlineLevel="0" collapsed="false">
      <c r="A1507" s="1" t="n">
        <v>2510</v>
      </c>
      <c r="B1507" s="29" t="s">
        <v>49</v>
      </c>
      <c r="C1507" s="62" t="n">
        <v>4.3</v>
      </c>
      <c r="D1507" s="29" t="s">
        <v>60</v>
      </c>
      <c r="E1507" s="29" t="s">
        <v>58</v>
      </c>
    </row>
    <row r="1508" customFormat="false" ht="14.25" hidden="false" customHeight="false" outlineLevel="0" collapsed="false">
      <c r="A1508" s="1" t="n">
        <v>2511</v>
      </c>
      <c r="B1508" s="29" t="s">
        <v>54</v>
      </c>
      <c r="C1508" s="62" t="n">
        <v>15.2</v>
      </c>
      <c r="D1508" s="29" t="s">
        <v>59</v>
      </c>
      <c r="E1508" s="29" t="s">
        <v>66</v>
      </c>
    </row>
    <row r="1509" customFormat="false" ht="14.25" hidden="false" customHeight="false" outlineLevel="0" collapsed="false">
      <c r="A1509" s="1" t="n">
        <v>2512</v>
      </c>
      <c r="B1509" s="29" t="s">
        <v>61</v>
      </c>
      <c r="C1509" s="62" t="n">
        <v>6.5</v>
      </c>
      <c r="D1509" s="29" t="s">
        <v>62</v>
      </c>
      <c r="E1509" s="29" t="s">
        <v>58</v>
      </c>
    </row>
    <row r="1510" customFormat="false" ht="14.25" hidden="false" customHeight="false" outlineLevel="0" collapsed="false">
      <c r="A1510" s="1" t="n">
        <v>2513</v>
      </c>
      <c r="B1510" s="29" t="s">
        <v>49</v>
      </c>
      <c r="C1510" s="62" t="n">
        <v>13.9</v>
      </c>
      <c r="D1510" s="29" t="s">
        <v>62</v>
      </c>
      <c r="E1510" s="29" t="s">
        <v>58</v>
      </c>
    </row>
    <row r="1511" customFormat="false" ht="14.25" hidden="false" customHeight="false" outlineLevel="0" collapsed="false">
      <c r="A1511" s="1" t="n">
        <v>2514</v>
      </c>
      <c r="B1511" s="29" t="s">
        <v>54</v>
      </c>
      <c r="C1511" s="62" t="n">
        <v>69.1</v>
      </c>
      <c r="D1511" s="29" t="s">
        <v>62</v>
      </c>
      <c r="E1511" s="29" t="s">
        <v>55</v>
      </c>
    </row>
    <row r="1512" customFormat="false" ht="14.25" hidden="false" customHeight="false" outlineLevel="0" collapsed="false">
      <c r="A1512" s="1" t="n">
        <v>2515</v>
      </c>
      <c r="B1512" s="29" t="s">
        <v>49</v>
      </c>
      <c r="C1512" s="62" t="n">
        <v>6.2</v>
      </c>
      <c r="D1512" s="29" t="s">
        <v>62</v>
      </c>
      <c r="E1512" s="29" t="s">
        <v>58</v>
      </c>
    </row>
    <row r="1513" customFormat="false" ht="14.25" hidden="false" customHeight="false" outlineLevel="0" collapsed="false">
      <c r="A1513" s="1" t="n">
        <v>2516</v>
      </c>
      <c r="B1513" s="29" t="s">
        <v>49</v>
      </c>
      <c r="C1513" s="62" t="n">
        <v>6.7</v>
      </c>
      <c r="D1513" s="29" t="s">
        <v>59</v>
      </c>
      <c r="E1513" s="29" t="s">
        <v>58</v>
      </c>
    </row>
    <row r="1514" customFormat="false" ht="14.25" hidden="false" customHeight="false" outlineLevel="0" collapsed="false">
      <c r="A1514" s="1" t="n">
        <v>2517</v>
      </c>
      <c r="B1514" s="29" t="s">
        <v>49</v>
      </c>
      <c r="C1514" s="62" t="n">
        <v>6.2</v>
      </c>
      <c r="D1514" s="29" t="s">
        <v>59</v>
      </c>
      <c r="E1514" s="29" t="s">
        <v>58</v>
      </c>
    </row>
    <row r="1515" customFormat="false" ht="14.25" hidden="false" customHeight="false" outlineLevel="0" collapsed="false">
      <c r="A1515" s="1" t="n">
        <v>2518</v>
      </c>
      <c r="B1515" s="29" t="s">
        <v>49</v>
      </c>
      <c r="C1515" s="62" t="n">
        <v>3.9</v>
      </c>
      <c r="D1515" s="29" t="s">
        <v>52</v>
      </c>
      <c r="E1515" s="29" t="s">
        <v>53</v>
      </c>
    </row>
    <row r="1516" customFormat="false" ht="14.25" hidden="false" customHeight="false" outlineLevel="0" collapsed="false">
      <c r="A1516" s="1" t="n">
        <v>2519</v>
      </c>
      <c r="B1516" s="29" t="s">
        <v>49</v>
      </c>
      <c r="C1516" s="62" t="n">
        <v>2.1</v>
      </c>
      <c r="D1516" s="29" t="s">
        <v>52</v>
      </c>
      <c r="E1516" s="29" t="s">
        <v>53</v>
      </c>
    </row>
    <row r="1517" customFormat="false" ht="14.25" hidden="false" customHeight="false" outlineLevel="0" collapsed="false">
      <c r="A1517" s="1" t="n">
        <v>2520</v>
      </c>
      <c r="B1517" s="29" t="s">
        <v>49</v>
      </c>
      <c r="C1517" s="62" t="n">
        <v>9</v>
      </c>
      <c r="D1517" s="29" t="s">
        <v>52</v>
      </c>
      <c r="E1517" s="29" t="s">
        <v>58</v>
      </c>
    </row>
    <row r="1518" customFormat="false" ht="14.25" hidden="false" customHeight="false" outlineLevel="0" collapsed="false">
      <c r="A1518" s="1" t="n">
        <v>2521</v>
      </c>
      <c r="B1518" s="29" t="s">
        <v>49</v>
      </c>
      <c r="C1518" s="62" t="n">
        <v>0.8</v>
      </c>
      <c r="D1518" s="29" t="s">
        <v>50</v>
      </c>
      <c r="E1518" s="29" t="s">
        <v>57</v>
      </c>
    </row>
    <row r="1519" customFormat="false" ht="14.25" hidden="false" customHeight="false" outlineLevel="0" collapsed="false">
      <c r="A1519" s="1" t="n">
        <v>2522</v>
      </c>
      <c r="B1519" s="29" t="s">
        <v>49</v>
      </c>
      <c r="C1519" s="62" t="n">
        <v>17.2</v>
      </c>
      <c r="D1519" s="29" t="s">
        <v>62</v>
      </c>
      <c r="E1519" s="29" t="s">
        <v>58</v>
      </c>
    </row>
    <row r="1520" customFormat="false" ht="14.25" hidden="false" customHeight="false" outlineLevel="0" collapsed="false">
      <c r="A1520" s="1" t="n">
        <v>2523</v>
      </c>
      <c r="B1520" s="29" t="s">
        <v>49</v>
      </c>
      <c r="C1520" s="62" t="n">
        <v>8.9</v>
      </c>
      <c r="D1520" s="29" t="s">
        <v>62</v>
      </c>
      <c r="E1520" s="29" t="s">
        <v>58</v>
      </c>
    </row>
    <row r="1521" customFormat="false" ht="14.25" hidden="false" customHeight="false" outlineLevel="0" collapsed="false">
      <c r="A1521" s="1" t="n">
        <v>2524</v>
      </c>
      <c r="B1521" s="29" t="s">
        <v>61</v>
      </c>
      <c r="C1521" s="62" t="n">
        <v>2.7</v>
      </c>
      <c r="D1521" s="29" t="s">
        <v>59</v>
      </c>
      <c r="E1521" s="29" t="s">
        <v>58</v>
      </c>
    </row>
    <row r="1522" customFormat="false" ht="14.25" hidden="false" customHeight="false" outlineLevel="0" collapsed="false">
      <c r="A1522" s="1" t="n">
        <v>2525</v>
      </c>
      <c r="B1522" s="29" t="s">
        <v>49</v>
      </c>
      <c r="C1522" s="62" t="n">
        <v>9.1</v>
      </c>
      <c r="D1522" s="29" t="s">
        <v>59</v>
      </c>
      <c r="E1522" s="29" t="s">
        <v>58</v>
      </c>
    </row>
    <row r="1523" customFormat="false" ht="14.25" hidden="false" customHeight="false" outlineLevel="0" collapsed="false">
      <c r="A1523" s="1" t="n">
        <v>2526</v>
      </c>
      <c r="B1523" s="29" t="s">
        <v>49</v>
      </c>
      <c r="C1523" s="62" t="n">
        <v>15</v>
      </c>
      <c r="D1523" s="29" t="s">
        <v>59</v>
      </c>
      <c r="E1523" s="29" t="s">
        <v>51</v>
      </c>
    </row>
    <row r="1524" customFormat="false" ht="14.25" hidden="false" customHeight="false" outlineLevel="0" collapsed="false">
      <c r="A1524" s="1" t="n">
        <v>2527</v>
      </c>
      <c r="B1524" s="29" t="s">
        <v>49</v>
      </c>
      <c r="C1524" s="62" t="n">
        <v>5.8</v>
      </c>
      <c r="D1524" s="29" t="s">
        <v>59</v>
      </c>
      <c r="E1524" s="29" t="s">
        <v>58</v>
      </c>
    </row>
    <row r="1525" customFormat="false" ht="14.25" hidden="false" customHeight="false" outlineLevel="0" collapsed="false">
      <c r="A1525" s="1" t="n">
        <v>2528</v>
      </c>
      <c r="B1525" s="29" t="s">
        <v>49</v>
      </c>
      <c r="C1525" s="62" t="n">
        <v>21.4</v>
      </c>
      <c r="D1525" s="29" t="s">
        <v>59</v>
      </c>
      <c r="E1525" s="29" t="s">
        <v>58</v>
      </c>
    </row>
    <row r="1526" customFormat="false" ht="14.25" hidden="false" customHeight="false" outlineLevel="0" collapsed="false">
      <c r="A1526" s="1" t="n">
        <v>2529</v>
      </c>
      <c r="B1526" s="29" t="s">
        <v>61</v>
      </c>
      <c r="C1526" s="62" t="n">
        <v>2.1</v>
      </c>
      <c r="D1526" s="29" t="s">
        <v>59</v>
      </c>
      <c r="E1526" s="29" t="s">
        <v>53</v>
      </c>
    </row>
    <row r="1527" customFormat="false" ht="14.25" hidden="false" customHeight="false" outlineLevel="0" collapsed="false">
      <c r="A1527" s="1" t="n">
        <v>2530</v>
      </c>
      <c r="B1527" s="29" t="s">
        <v>49</v>
      </c>
      <c r="C1527" s="62" t="n">
        <v>1.3</v>
      </c>
      <c r="D1527" s="29" t="s">
        <v>59</v>
      </c>
      <c r="E1527" s="29" t="s">
        <v>53</v>
      </c>
    </row>
    <row r="1528" customFormat="false" ht="14.25" hidden="false" customHeight="false" outlineLevel="0" collapsed="false">
      <c r="A1528" s="1" t="n">
        <v>2531</v>
      </c>
      <c r="B1528" s="29" t="s">
        <v>49</v>
      </c>
      <c r="C1528" s="62" t="n">
        <v>73.8</v>
      </c>
      <c r="D1528" s="29" t="s">
        <v>67</v>
      </c>
      <c r="E1528" s="29" t="s">
        <v>65</v>
      </c>
    </row>
    <row r="1529" customFormat="false" ht="14.25" hidden="false" customHeight="false" outlineLevel="0" collapsed="false">
      <c r="A1529" s="1" t="n">
        <v>2532</v>
      </c>
      <c r="B1529" s="29" t="s">
        <v>49</v>
      </c>
      <c r="C1529" s="62" t="n">
        <v>3</v>
      </c>
      <c r="D1529" s="29" t="s">
        <v>60</v>
      </c>
      <c r="E1529" s="29" t="s">
        <v>58</v>
      </c>
    </row>
    <row r="1530" customFormat="false" ht="14.25" hidden="false" customHeight="false" outlineLevel="0" collapsed="false">
      <c r="A1530" s="1" t="n">
        <v>2533</v>
      </c>
      <c r="B1530" s="29" t="s">
        <v>49</v>
      </c>
      <c r="C1530" s="62" t="n">
        <v>1.6</v>
      </c>
      <c r="D1530" s="29" t="s">
        <v>60</v>
      </c>
      <c r="E1530" s="29" t="s">
        <v>58</v>
      </c>
    </row>
    <row r="1531" customFormat="false" ht="14.25" hidden="false" customHeight="false" outlineLevel="0" collapsed="false">
      <c r="A1531" s="1" t="n">
        <v>2534</v>
      </c>
      <c r="B1531" s="29" t="s">
        <v>49</v>
      </c>
      <c r="C1531" s="62" t="n">
        <v>6.5</v>
      </c>
      <c r="D1531" s="29" t="s">
        <v>59</v>
      </c>
      <c r="E1531" s="29" t="s">
        <v>58</v>
      </c>
    </row>
    <row r="1532" customFormat="false" ht="14.25" hidden="false" customHeight="false" outlineLevel="0" collapsed="false">
      <c r="A1532" s="1" t="n">
        <v>2535</v>
      </c>
      <c r="B1532" s="29" t="s">
        <v>54</v>
      </c>
      <c r="C1532" s="62" t="n">
        <v>49.4</v>
      </c>
      <c r="D1532" s="29" t="s">
        <v>60</v>
      </c>
      <c r="E1532" s="29" t="s">
        <v>55</v>
      </c>
    </row>
    <row r="1533" customFormat="false" ht="14.25" hidden="false" customHeight="false" outlineLevel="0" collapsed="false">
      <c r="A1533" s="1" t="n">
        <v>2536</v>
      </c>
      <c r="B1533" s="29" t="s">
        <v>61</v>
      </c>
      <c r="C1533" s="62" t="n">
        <v>26.2</v>
      </c>
      <c r="D1533" s="29" t="s">
        <v>68</v>
      </c>
      <c r="E1533" s="29" t="s">
        <v>65</v>
      </c>
    </row>
    <row r="1534" customFormat="false" ht="14.25" hidden="false" customHeight="false" outlineLevel="0" collapsed="false">
      <c r="A1534" s="1" t="n">
        <v>2537</v>
      </c>
      <c r="B1534" s="29" t="s">
        <v>49</v>
      </c>
      <c r="C1534" s="62" t="n">
        <v>37.5</v>
      </c>
      <c r="D1534" s="29" t="s">
        <v>68</v>
      </c>
      <c r="E1534" s="29" t="s">
        <v>65</v>
      </c>
    </row>
    <row r="1535" customFormat="false" ht="14.25" hidden="false" customHeight="false" outlineLevel="0" collapsed="false">
      <c r="A1535" s="1" t="n">
        <v>2538</v>
      </c>
      <c r="B1535" s="29" t="s">
        <v>49</v>
      </c>
      <c r="C1535" s="62" t="n">
        <v>9.6</v>
      </c>
      <c r="D1535" s="29" t="s">
        <v>68</v>
      </c>
      <c r="E1535" s="29" t="s">
        <v>53</v>
      </c>
    </row>
    <row r="1536" customFormat="false" ht="14.25" hidden="false" customHeight="false" outlineLevel="0" collapsed="false">
      <c r="A1536" s="1" t="n">
        <v>2539</v>
      </c>
      <c r="B1536" s="29" t="s">
        <v>49</v>
      </c>
      <c r="C1536" s="62" t="n">
        <v>0.8</v>
      </c>
      <c r="D1536" s="29" t="s">
        <v>56</v>
      </c>
      <c r="E1536" s="29" t="s">
        <v>57</v>
      </c>
    </row>
    <row r="1537" customFormat="false" ht="14.25" hidden="false" customHeight="false" outlineLevel="0" collapsed="false">
      <c r="A1537" s="1" t="n">
        <v>2540</v>
      </c>
      <c r="B1537" s="29" t="s">
        <v>49</v>
      </c>
      <c r="C1537" s="62" t="n">
        <v>7.1</v>
      </c>
      <c r="D1537" s="29" t="s">
        <v>56</v>
      </c>
      <c r="E1537" s="29" t="s">
        <v>58</v>
      </c>
    </row>
    <row r="1538" customFormat="false" ht="14.25" hidden="false" customHeight="false" outlineLevel="0" collapsed="false">
      <c r="A1538" s="1" t="n">
        <v>2541</v>
      </c>
      <c r="B1538" s="29" t="s">
        <v>49</v>
      </c>
      <c r="C1538" s="62" t="n">
        <v>1.1</v>
      </c>
      <c r="D1538" s="29" t="s">
        <v>56</v>
      </c>
      <c r="E1538" s="29" t="s">
        <v>57</v>
      </c>
    </row>
    <row r="1539" customFormat="false" ht="14.25" hidden="false" customHeight="false" outlineLevel="0" collapsed="false">
      <c r="A1539" s="1" t="n">
        <v>2542</v>
      </c>
      <c r="B1539" s="29" t="s">
        <v>49</v>
      </c>
      <c r="C1539" s="62" t="n">
        <v>1.7</v>
      </c>
      <c r="D1539" s="29" t="s">
        <v>62</v>
      </c>
      <c r="E1539" s="29" t="s">
        <v>57</v>
      </c>
    </row>
    <row r="1540" customFormat="false" ht="14.25" hidden="false" customHeight="false" outlineLevel="0" collapsed="false">
      <c r="A1540" s="1" t="n">
        <v>2543</v>
      </c>
      <c r="B1540" s="29" t="s">
        <v>49</v>
      </c>
      <c r="C1540" s="62" t="n">
        <v>9.6</v>
      </c>
      <c r="D1540" s="29" t="s">
        <v>62</v>
      </c>
      <c r="E1540" s="29" t="s">
        <v>53</v>
      </c>
    </row>
    <row r="1541" customFormat="false" ht="14.25" hidden="false" customHeight="false" outlineLevel="0" collapsed="false">
      <c r="A1541" s="1" t="n">
        <v>2544</v>
      </c>
      <c r="B1541" s="29" t="s">
        <v>49</v>
      </c>
      <c r="C1541" s="62" t="n">
        <v>15.5</v>
      </c>
      <c r="D1541" s="29" t="s">
        <v>62</v>
      </c>
      <c r="E1541" s="29" t="s">
        <v>58</v>
      </c>
    </row>
    <row r="1542" customFormat="false" ht="14.25" hidden="false" customHeight="false" outlineLevel="0" collapsed="false">
      <c r="A1542" s="1" t="n">
        <v>2545</v>
      </c>
      <c r="B1542" s="29" t="s">
        <v>49</v>
      </c>
      <c r="C1542" s="62" t="n">
        <v>1</v>
      </c>
      <c r="D1542" s="29" t="s">
        <v>60</v>
      </c>
      <c r="E1542" s="29" t="s">
        <v>57</v>
      </c>
    </row>
    <row r="1543" customFormat="false" ht="14.25" hidden="false" customHeight="false" outlineLevel="0" collapsed="false">
      <c r="A1543" s="1" t="n">
        <v>2546</v>
      </c>
      <c r="B1543" s="29" t="s">
        <v>49</v>
      </c>
      <c r="C1543" s="62" t="n">
        <v>21.4</v>
      </c>
      <c r="D1543" s="29" t="s">
        <v>68</v>
      </c>
      <c r="E1543" s="29" t="s">
        <v>58</v>
      </c>
    </row>
    <row r="1544" customFormat="false" ht="14.25" hidden="false" customHeight="false" outlineLevel="0" collapsed="false">
      <c r="A1544" s="1" t="n">
        <v>2547</v>
      </c>
      <c r="B1544" s="29" t="s">
        <v>49</v>
      </c>
      <c r="C1544" s="62" t="n">
        <v>0.5</v>
      </c>
      <c r="D1544" s="29" t="s">
        <v>68</v>
      </c>
      <c r="E1544" s="29" t="s">
        <v>58</v>
      </c>
    </row>
    <row r="1545" customFormat="false" ht="14.25" hidden="false" customHeight="false" outlineLevel="0" collapsed="false">
      <c r="A1545" s="1" t="n">
        <v>2548</v>
      </c>
      <c r="B1545" s="29" t="s">
        <v>49</v>
      </c>
      <c r="C1545" s="62" t="n">
        <v>6.3</v>
      </c>
      <c r="D1545" s="29" t="s">
        <v>62</v>
      </c>
      <c r="E1545" s="29" t="s">
        <v>58</v>
      </c>
    </row>
    <row r="1546" customFormat="false" ht="14.25" hidden="false" customHeight="false" outlineLevel="0" collapsed="false">
      <c r="A1546" s="1" t="n">
        <v>2549</v>
      </c>
      <c r="B1546" s="29" t="s">
        <v>49</v>
      </c>
      <c r="C1546" s="62" t="n">
        <v>0.5</v>
      </c>
      <c r="D1546" s="29" t="s">
        <v>71</v>
      </c>
      <c r="E1546" s="29" t="s">
        <v>58</v>
      </c>
    </row>
    <row r="1547" customFormat="false" ht="14.25" hidden="false" customHeight="false" outlineLevel="0" collapsed="false">
      <c r="A1547" s="1" t="n">
        <v>2550</v>
      </c>
      <c r="B1547" s="29" t="s">
        <v>54</v>
      </c>
      <c r="C1547" s="62" t="n">
        <v>32.1</v>
      </c>
      <c r="D1547" s="29" t="s">
        <v>52</v>
      </c>
      <c r="E1547" s="29" t="s">
        <v>66</v>
      </c>
    </row>
    <row r="1548" customFormat="false" ht="14.25" hidden="false" customHeight="false" outlineLevel="0" collapsed="false">
      <c r="A1548" s="1" t="n">
        <v>2551</v>
      </c>
      <c r="B1548" s="29" t="s">
        <v>54</v>
      </c>
      <c r="C1548" s="62" t="n">
        <v>66.1</v>
      </c>
      <c r="D1548" s="29" t="s">
        <v>52</v>
      </c>
      <c r="E1548" s="29" t="s">
        <v>55</v>
      </c>
    </row>
    <row r="1549" customFormat="false" ht="14.25" hidden="false" customHeight="false" outlineLevel="0" collapsed="false">
      <c r="A1549" s="1" t="n">
        <v>2552</v>
      </c>
      <c r="B1549" s="29" t="s">
        <v>54</v>
      </c>
      <c r="C1549" s="62" t="n">
        <v>38.3</v>
      </c>
      <c r="D1549" s="29" t="s">
        <v>62</v>
      </c>
      <c r="E1549" s="29" t="s">
        <v>55</v>
      </c>
    </row>
    <row r="1550" customFormat="false" ht="14.25" hidden="false" customHeight="false" outlineLevel="0" collapsed="false">
      <c r="A1550" s="1" t="n">
        <v>2553</v>
      </c>
      <c r="B1550" s="29" t="s">
        <v>54</v>
      </c>
      <c r="C1550" s="62" t="n">
        <v>48.7</v>
      </c>
      <c r="D1550" s="29" t="s">
        <v>62</v>
      </c>
      <c r="E1550" s="29" t="s">
        <v>55</v>
      </c>
    </row>
    <row r="1551" customFormat="false" ht="14.25" hidden="false" customHeight="false" outlineLevel="0" collapsed="false">
      <c r="A1551" s="1" t="n">
        <v>2554</v>
      </c>
      <c r="B1551" s="29" t="s">
        <v>49</v>
      </c>
      <c r="C1551" s="62" t="n">
        <v>6.4</v>
      </c>
      <c r="D1551" s="29" t="s">
        <v>67</v>
      </c>
      <c r="E1551" s="29" t="s">
        <v>58</v>
      </c>
    </row>
    <row r="1552" customFormat="false" ht="14.25" hidden="false" customHeight="false" outlineLevel="0" collapsed="false">
      <c r="A1552" s="1" t="n">
        <v>2555</v>
      </c>
      <c r="B1552" s="29" t="s">
        <v>49</v>
      </c>
      <c r="C1552" s="62" t="n">
        <v>4.3</v>
      </c>
      <c r="D1552" s="29" t="s">
        <v>60</v>
      </c>
      <c r="E1552" s="29" t="s">
        <v>58</v>
      </c>
    </row>
    <row r="1553" customFormat="false" ht="14.25" hidden="false" customHeight="false" outlineLevel="0" collapsed="false">
      <c r="A1553" s="1" t="n">
        <v>2556</v>
      </c>
      <c r="B1553" s="29" t="s">
        <v>49</v>
      </c>
      <c r="C1553" s="62" t="n">
        <v>13.5</v>
      </c>
      <c r="D1553" s="29" t="s">
        <v>60</v>
      </c>
      <c r="E1553" s="29" t="s">
        <v>51</v>
      </c>
    </row>
    <row r="1554" customFormat="false" ht="14.25" hidden="false" customHeight="false" outlineLevel="0" collapsed="false">
      <c r="A1554" s="1" t="n">
        <v>2557</v>
      </c>
      <c r="B1554" s="29" t="s">
        <v>49</v>
      </c>
      <c r="C1554" s="62" t="n">
        <v>1.6</v>
      </c>
      <c r="D1554" s="29" t="s">
        <v>67</v>
      </c>
      <c r="E1554" s="29" t="s">
        <v>58</v>
      </c>
    </row>
    <row r="1555" customFormat="false" ht="14.25" hidden="false" customHeight="false" outlineLevel="0" collapsed="false">
      <c r="A1555" s="1" t="n">
        <v>2558</v>
      </c>
      <c r="B1555" s="29" t="s">
        <v>49</v>
      </c>
      <c r="C1555" s="62" t="n">
        <v>8</v>
      </c>
      <c r="D1555" s="29" t="s">
        <v>59</v>
      </c>
      <c r="E1555" s="29" t="s">
        <v>51</v>
      </c>
    </row>
    <row r="1556" customFormat="false" ht="14.25" hidden="false" customHeight="false" outlineLevel="0" collapsed="false">
      <c r="A1556" s="1" t="n">
        <v>2559</v>
      </c>
      <c r="B1556" s="29" t="s">
        <v>49</v>
      </c>
      <c r="C1556" s="62" t="n">
        <v>3.7</v>
      </c>
      <c r="D1556" s="29" t="s">
        <v>59</v>
      </c>
      <c r="E1556" s="29" t="s">
        <v>58</v>
      </c>
    </row>
    <row r="1557" customFormat="false" ht="14.25" hidden="false" customHeight="false" outlineLevel="0" collapsed="false">
      <c r="A1557" s="1" t="n">
        <v>2560</v>
      </c>
      <c r="B1557" s="29" t="s">
        <v>49</v>
      </c>
      <c r="C1557" s="62" t="n">
        <v>5.8</v>
      </c>
      <c r="D1557" s="29" t="s">
        <v>60</v>
      </c>
      <c r="E1557" s="29" t="s">
        <v>58</v>
      </c>
    </row>
    <row r="1558" customFormat="false" ht="14.25" hidden="false" customHeight="false" outlineLevel="0" collapsed="false">
      <c r="A1558" s="1" t="n">
        <v>2561</v>
      </c>
      <c r="B1558" s="29" t="s">
        <v>49</v>
      </c>
      <c r="C1558" s="62" t="n">
        <v>4.9</v>
      </c>
      <c r="D1558" s="29" t="s">
        <v>68</v>
      </c>
      <c r="E1558" s="29" t="s">
        <v>53</v>
      </c>
    </row>
    <row r="1559" customFormat="false" ht="14.25" hidden="false" customHeight="false" outlineLevel="0" collapsed="false">
      <c r="A1559" s="1" t="n">
        <v>2562</v>
      </c>
      <c r="B1559" s="29" t="s">
        <v>49</v>
      </c>
      <c r="C1559" s="62" t="n">
        <v>37.5</v>
      </c>
      <c r="D1559" s="29" t="s">
        <v>59</v>
      </c>
      <c r="E1559" s="29" t="s">
        <v>65</v>
      </c>
    </row>
    <row r="1560" customFormat="false" ht="14.25" hidden="false" customHeight="false" outlineLevel="0" collapsed="false">
      <c r="A1560" s="1" t="n">
        <v>2563</v>
      </c>
      <c r="B1560" s="29" t="s">
        <v>61</v>
      </c>
      <c r="C1560" s="62" t="n">
        <v>7.9</v>
      </c>
      <c r="D1560" s="29" t="s">
        <v>59</v>
      </c>
      <c r="E1560" s="29" t="s">
        <v>58</v>
      </c>
    </row>
    <row r="1561" customFormat="false" ht="14.25" hidden="false" customHeight="false" outlineLevel="0" collapsed="false">
      <c r="A1561" s="1" t="n">
        <v>2564</v>
      </c>
      <c r="B1561" s="29" t="s">
        <v>49</v>
      </c>
      <c r="C1561" s="62" t="n">
        <v>1.5</v>
      </c>
      <c r="D1561" s="29" t="s">
        <v>59</v>
      </c>
      <c r="E1561" s="29" t="s">
        <v>58</v>
      </c>
    </row>
    <row r="1562" customFormat="false" ht="14.25" hidden="false" customHeight="false" outlineLevel="0" collapsed="false">
      <c r="A1562" s="1" t="n">
        <v>2565</v>
      </c>
      <c r="B1562" s="29" t="s">
        <v>49</v>
      </c>
      <c r="C1562" s="62" t="n">
        <v>12.4</v>
      </c>
      <c r="D1562" s="29" t="s">
        <v>59</v>
      </c>
      <c r="E1562" s="29" t="s">
        <v>58</v>
      </c>
    </row>
    <row r="1563" customFormat="false" ht="14.25" hidden="false" customHeight="false" outlineLevel="0" collapsed="false">
      <c r="A1563" s="1" t="n">
        <v>2566</v>
      </c>
      <c r="B1563" s="29" t="s">
        <v>49</v>
      </c>
      <c r="C1563" s="62" t="n">
        <v>3.5</v>
      </c>
      <c r="D1563" s="29" t="s">
        <v>62</v>
      </c>
      <c r="E1563" s="29" t="s">
        <v>53</v>
      </c>
    </row>
    <row r="1564" customFormat="false" ht="14.25" hidden="false" customHeight="false" outlineLevel="0" collapsed="false">
      <c r="A1564" s="1" t="n">
        <v>2567</v>
      </c>
      <c r="B1564" s="29" t="s">
        <v>49</v>
      </c>
      <c r="C1564" s="62" t="n">
        <v>0.5</v>
      </c>
      <c r="D1564" s="29" t="s">
        <v>56</v>
      </c>
      <c r="E1564" s="29" t="s">
        <v>58</v>
      </c>
    </row>
    <row r="1565" customFormat="false" ht="14.25" hidden="false" customHeight="false" outlineLevel="0" collapsed="false">
      <c r="A1565" s="1" t="n">
        <v>2568</v>
      </c>
      <c r="B1565" s="29" t="s">
        <v>49</v>
      </c>
      <c r="C1565" s="62" t="n">
        <v>1.6</v>
      </c>
      <c r="D1565" s="29" t="s">
        <v>56</v>
      </c>
      <c r="E1565" s="29" t="s">
        <v>58</v>
      </c>
    </row>
    <row r="1566" customFormat="false" ht="14.25" hidden="false" customHeight="false" outlineLevel="0" collapsed="false">
      <c r="A1566" s="1" t="n">
        <v>2569</v>
      </c>
      <c r="B1566" s="29" t="s">
        <v>54</v>
      </c>
      <c r="C1566" s="62" t="n">
        <v>67.1</v>
      </c>
      <c r="D1566" s="29" t="s">
        <v>52</v>
      </c>
      <c r="E1566" s="29" t="s">
        <v>55</v>
      </c>
    </row>
    <row r="1567" customFormat="false" ht="14.25" hidden="false" customHeight="false" outlineLevel="0" collapsed="false">
      <c r="A1567" s="1" t="n">
        <v>2570</v>
      </c>
      <c r="B1567" s="29" t="s">
        <v>49</v>
      </c>
      <c r="C1567" s="62" t="n">
        <v>1.6</v>
      </c>
      <c r="D1567" s="29" t="s">
        <v>59</v>
      </c>
      <c r="E1567" s="29" t="s">
        <v>58</v>
      </c>
    </row>
    <row r="1568" customFormat="false" ht="14.25" hidden="false" customHeight="false" outlineLevel="0" collapsed="false">
      <c r="A1568" s="1" t="n">
        <v>2571</v>
      </c>
      <c r="B1568" s="29" t="s">
        <v>49</v>
      </c>
      <c r="C1568" s="62" t="n">
        <v>5.9</v>
      </c>
      <c r="D1568" s="29" t="s">
        <v>71</v>
      </c>
      <c r="E1568" s="29" t="s">
        <v>58</v>
      </c>
    </row>
    <row r="1569" customFormat="false" ht="14.25" hidden="false" customHeight="false" outlineLevel="0" collapsed="false">
      <c r="A1569" s="1" t="n">
        <v>2572</v>
      </c>
      <c r="B1569" s="29" t="s">
        <v>49</v>
      </c>
      <c r="C1569" s="62" t="n">
        <v>2.4</v>
      </c>
      <c r="D1569" s="29" t="s">
        <v>71</v>
      </c>
      <c r="E1569" s="29" t="s">
        <v>57</v>
      </c>
    </row>
    <row r="1570" customFormat="false" ht="14.25" hidden="false" customHeight="false" outlineLevel="0" collapsed="false">
      <c r="A1570" s="1" t="n">
        <v>2573</v>
      </c>
      <c r="B1570" s="29" t="s">
        <v>49</v>
      </c>
      <c r="C1570" s="62" t="n">
        <v>1.4</v>
      </c>
      <c r="D1570" s="29" t="s">
        <v>71</v>
      </c>
      <c r="E1570" s="29" t="s">
        <v>57</v>
      </c>
    </row>
    <row r="1571" customFormat="false" ht="14.25" hidden="false" customHeight="false" outlineLevel="0" collapsed="false">
      <c r="A1571" s="1" t="n">
        <v>2574</v>
      </c>
      <c r="B1571" s="29" t="s">
        <v>49</v>
      </c>
      <c r="C1571" s="62" t="n">
        <v>9.3</v>
      </c>
      <c r="D1571" s="29" t="s">
        <v>59</v>
      </c>
      <c r="E1571" s="29" t="s">
        <v>58</v>
      </c>
    </row>
    <row r="1572" customFormat="false" ht="14.25" hidden="false" customHeight="false" outlineLevel="0" collapsed="false">
      <c r="A1572" s="1" t="n">
        <v>2575</v>
      </c>
      <c r="B1572" s="29" t="s">
        <v>49</v>
      </c>
      <c r="C1572" s="62" t="n">
        <v>4.3</v>
      </c>
      <c r="D1572" s="29" t="s">
        <v>56</v>
      </c>
      <c r="E1572" s="29" t="s">
        <v>58</v>
      </c>
    </row>
    <row r="1573" customFormat="false" ht="14.25" hidden="false" customHeight="false" outlineLevel="0" collapsed="false">
      <c r="A1573" s="1" t="n">
        <v>2576</v>
      </c>
      <c r="B1573" s="29" t="s">
        <v>54</v>
      </c>
      <c r="C1573" s="62" t="n">
        <v>48.9</v>
      </c>
      <c r="D1573" s="29" t="s">
        <v>56</v>
      </c>
      <c r="E1573" s="29" t="s">
        <v>55</v>
      </c>
    </row>
    <row r="1574" customFormat="false" ht="14.25" hidden="false" customHeight="false" outlineLevel="0" collapsed="false">
      <c r="A1574" s="1" t="n">
        <v>2577</v>
      </c>
      <c r="B1574" s="29" t="s">
        <v>49</v>
      </c>
      <c r="C1574" s="62" t="n">
        <v>7.5</v>
      </c>
      <c r="D1574" s="29" t="s">
        <v>70</v>
      </c>
      <c r="E1574" s="29" t="s">
        <v>58</v>
      </c>
    </row>
    <row r="1575" customFormat="false" ht="14.25" hidden="false" customHeight="false" outlineLevel="0" collapsed="false">
      <c r="A1575" s="1" t="n">
        <v>2578</v>
      </c>
      <c r="B1575" s="29" t="s">
        <v>54</v>
      </c>
      <c r="C1575" s="62" t="n">
        <v>44.6</v>
      </c>
      <c r="D1575" s="29" t="s">
        <v>59</v>
      </c>
      <c r="E1575" s="29" t="s">
        <v>55</v>
      </c>
    </row>
    <row r="1576" customFormat="false" ht="14.25" hidden="false" customHeight="false" outlineLevel="0" collapsed="false">
      <c r="A1576" s="1" t="n">
        <v>2579</v>
      </c>
      <c r="B1576" s="29" t="s">
        <v>49</v>
      </c>
      <c r="C1576" s="62" t="n">
        <v>0.5</v>
      </c>
      <c r="D1576" s="29" t="s">
        <v>52</v>
      </c>
      <c r="E1576" s="29" t="s">
        <v>58</v>
      </c>
    </row>
    <row r="1577" customFormat="false" ht="14.25" hidden="false" customHeight="false" outlineLevel="0" collapsed="false">
      <c r="A1577" s="1" t="n">
        <v>2580</v>
      </c>
      <c r="B1577" s="29" t="s">
        <v>61</v>
      </c>
      <c r="C1577" s="62" t="n">
        <v>5.7</v>
      </c>
      <c r="D1577" s="29" t="s">
        <v>68</v>
      </c>
      <c r="E1577" s="29" t="s">
        <v>58</v>
      </c>
    </row>
    <row r="1578" customFormat="false" ht="14.25" hidden="false" customHeight="false" outlineLevel="0" collapsed="false">
      <c r="A1578" s="1" t="n">
        <v>2581</v>
      </c>
      <c r="B1578" s="29" t="s">
        <v>49</v>
      </c>
      <c r="C1578" s="62" t="n">
        <v>1.3</v>
      </c>
      <c r="D1578" s="29" t="s">
        <v>68</v>
      </c>
      <c r="E1578" s="29" t="s">
        <v>57</v>
      </c>
    </row>
    <row r="1579" customFormat="false" ht="14.25" hidden="false" customHeight="false" outlineLevel="0" collapsed="false">
      <c r="A1579" s="1" t="n">
        <v>2582</v>
      </c>
      <c r="B1579" s="29" t="s">
        <v>61</v>
      </c>
      <c r="C1579" s="62" t="n">
        <v>5.3</v>
      </c>
      <c r="D1579" s="29" t="s">
        <v>67</v>
      </c>
      <c r="E1579" s="29" t="s">
        <v>53</v>
      </c>
    </row>
    <row r="1580" customFormat="false" ht="14.25" hidden="false" customHeight="false" outlineLevel="0" collapsed="false">
      <c r="A1580" s="1" t="n">
        <v>2583</v>
      </c>
      <c r="B1580" s="29" t="s">
        <v>49</v>
      </c>
      <c r="C1580" s="62" t="n">
        <v>18.1</v>
      </c>
      <c r="D1580" s="29" t="s">
        <v>71</v>
      </c>
      <c r="E1580" s="29" t="s">
        <v>58</v>
      </c>
    </row>
    <row r="1581" customFormat="false" ht="14.25" hidden="false" customHeight="false" outlineLevel="0" collapsed="false">
      <c r="A1581" s="1" t="n">
        <v>2584</v>
      </c>
      <c r="B1581" s="29" t="s">
        <v>49</v>
      </c>
      <c r="C1581" s="62" t="n">
        <v>9.9</v>
      </c>
      <c r="D1581" s="29" t="s">
        <v>60</v>
      </c>
      <c r="E1581" s="29" t="s">
        <v>58</v>
      </c>
    </row>
    <row r="1582" customFormat="false" ht="14.25" hidden="false" customHeight="false" outlineLevel="0" collapsed="false">
      <c r="A1582" s="1" t="n">
        <v>2585</v>
      </c>
      <c r="B1582" s="29" t="s">
        <v>49</v>
      </c>
      <c r="C1582" s="62" t="n">
        <v>9.6</v>
      </c>
      <c r="D1582" s="29" t="s">
        <v>60</v>
      </c>
      <c r="E1582" s="29" t="s">
        <v>58</v>
      </c>
    </row>
    <row r="1583" customFormat="false" ht="14.25" hidden="false" customHeight="false" outlineLevel="0" collapsed="false">
      <c r="A1583" s="1" t="n">
        <v>2586</v>
      </c>
      <c r="B1583" s="29" t="s">
        <v>49</v>
      </c>
      <c r="C1583" s="62" t="n">
        <v>0.7</v>
      </c>
      <c r="D1583" s="29" t="s">
        <v>59</v>
      </c>
      <c r="E1583" s="29" t="s">
        <v>57</v>
      </c>
    </row>
    <row r="1584" customFormat="false" ht="14.25" hidden="false" customHeight="false" outlineLevel="0" collapsed="false">
      <c r="A1584" s="1" t="n">
        <v>2587</v>
      </c>
      <c r="B1584" s="29" t="s">
        <v>54</v>
      </c>
      <c r="C1584" s="62" t="n">
        <v>32.1</v>
      </c>
      <c r="D1584" s="29" t="s">
        <v>59</v>
      </c>
      <c r="E1584" s="29" t="s">
        <v>66</v>
      </c>
    </row>
    <row r="1585" customFormat="false" ht="14.25" hidden="false" customHeight="false" outlineLevel="0" collapsed="false">
      <c r="A1585" s="1" t="n">
        <v>2588</v>
      </c>
      <c r="B1585" s="29" t="s">
        <v>54</v>
      </c>
      <c r="C1585" s="62" t="n">
        <v>58.6</v>
      </c>
      <c r="D1585" s="29" t="s">
        <v>56</v>
      </c>
      <c r="E1585" s="29" t="s">
        <v>55</v>
      </c>
    </row>
    <row r="1586" customFormat="false" ht="14.25" hidden="false" customHeight="false" outlineLevel="0" collapsed="false">
      <c r="A1586" s="1" t="n">
        <v>2589</v>
      </c>
      <c r="B1586" s="29" t="s">
        <v>61</v>
      </c>
      <c r="C1586" s="62" t="n">
        <v>15.3</v>
      </c>
      <c r="D1586" s="29" t="s">
        <v>50</v>
      </c>
      <c r="E1586" s="29" t="s">
        <v>58</v>
      </c>
    </row>
    <row r="1587" customFormat="false" ht="14.25" hidden="false" customHeight="false" outlineLevel="0" collapsed="false">
      <c r="A1587" s="1" t="n">
        <v>2590</v>
      </c>
      <c r="B1587" s="29" t="s">
        <v>49</v>
      </c>
      <c r="C1587" s="62" t="n">
        <v>8.5</v>
      </c>
      <c r="D1587" s="29" t="s">
        <v>50</v>
      </c>
      <c r="E1587" s="29" t="s">
        <v>58</v>
      </c>
    </row>
    <row r="1588" customFormat="false" ht="14.25" hidden="false" customHeight="false" outlineLevel="0" collapsed="false">
      <c r="A1588" s="1" t="n">
        <v>2591</v>
      </c>
      <c r="B1588" s="29" t="s">
        <v>61</v>
      </c>
      <c r="C1588" s="62" t="n">
        <v>0.9</v>
      </c>
      <c r="D1588" s="29" t="s">
        <v>56</v>
      </c>
      <c r="E1588" s="29" t="s">
        <v>57</v>
      </c>
    </row>
    <row r="1589" customFormat="false" ht="14.25" hidden="false" customHeight="false" outlineLevel="0" collapsed="false">
      <c r="A1589" s="1" t="n">
        <v>2592</v>
      </c>
      <c r="B1589" s="29" t="s">
        <v>49</v>
      </c>
      <c r="C1589" s="62" t="n">
        <v>5.1</v>
      </c>
      <c r="D1589" s="29" t="s">
        <v>56</v>
      </c>
      <c r="E1589" s="29" t="s">
        <v>58</v>
      </c>
    </row>
    <row r="1590" customFormat="false" ht="14.25" hidden="false" customHeight="false" outlineLevel="0" collapsed="false">
      <c r="A1590" s="1" t="n">
        <v>2593</v>
      </c>
      <c r="B1590" s="29" t="s">
        <v>61</v>
      </c>
      <c r="C1590" s="62" t="n">
        <v>2.1</v>
      </c>
      <c r="D1590" s="29" t="s">
        <v>60</v>
      </c>
      <c r="E1590" s="29" t="s">
        <v>57</v>
      </c>
    </row>
    <row r="1591" customFormat="false" ht="14.25" hidden="false" customHeight="false" outlineLevel="0" collapsed="false">
      <c r="A1591" s="1" t="n">
        <v>2594</v>
      </c>
      <c r="B1591" s="29" t="s">
        <v>49</v>
      </c>
      <c r="C1591" s="62" t="n">
        <v>1.1</v>
      </c>
      <c r="D1591" s="29" t="s">
        <v>52</v>
      </c>
      <c r="E1591" s="29" t="s">
        <v>57</v>
      </c>
    </row>
    <row r="1592" customFormat="false" ht="14.25" hidden="false" customHeight="false" outlineLevel="0" collapsed="false">
      <c r="A1592" s="1" t="n">
        <v>2595</v>
      </c>
      <c r="B1592" s="29" t="s">
        <v>49</v>
      </c>
      <c r="C1592" s="62" t="n">
        <v>4.2</v>
      </c>
      <c r="D1592" s="29" t="s">
        <v>60</v>
      </c>
      <c r="E1592" s="29" t="s">
        <v>57</v>
      </c>
    </row>
    <row r="1593" customFormat="false" ht="14.25" hidden="false" customHeight="false" outlineLevel="0" collapsed="false">
      <c r="A1593" s="1" t="n">
        <v>2596</v>
      </c>
      <c r="B1593" s="29" t="s">
        <v>49</v>
      </c>
      <c r="C1593" s="62" t="n">
        <v>0.9</v>
      </c>
      <c r="D1593" s="29" t="s">
        <v>56</v>
      </c>
      <c r="E1593" s="29" t="s">
        <v>57</v>
      </c>
    </row>
    <row r="1594" customFormat="false" ht="14.25" hidden="false" customHeight="false" outlineLevel="0" collapsed="false">
      <c r="A1594" s="1" t="n">
        <v>2597</v>
      </c>
      <c r="B1594" s="29" t="s">
        <v>49</v>
      </c>
      <c r="C1594" s="62" t="n">
        <v>4.6</v>
      </c>
      <c r="D1594" s="29" t="s">
        <v>56</v>
      </c>
      <c r="E1594" s="29" t="s">
        <v>57</v>
      </c>
    </row>
    <row r="1595" customFormat="false" ht="14.25" hidden="false" customHeight="false" outlineLevel="0" collapsed="false">
      <c r="A1595" s="1" t="n">
        <v>2598</v>
      </c>
      <c r="B1595" s="29" t="s">
        <v>49</v>
      </c>
      <c r="C1595" s="62" t="n">
        <v>4.2</v>
      </c>
      <c r="D1595" s="29" t="s">
        <v>62</v>
      </c>
      <c r="E1595" s="29" t="s">
        <v>58</v>
      </c>
    </row>
    <row r="1596" customFormat="false" ht="14.25" hidden="false" customHeight="false" outlineLevel="0" collapsed="false">
      <c r="A1596" s="1" t="n">
        <v>2599</v>
      </c>
      <c r="B1596" s="29" t="s">
        <v>49</v>
      </c>
      <c r="C1596" s="62" t="n">
        <v>9.6</v>
      </c>
      <c r="D1596" s="29" t="s">
        <v>56</v>
      </c>
      <c r="E1596" s="29" t="s">
        <v>53</v>
      </c>
    </row>
    <row r="1597" customFormat="false" ht="14.25" hidden="false" customHeight="false" outlineLevel="0" collapsed="false">
      <c r="A1597" s="1" t="n">
        <v>2600</v>
      </c>
      <c r="B1597" s="29" t="s">
        <v>49</v>
      </c>
      <c r="C1597" s="62" t="n">
        <v>9.6</v>
      </c>
      <c r="D1597" s="29" t="s">
        <v>56</v>
      </c>
      <c r="E1597" s="29" t="s">
        <v>53</v>
      </c>
    </row>
    <row r="1598" customFormat="false" ht="14.25" hidden="false" customHeight="false" outlineLevel="0" collapsed="false">
      <c r="A1598" s="1" t="n">
        <v>2601</v>
      </c>
      <c r="B1598" s="29" t="s">
        <v>54</v>
      </c>
      <c r="C1598" s="62" t="n">
        <v>32.1</v>
      </c>
      <c r="D1598" s="29" t="s">
        <v>62</v>
      </c>
      <c r="E1598" s="29" t="s">
        <v>66</v>
      </c>
    </row>
    <row r="1599" customFormat="false" ht="14.25" hidden="false" customHeight="false" outlineLevel="0" collapsed="false">
      <c r="A1599" s="1" t="n">
        <v>2602</v>
      </c>
      <c r="B1599" s="29" t="s">
        <v>49</v>
      </c>
      <c r="C1599" s="62" t="n">
        <v>1.5</v>
      </c>
      <c r="D1599" s="29" t="s">
        <v>59</v>
      </c>
      <c r="E1599" s="29" t="s">
        <v>58</v>
      </c>
    </row>
    <row r="1600" customFormat="false" ht="14.25" hidden="false" customHeight="false" outlineLevel="0" collapsed="false">
      <c r="A1600" s="1" t="n">
        <v>2603</v>
      </c>
      <c r="B1600" s="29" t="s">
        <v>49</v>
      </c>
      <c r="C1600" s="62" t="n">
        <v>3.7</v>
      </c>
      <c r="D1600" s="29" t="s">
        <v>62</v>
      </c>
      <c r="E1600" s="29" t="s">
        <v>58</v>
      </c>
    </row>
    <row r="1601" customFormat="false" ht="14.25" hidden="false" customHeight="false" outlineLevel="0" collapsed="false">
      <c r="A1601" s="1" t="n">
        <v>2604</v>
      </c>
      <c r="B1601" s="29" t="s">
        <v>49</v>
      </c>
      <c r="C1601" s="62" t="n">
        <v>7.8</v>
      </c>
      <c r="D1601" s="29" t="s">
        <v>67</v>
      </c>
      <c r="E1601" s="29" t="s">
        <v>58</v>
      </c>
    </row>
    <row r="1602" customFormat="false" ht="14.25" hidden="false" customHeight="false" outlineLevel="0" collapsed="false">
      <c r="A1602" s="1" t="n">
        <v>2605</v>
      </c>
      <c r="B1602" s="29" t="s">
        <v>49</v>
      </c>
      <c r="C1602" s="62" t="n">
        <v>8.1</v>
      </c>
      <c r="D1602" s="29" t="s">
        <v>67</v>
      </c>
      <c r="E1602" s="29" t="s">
        <v>58</v>
      </c>
    </row>
    <row r="1603" customFormat="false" ht="14.25" hidden="false" customHeight="false" outlineLevel="0" collapsed="false">
      <c r="A1603" s="1" t="n">
        <v>2606</v>
      </c>
      <c r="B1603" s="29" t="s">
        <v>61</v>
      </c>
      <c r="C1603" s="62" t="n">
        <v>6.2</v>
      </c>
      <c r="D1603" s="29" t="s">
        <v>67</v>
      </c>
      <c r="E1603" s="29" t="s">
        <v>51</v>
      </c>
    </row>
    <row r="1604" customFormat="false" ht="14.25" hidden="false" customHeight="false" outlineLevel="0" collapsed="false">
      <c r="A1604" s="1" t="n">
        <v>2607</v>
      </c>
      <c r="B1604" s="29" t="s">
        <v>49</v>
      </c>
      <c r="C1604" s="62" t="n">
        <v>6.6</v>
      </c>
      <c r="D1604" s="29" t="s">
        <v>52</v>
      </c>
      <c r="E1604" s="29" t="s">
        <v>58</v>
      </c>
    </row>
    <row r="1605" customFormat="false" ht="14.25" hidden="false" customHeight="false" outlineLevel="0" collapsed="false">
      <c r="A1605" s="1" t="n">
        <v>2608</v>
      </c>
      <c r="B1605" s="29" t="s">
        <v>49</v>
      </c>
      <c r="C1605" s="62" t="n">
        <v>5.9</v>
      </c>
      <c r="D1605" s="29" t="s">
        <v>52</v>
      </c>
      <c r="E1605" s="29" t="s">
        <v>53</v>
      </c>
    </row>
    <row r="1606" customFormat="false" ht="14.25" hidden="false" customHeight="false" outlineLevel="0" collapsed="false">
      <c r="A1606" s="1" t="n">
        <v>2609</v>
      </c>
      <c r="B1606" s="29" t="s">
        <v>49</v>
      </c>
      <c r="C1606" s="62" t="n">
        <v>3</v>
      </c>
      <c r="D1606" s="29" t="s">
        <v>52</v>
      </c>
      <c r="E1606" s="29" t="s">
        <v>53</v>
      </c>
    </row>
    <row r="1607" customFormat="false" ht="14.25" hidden="false" customHeight="false" outlineLevel="0" collapsed="false">
      <c r="A1607" s="1" t="n">
        <v>2610</v>
      </c>
      <c r="B1607" s="29" t="s">
        <v>49</v>
      </c>
      <c r="C1607" s="62" t="n">
        <v>6</v>
      </c>
      <c r="D1607" s="29" t="s">
        <v>52</v>
      </c>
      <c r="E1607" s="29" t="s">
        <v>58</v>
      </c>
    </row>
    <row r="1608" customFormat="false" ht="14.25" hidden="false" customHeight="false" outlineLevel="0" collapsed="false">
      <c r="A1608" s="1" t="n">
        <v>2611</v>
      </c>
      <c r="B1608" s="29" t="s">
        <v>49</v>
      </c>
      <c r="C1608" s="62" t="n">
        <v>5.4</v>
      </c>
      <c r="D1608" s="29" t="s">
        <v>59</v>
      </c>
      <c r="E1608" s="29" t="s">
        <v>58</v>
      </c>
    </row>
    <row r="1609" customFormat="false" ht="14.25" hidden="false" customHeight="false" outlineLevel="0" collapsed="false">
      <c r="A1609" s="1" t="n">
        <v>2612</v>
      </c>
      <c r="B1609" s="29" t="s">
        <v>54</v>
      </c>
      <c r="C1609" s="62" t="n">
        <v>64.2</v>
      </c>
      <c r="D1609" s="29" t="s">
        <v>59</v>
      </c>
      <c r="E1609" s="29" t="s">
        <v>66</v>
      </c>
    </row>
    <row r="1610" customFormat="false" ht="14.25" hidden="false" customHeight="false" outlineLevel="0" collapsed="false">
      <c r="A1610" s="1" t="n">
        <v>2613</v>
      </c>
      <c r="B1610" s="29" t="s">
        <v>49</v>
      </c>
      <c r="C1610" s="62" t="n">
        <v>21.4</v>
      </c>
      <c r="D1610" s="29" t="s">
        <v>62</v>
      </c>
      <c r="E1610" s="29" t="s">
        <v>58</v>
      </c>
    </row>
    <row r="1611" customFormat="false" ht="14.25" hidden="false" customHeight="false" outlineLevel="0" collapsed="false">
      <c r="A1611" s="1" t="n">
        <v>2614</v>
      </c>
      <c r="B1611" s="29" t="s">
        <v>49</v>
      </c>
      <c r="C1611" s="62" t="n">
        <v>5.2</v>
      </c>
      <c r="D1611" s="29" t="s">
        <v>60</v>
      </c>
      <c r="E1611" s="29" t="s">
        <v>57</v>
      </c>
    </row>
    <row r="1612" customFormat="false" ht="14.25" hidden="false" customHeight="false" outlineLevel="0" collapsed="false">
      <c r="A1612" s="1" t="n">
        <v>2615</v>
      </c>
      <c r="B1612" s="29" t="s">
        <v>49</v>
      </c>
      <c r="C1612" s="62" t="n">
        <v>6.2</v>
      </c>
      <c r="D1612" s="29" t="s">
        <v>59</v>
      </c>
      <c r="E1612" s="29" t="s">
        <v>57</v>
      </c>
    </row>
    <row r="1613" customFormat="false" ht="14.25" hidden="false" customHeight="false" outlineLevel="0" collapsed="false">
      <c r="A1613" s="1" t="n">
        <v>2616</v>
      </c>
      <c r="B1613" s="29" t="s">
        <v>54</v>
      </c>
      <c r="C1613" s="62" t="n">
        <v>28.1</v>
      </c>
      <c r="D1613" s="29" t="s">
        <v>62</v>
      </c>
      <c r="E1613" s="29" t="s">
        <v>66</v>
      </c>
    </row>
    <row r="1614" customFormat="false" ht="14.25" hidden="false" customHeight="false" outlineLevel="0" collapsed="false">
      <c r="A1614" s="1" t="n">
        <v>2617</v>
      </c>
      <c r="B1614" s="29" t="s">
        <v>49</v>
      </c>
      <c r="C1614" s="62" t="n">
        <v>11.5</v>
      </c>
      <c r="D1614" s="29" t="s">
        <v>62</v>
      </c>
      <c r="E1614" s="29" t="s">
        <v>58</v>
      </c>
    </row>
    <row r="1615" customFormat="false" ht="14.25" hidden="false" customHeight="false" outlineLevel="0" collapsed="false">
      <c r="A1615" s="1" t="n">
        <v>2618</v>
      </c>
      <c r="B1615" s="29" t="s">
        <v>54</v>
      </c>
      <c r="C1615" s="62" t="n">
        <v>32.1</v>
      </c>
      <c r="D1615" s="29" t="s">
        <v>62</v>
      </c>
      <c r="E1615" s="29" t="s">
        <v>66</v>
      </c>
    </row>
    <row r="1616" customFormat="false" ht="14.25" hidden="false" customHeight="false" outlineLevel="0" collapsed="false">
      <c r="A1616" s="1" t="n">
        <v>2619</v>
      </c>
      <c r="B1616" s="29" t="s">
        <v>49</v>
      </c>
      <c r="C1616" s="62" t="n">
        <v>5.7</v>
      </c>
      <c r="D1616" s="29" t="s">
        <v>52</v>
      </c>
      <c r="E1616" s="29" t="s">
        <v>57</v>
      </c>
    </row>
    <row r="1617" customFormat="false" ht="14.25" hidden="false" customHeight="false" outlineLevel="0" collapsed="false">
      <c r="A1617" s="1" t="n">
        <v>2620</v>
      </c>
      <c r="B1617" s="29" t="s">
        <v>61</v>
      </c>
      <c r="C1617" s="62" t="n">
        <v>9.7</v>
      </c>
      <c r="D1617" s="29" t="s">
        <v>52</v>
      </c>
      <c r="E1617" s="29" t="s">
        <v>58</v>
      </c>
    </row>
    <row r="1618" customFormat="false" ht="14.25" hidden="false" customHeight="false" outlineLevel="0" collapsed="false">
      <c r="A1618" s="1" t="n">
        <v>2621</v>
      </c>
      <c r="B1618" s="29" t="s">
        <v>49</v>
      </c>
      <c r="C1618" s="62" t="n">
        <v>6.3</v>
      </c>
      <c r="D1618" s="29" t="s">
        <v>52</v>
      </c>
      <c r="E1618" s="29" t="s">
        <v>58</v>
      </c>
    </row>
    <row r="1619" customFormat="false" ht="14.25" hidden="false" customHeight="false" outlineLevel="0" collapsed="false">
      <c r="A1619" s="1" t="n">
        <v>2622</v>
      </c>
      <c r="B1619" s="29" t="s">
        <v>49</v>
      </c>
      <c r="C1619" s="62" t="n">
        <v>6.7</v>
      </c>
      <c r="D1619" s="29" t="s">
        <v>56</v>
      </c>
      <c r="E1619" s="29" t="s">
        <v>51</v>
      </c>
    </row>
    <row r="1620" customFormat="false" ht="14.25" hidden="false" customHeight="false" outlineLevel="0" collapsed="false">
      <c r="A1620" s="1" t="n">
        <v>2623</v>
      </c>
      <c r="B1620" s="29" t="s">
        <v>49</v>
      </c>
      <c r="C1620" s="62" t="n">
        <v>0.9</v>
      </c>
      <c r="D1620" s="29" t="s">
        <v>60</v>
      </c>
      <c r="E1620" s="29" t="s">
        <v>57</v>
      </c>
    </row>
    <row r="1621" customFormat="false" ht="14.25" hidden="false" customHeight="false" outlineLevel="0" collapsed="false">
      <c r="A1621" s="1" t="n">
        <v>2624</v>
      </c>
      <c r="B1621" s="29" t="s">
        <v>54</v>
      </c>
      <c r="C1621" s="62" t="n">
        <v>90.8</v>
      </c>
      <c r="D1621" s="29" t="s">
        <v>62</v>
      </c>
      <c r="E1621" s="29" t="s">
        <v>55</v>
      </c>
    </row>
    <row r="1622" customFormat="false" ht="14.25" hidden="false" customHeight="false" outlineLevel="0" collapsed="false">
      <c r="A1622" s="1" t="n">
        <v>2625</v>
      </c>
      <c r="B1622" s="29" t="s">
        <v>49</v>
      </c>
      <c r="C1622" s="62" t="n">
        <v>1.5</v>
      </c>
      <c r="D1622" s="29" t="s">
        <v>62</v>
      </c>
      <c r="E1622" s="29" t="s">
        <v>58</v>
      </c>
    </row>
    <row r="1623" customFormat="false" ht="14.25" hidden="false" customHeight="false" outlineLevel="0" collapsed="false">
      <c r="A1623" s="1" t="n">
        <v>2626</v>
      </c>
      <c r="B1623" s="29" t="s">
        <v>49</v>
      </c>
      <c r="C1623" s="62" t="n">
        <v>5.3</v>
      </c>
      <c r="D1623" s="29" t="s">
        <v>59</v>
      </c>
      <c r="E1623" s="29" t="s">
        <v>58</v>
      </c>
    </row>
    <row r="1624" customFormat="false" ht="14.25" hidden="false" customHeight="false" outlineLevel="0" collapsed="false">
      <c r="A1624" s="1" t="n">
        <v>2627</v>
      </c>
      <c r="B1624" s="29" t="s">
        <v>61</v>
      </c>
      <c r="C1624" s="62" t="n">
        <v>8.8</v>
      </c>
      <c r="D1624" s="29" t="s">
        <v>59</v>
      </c>
      <c r="E1624" s="29" t="s">
        <v>58</v>
      </c>
    </row>
    <row r="1625" customFormat="false" ht="14.25" hidden="false" customHeight="false" outlineLevel="0" collapsed="false">
      <c r="A1625" s="1" t="n">
        <v>2628</v>
      </c>
      <c r="B1625" s="29" t="s">
        <v>61</v>
      </c>
      <c r="C1625" s="62" t="n">
        <v>5.7</v>
      </c>
      <c r="D1625" s="29" t="s">
        <v>60</v>
      </c>
      <c r="E1625" s="29" t="s">
        <v>58</v>
      </c>
    </row>
    <row r="1626" customFormat="false" ht="14.25" hidden="false" customHeight="false" outlineLevel="0" collapsed="false">
      <c r="A1626" s="1" t="n">
        <v>2629</v>
      </c>
      <c r="B1626" s="29" t="s">
        <v>61</v>
      </c>
      <c r="C1626" s="62" t="n">
        <v>7.1</v>
      </c>
      <c r="D1626" s="29" t="s">
        <v>62</v>
      </c>
      <c r="E1626" s="29" t="s">
        <v>58</v>
      </c>
    </row>
    <row r="1627" customFormat="false" ht="14.25" hidden="false" customHeight="false" outlineLevel="0" collapsed="false">
      <c r="A1627" s="1" t="n">
        <v>2630</v>
      </c>
      <c r="B1627" s="29" t="s">
        <v>49</v>
      </c>
      <c r="C1627" s="62" t="n">
        <v>52.4</v>
      </c>
      <c r="D1627" s="29" t="s">
        <v>60</v>
      </c>
      <c r="E1627" s="29" t="s">
        <v>65</v>
      </c>
    </row>
    <row r="1628" customFormat="false" ht="14.25" hidden="false" customHeight="false" outlineLevel="0" collapsed="false">
      <c r="A1628" s="1" t="n">
        <v>2631</v>
      </c>
      <c r="B1628" s="29" t="s">
        <v>54</v>
      </c>
      <c r="C1628" s="62" t="n">
        <v>19.1</v>
      </c>
      <c r="D1628" s="29" t="s">
        <v>71</v>
      </c>
      <c r="E1628" s="29" t="s">
        <v>66</v>
      </c>
    </row>
    <row r="1629" customFormat="false" ht="14.25" hidden="false" customHeight="false" outlineLevel="0" collapsed="false">
      <c r="A1629" s="1" t="n">
        <v>2632</v>
      </c>
      <c r="B1629" s="29" t="s">
        <v>49</v>
      </c>
      <c r="C1629" s="62" t="n">
        <v>6.6</v>
      </c>
      <c r="D1629" s="29" t="s">
        <v>71</v>
      </c>
      <c r="E1629" s="29" t="s">
        <v>58</v>
      </c>
    </row>
    <row r="1630" customFormat="false" ht="14.25" hidden="false" customHeight="false" outlineLevel="0" collapsed="false">
      <c r="A1630" s="1" t="n">
        <v>2633</v>
      </c>
      <c r="B1630" s="29" t="s">
        <v>49</v>
      </c>
      <c r="C1630" s="62" t="n">
        <v>5.8</v>
      </c>
      <c r="D1630" s="29" t="s">
        <v>59</v>
      </c>
      <c r="E1630" s="29" t="s">
        <v>58</v>
      </c>
    </row>
    <row r="1631" customFormat="false" ht="14.25" hidden="false" customHeight="false" outlineLevel="0" collapsed="false">
      <c r="A1631" s="1" t="n">
        <v>2634</v>
      </c>
      <c r="B1631" s="29" t="s">
        <v>49</v>
      </c>
      <c r="C1631" s="62" t="n">
        <v>4.9</v>
      </c>
      <c r="D1631" s="29" t="s">
        <v>59</v>
      </c>
      <c r="E1631" s="29" t="s">
        <v>53</v>
      </c>
    </row>
    <row r="1632" customFormat="false" ht="14.25" hidden="false" customHeight="false" outlineLevel="0" collapsed="false">
      <c r="A1632" s="1" t="n">
        <v>2635</v>
      </c>
      <c r="B1632" s="29" t="s">
        <v>61</v>
      </c>
      <c r="C1632" s="62" t="n">
        <v>6.2</v>
      </c>
      <c r="D1632" s="29" t="s">
        <v>71</v>
      </c>
      <c r="E1632" s="29" t="s">
        <v>51</v>
      </c>
    </row>
    <row r="1633" customFormat="false" ht="14.25" hidden="false" customHeight="false" outlineLevel="0" collapsed="false">
      <c r="A1633" s="1" t="n">
        <v>2636</v>
      </c>
      <c r="B1633" s="29" t="s">
        <v>54</v>
      </c>
      <c r="C1633" s="62" t="n">
        <v>62.8</v>
      </c>
      <c r="D1633" s="29" t="s">
        <v>67</v>
      </c>
      <c r="E1633" s="29" t="s">
        <v>55</v>
      </c>
    </row>
    <row r="1634" customFormat="false" ht="14.25" hidden="false" customHeight="false" outlineLevel="0" collapsed="false">
      <c r="A1634" s="1" t="n">
        <v>2637</v>
      </c>
      <c r="B1634" s="29" t="s">
        <v>49</v>
      </c>
      <c r="C1634" s="62" t="n">
        <v>1.1</v>
      </c>
      <c r="D1634" s="29" t="s">
        <v>62</v>
      </c>
      <c r="E1634" s="29" t="s">
        <v>57</v>
      </c>
    </row>
    <row r="1635" customFormat="false" ht="14.25" hidden="false" customHeight="false" outlineLevel="0" collapsed="false">
      <c r="A1635" s="1" t="n">
        <v>2638</v>
      </c>
      <c r="B1635" s="29" t="s">
        <v>54</v>
      </c>
      <c r="C1635" s="62" t="n">
        <v>55.9</v>
      </c>
      <c r="D1635" s="29" t="s">
        <v>67</v>
      </c>
      <c r="E1635" s="29" t="s">
        <v>55</v>
      </c>
    </row>
    <row r="1636" customFormat="false" ht="14.25" hidden="false" customHeight="false" outlineLevel="0" collapsed="false">
      <c r="A1636" s="1" t="n">
        <v>2639</v>
      </c>
      <c r="B1636" s="29" t="s">
        <v>54</v>
      </c>
      <c r="C1636" s="62" t="n">
        <v>51.6</v>
      </c>
      <c r="D1636" s="29" t="s">
        <v>59</v>
      </c>
      <c r="E1636" s="29" t="s">
        <v>55</v>
      </c>
    </row>
    <row r="1637" customFormat="false" ht="14.25" hidden="false" customHeight="false" outlineLevel="0" collapsed="false">
      <c r="A1637" s="1" t="n">
        <v>2640</v>
      </c>
      <c r="B1637" s="29" t="s">
        <v>49</v>
      </c>
      <c r="C1637" s="62" t="n">
        <v>0.5</v>
      </c>
      <c r="D1637" s="29" t="s">
        <v>71</v>
      </c>
      <c r="E1637" s="29" t="s">
        <v>58</v>
      </c>
    </row>
    <row r="1638" customFormat="false" ht="14.25" hidden="false" customHeight="false" outlineLevel="0" collapsed="false">
      <c r="A1638" s="1" t="n">
        <v>2641</v>
      </c>
      <c r="B1638" s="29" t="s">
        <v>49</v>
      </c>
      <c r="C1638" s="62" t="n">
        <v>7.2</v>
      </c>
      <c r="D1638" s="29" t="s">
        <v>52</v>
      </c>
      <c r="E1638" s="29" t="s">
        <v>58</v>
      </c>
    </row>
    <row r="1639" customFormat="false" ht="14.25" hidden="false" customHeight="false" outlineLevel="0" collapsed="false">
      <c r="A1639" s="1" t="n">
        <v>2642</v>
      </c>
      <c r="B1639" s="29" t="s">
        <v>49</v>
      </c>
      <c r="C1639" s="62" t="n">
        <v>3.9</v>
      </c>
      <c r="D1639" s="29" t="s">
        <v>52</v>
      </c>
      <c r="E1639" s="29" t="s">
        <v>57</v>
      </c>
    </row>
    <row r="1640" customFormat="false" ht="14.25" hidden="false" customHeight="false" outlineLevel="0" collapsed="false">
      <c r="A1640" s="1" t="n">
        <v>2643</v>
      </c>
      <c r="B1640" s="29" t="s">
        <v>61</v>
      </c>
      <c r="C1640" s="62" t="n">
        <v>7.5</v>
      </c>
      <c r="D1640" s="29" t="s">
        <v>67</v>
      </c>
      <c r="E1640" s="29" t="s">
        <v>58</v>
      </c>
    </row>
    <row r="1641" customFormat="false" ht="14.25" hidden="false" customHeight="false" outlineLevel="0" collapsed="false">
      <c r="A1641" s="1" t="n">
        <v>2644</v>
      </c>
      <c r="B1641" s="29" t="s">
        <v>49</v>
      </c>
      <c r="C1641" s="62" t="n">
        <v>2.5</v>
      </c>
      <c r="D1641" s="29" t="s">
        <v>67</v>
      </c>
      <c r="E1641" s="29" t="s">
        <v>57</v>
      </c>
    </row>
    <row r="1642" customFormat="false" ht="14.25" hidden="false" customHeight="false" outlineLevel="0" collapsed="false">
      <c r="A1642" s="1" t="n">
        <v>2645</v>
      </c>
      <c r="B1642" s="29" t="s">
        <v>49</v>
      </c>
      <c r="C1642" s="62" t="n">
        <v>12.4</v>
      </c>
      <c r="D1642" s="29" t="s">
        <v>59</v>
      </c>
      <c r="E1642" s="29" t="s">
        <v>58</v>
      </c>
    </row>
    <row r="1643" customFormat="false" ht="14.25" hidden="false" customHeight="false" outlineLevel="0" collapsed="false">
      <c r="A1643" s="1" t="n">
        <v>2646</v>
      </c>
      <c r="B1643" s="29" t="s">
        <v>49</v>
      </c>
      <c r="C1643" s="62" t="n">
        <v>10.4</v>
      </c>
      <c r="D1643" s="29" t="s">
        <v>59</v>
      </c>
      <c r="E1643" s="29" t="s">
        <v>58</v>
      </c>
    </row>
    <row r="1644" customFormat="false" ht="14.25" hidden="false" customHeight="false" outlineLevel="0" collapsed="false">
      <c r="A1644" s="1" t="n">
        <v>2647</v>
      </c>
      <c r="B1644" s="29" t="s">
        <v>49</v>
      </c>
      <c r="C1644" s="62" t="n">
        <v>73.8</v>
      </c>
      <c r="D1644" s="29" t="s">
        <v>62</v>
      </c>
      <c r="E1644" s="29" t="s">
        <v>65</v>
      </c>
    </row>
    <row r="1645" customFormat="false" ht="14.25" hidden="false" customHeight="false" outlineLevel="0" collapsed="false">
      <c r="A1645" s="1" t="n">
        <v>2648</v>
      </c>
      <c r="B1645" s="29" t="s">
        <v>49</v>
      </c>
      <c r="C1645" s="62" t="n">
        <v>10.7</v>
      </c>
      <c r="D1645" s="29" t="s">
        <v>62</v>
      </c>
      <c r="E1645" s="29" t="s">
        <v>58</v>
      </c>
    </row>
    <row r="1646" customFormat="false" ht="14.25" hidden="false" customHeight="false" outlineLevel="0" collapsed="false">
      <c r="A1646" s="1" t="n">
        <v>2649</v>
      </c>
      <c r="B1646" s="29" t="s">
        <v>49</v>
      </c>
      <c r="C1646" s="62" t="n">
        <v>9.2</v>
      </c>
      <c r="D1646" s="29" t="s">
        <v>62</v>
      </c>
      <c r="E1646" s="29" t="s">
        <v>58</v>
      </c>
    </row>
    <row r="1647" customFormat="false" ht="14.25" hidden="false" customHeight="false" outlineLevel="0" collapsed="false">
      <c r="A1647" s="1" t="n">
        <v>2650</v>
      </c>
      <c r="B1647" s="29" t="s">
        <v>49</v>
      </c>
      <c r="C1647" s="62" t="n">
        <v>7.7</v>
      </c>
      <c r="D1647" s="29" t="s">
        <v>62</v>
      </c>
      <c r="E1647" s="29" t="s">
        <v>58</v>
      </c>
    </row>
    <row r="1648" customFormat="false" ht="14.25" hidden="false" customHeight="false" outlineLevel="0" collapsed="false">
      <c r="A1648" s="1" t="n">
        <v>2651</v>
      </c>
      <c r="B1648" s="29" t="s">
        <v>49</v>
      </c>
      <c r="C1648" s="62" t="n">
        <v>37.5</v>
      </c>
      <c r="D1648" s="29" t="s">
        <v>62</v>
      </c>
      <c r="E1648" s="29" t="s">
        <v>65</v>
      </c>
    </row>
    <row r="1649" customFormat="false" ht="14.25" hidden="false" customHeight="false" outlineLevel="0" collapsed="false">
      <c r="A1649" s="1" t="n">
        <v>2652</v>
      </c>
      <c r="B1649" s="29" t="s">
        <v>54</v>
      </c>
      <c r="C1649" s="62" t="n">
        <v>16.8</v>
      </c>
      <c r="D1649" s="29" t="s">
        <v>62</v>
      </c>
      <c r="E1649" s="29" t="s">
        <v>66</v>
      </c>
    </row>
    <row r="1650" customFormat="false" ht="14.25" hidden="false" customHeight="false" outlineLevel="0" collapsed="false">
      <c r="A1650" s="1" t="n">
        <v>2653</v>
      </c>
      <c r="B1650" s="29" t="s">
        <v>61</v>
      </c>
      <c r="C1650" s="62" t="n">
        <v>1.1</v>
      </c>
      <c r="D1650" s="29" t="s">
        <v>68</v>
      </c>
      <c r="E1650" s="29" t="s">
        <v>57</v>
      </c>
    </row>
    <row r="1651" customFormat="false" ht="14.25" hidden="false" customHeight="false" outlineLevel="0" collapsed="false">
      <c r="A1651" s="1" t="n">
        <v>2654</v>
      </c>
      <c r="B1651" s="29" t="s">
        <v>49</v>
      </c>
      <c r="C1651" s="62" t="n">
        <v>1</v>
      </c>
      <c r="D1651" s="29" t="s">
        <v>68</v>
      </c>
      <c r="E1651" s="29" t="s">
        <v>57</v>
      </c>
    </row>
    <row r="1652" customFormat="false" ht="14.25" hidden="false" customHeight="false" outlineLevel="0" collapsed="false">
      <c r="A1652" s="1" t="n">
        <v>2655</v>
      </c>
      <c r="B1652" s="29" t="s">
        <v>54</v>
      </c>
      <c r="C1652" s="62" t="n">
        <v>29.7</v>
      </c>
      <c r="D1652" s="29" t="s">
        <v>59</v>
      </c>
      <c r="E1652" s="29" t="s">
        <v>55</v>
      </c>
    </row>
    <row r="1653" customFormat="false" ht="14.25" hidden="false" customHeight="false" outlineLevel="0" collapsed="false">
      <c r="A1653" s="1" t="n">
        <v>2656</v>
      </c>
      <c r="B1653" s="29" t="s">
        <v>61</v>
      </c>
      <c r="C1653" s="62" t="n">
        <v>37.5</v>
      </c>
      <c r="D1653" s="29" t="s">
        <v>59</v>
      </c>
      <c r="E1653" s="29" t="s">
        <v>65</v>
      </c>
    </row>
    <row r="1654" customFormat="false" ht="14.25" hidden="false" customHeight="false" outlineLevel="0" collapsed="false">
      <c r="A1654" s="1" t="n">
        <v>2657</v>
      </c>
      <c r="B1654" s="29" t="s">
        <v>61</v>
      </c>
      <c r="C1654" s="62" t="n">
        <v>10.7</v>
      </c>
      <c r="D1654" s="29" t="s">
        <v>50</v>
      </c>
      <c r="E1654" s="29" t="s">
        <v>58</v>
      </c>
    </row>
    <row r="1655" customFormat="false" ht="14.25" hidden="false" customHeight="false" outlineLevel="0" collapsed="false">
      <c r="A1655" s="1" t="n">
        <v>2658</v>
      </c>
      <c r="B1655" s="29" t="s">
        <v>61</v>
      </c>
      <c r="C1655" s="62" t="n">
        <v>8.2</v>
      </c>
      <c r="D1655" s="29" t="s">
        <v>50</v>
      </c>
      <c r="E1655" s="29" t="s">
        <v>58</v>
      </c>
    </row>
    <row r="1656" customFormat="false" ht="14.25" hidden="false" customHeight="false" outlineLevel="0" collapsed="false">
      <c r="A1656" s="1" t="n">
        <v>2659</v>
      </c>
      <c r="B1656" s="29" t="s">
        <v>49</v>
      </c>
      <c r="C1656" s="62" t="n">
        <v>3.7</v>
      </c>
      <c r="D1656" s="29" t="s">
        <v>59</v>
      </c>
      <c r="E1656" s="29" t="s">
        <v>58</v>
      </c>
    </row>
    <row r="1657" customFormat="false" ht="14.25" hidden="false" customHeight="false" outlineLevel="0" collapsed="false">
      <c r="A1657" s="1" t="n">
        <v>2660</v>
      </c>
      <c r="B1657" s="29" t="s">
        <v>49</v>
      </c>
      <c r="C1657" s="62" t="n">
        <v>12.3</v>
      </c>
      <c r="D1657" s="29" t="s">
        <v>68</v>
      </c>
      <c r="E1657" s="29" t="s">
        <v>58</v>
      </c>
    </row>
    <row r="1658" customFormat="false" ht="14.25" hidden="false" customHeight="false" outlineLevel="0" collapsed="false">
      <c r="A1658" s="1" t="n">
        <v>2661</v>
      </c>
      <c r="B1658" s="29" t="s">
        <v>61</v>
      </c>
      <c r="C1658" s="62" t="n">
        <v>2.1</v>
      </c>
      <c r="D1658" s="29" t="s">
        <v>68</v>
      </c>
      <c r="E1658" s="29" t="s">
        <v>57</v>
      </c>
    </row>
    <row r="1659" customFormat="false" ht="14.25" hidden="false" customHeight="false" outlineLevel="0" collapsed="false">
      <c r="A1659" s="1" t="n">
        <v>2662</v>
      </c>
      <c r="B1659" s="29" t="s">
        <v>54</v>
      </c>
      <c r="C1659" s="62" t="n">
        <v>17.1</v>
      </c>
      <c r="D1659" s="29" t="s">
        <v>68</v>
      </c>
      <c r="E1659" s="29" t="s">
        <v>55</v>
      </c>
    </row>
    <row r="1660" customFormat="false" ht="14.25" hidden="false" customHeight="false" outlineLevel="0" collapsed="false">
      <c r="A1660" s="1" t="n">
        <v>2663</v>
      </c>
      <c r="B1660" s="29" t="s">
        <v>49</v>
      </c>
      <c r="C1660" s="62" t="n">
        <v>3.4</v>
      </c>
      <c r="D1660" s="29" t="s">
        <v>71</v>
      </c>
      <c r="E1660" s="29" t="s">
        <v>53</v>
      </c>
    </row>
    <row r="1661" customFormat="false" ht="14.25" hidden="false" customHeight="false" outlineLevel="0" collapsed="false">
      <c r="A1661" s="1" t="n">
        <v>2664</v>
      </c>
      <c r="B1661" s="29" t="s">
        <v>61</v>
      </c>
      <c r="C1661" s="62" t="n">
        <v>1.1</v>
      </c>
      <c r="D1661" s="29" t="s">
        <v>50</v>
      </c>
      <c r="E1661" s="29" t="s">
        <v>58</v>
      </c>
    </row>
    <row r="1662" customFormat="false" ht="14.25" hidden="false" customHeight="false" outlineLevel="0" collapsed="false">
      <c r="A1662" s="1" t="n">
        <v>2665</v>
      </c>
      <c r="B1662" s="29" t="s">
        <v>54</v>
      </c>
      <c r="C1662" s="62" t="n">
        <v>25.4</v>
      </c>
      <c r="D1662" s="29" t="s">
        <v>50</v>
      </c>
      <c r="E1662" s="29" t="s">
        <v>66</v>
      </c>
    </row>
    <row r="1663" customFormat="false" ht="14.25" hidden="false" customHeight="false" outlineLevel="0" collapsed="false">
      <c r="A1663" s="1" t="n">
        <v>2666</v>
      </c>
      <c r="B1663" s="29" t="s">
        <v>49</v>
      </c>
      <c r="C1663" s="62" t="n">
        <v>21.4</v>
      </c>
      <c r="D1663" s="29" t="s">
        <v>62</v>
      </c>
      <c r="E1663" s="29" t="s">
        <v>58</v>
      </c>
    </row>
    <row r="1664" customFormat="false" ht="14.25" hidden="false" customHeight="false" outlineLevel="0" collapsed="false">
      <c r="A1664" s="1" t="n">
        <v>2667</v>
      </c>
      <c r="B1664" s="29" t="s">
        <v>49</v>
      </c>
      <c r="C1664" s="62" t="n">
        <v>6.1</v>
      </c>
      <c r="D1664" s="29" t="s">
        <v>50</v>
      </c>
      <c r="E1664" s="29" t="s">
        <v>51</v>
      </c>
    </row>
    <row r="1665" customFormat="false" ht="14.25" hidden="false" customHeight="false" outlineLevel="0" collapsed="false">
      <c r="A1665" s="1" t="n">
        <v>2668</v>
      </c>
      <c r="B1665" s="29" t="s">
        <v>49</v>
      </c>
      <c r="C1665" s="62" t="n">
        <v>12.3</v>
      </c>
      <c r="D1665" s="29" t="s">
        <v>52</v>
      </c>
      <c r="E1665" s="29" t="s">
        <v>58</v>
      </c>
    </row>
    <row r="1666" customFormat="false" ht="14.25" hidden="false" customHeight="false" outlineLevel="0" collapsed="false">
      <c r="A1666" s="1" t="n">
        <v>2669</v>
      </c>
      <c r="B1666" s="29" t="s">
        <v>54</v>
      </c>
      <c r="C1666" s="62" t="n">
        <v>30.1</v>
      </c>
      <c r="D1666" s="29" t="s">
        <v>59</v>
      </c>
      <c r="E1666" s="29" t="s">
        <v>66</v>
      </c>
    </row>
    <row r="1667" customFormat="false" ht="14.25" hidden="false" customHeight="false" outlineLevel="0" collapsed="false">
      <c r="A1667" s="1" t="n">
        <v>2670</v>
      </c>
      <c r="B1667" s="29" t="s">
        <v>61</v>
      </c>
      <c r="C1667" s="62" t="n">
        <v>3.6</v>
      </c>
      <c r="D1667" s="29" t="s">
        <v>59</v>
      </c>
      <c r="E1667" s="29" t="s">
        <v>53</v>
      </c>
    </row>
    <row r="1668" customFormat="false" ht="14.25" hidden="false" customHeight="false" outlineLevel="0" collapsed="false">
      <c r="A1668" s="1" t="n">
        <v>2671</v>
      </c>
      <c r="B1668" s="29" t="s">
        <v>49</v>
      </c>
      <c r="C1668" s="62" t="n">
        <v>5.3</v>
      </c>
      <c r="D1668" s="29" t="s">
        <v>59</v>
      </c>
      <c r="E1668" s="29" t="s">
        <v>58</v>
      </c>
    </row>
    <row r="1669" customFormat="false" ht="14.25" hidden="false" customHeight="false" outlineLevel="0" collapsed="false">
      <c r="A1669" s="1" t="n">
        <v>2672</v>
      </c>
      <c r="B1669" s="29" t="s">
        <v>49</v>
      </c>
      <c r="C1669" s="62" t="n">
        <v>1.3</v>
      </c>
      <c r="D1669" s="29" t="s">
        <v>67</v>
      </c>
      <c r="E1669" s="29" t="s">
        <v>53</v>
      </c>
    </row>
    <row r="1670" customFormat="false" ht="14.25" hidden="false" customHeight="false" outlineLevel="0" collapsed="false">
      <c r="A1670" s="1" t="n">
        <v>2673</v>
      </c>
      <c r="B1670" s="29" t="s">
        <v>61</v>
      </c>
      <c r="C1670" s="62" t="n">
        <v>0.8</v>
      </c>
      <c r="D1670" s="29" t="s">
        <v>59</v>
      </c>
      <c r="E1670" s="29" t="s">
        <v>57</v>
      </c>
    </row>
    <row r="1671" customFormat="false" ht="14.25" hidden="false" customHeight="false" outlineLevel="0" collapsed="false">
      <c r="A1671" s="1" t="n">
        <v>2674</v>
      </c>
      <c r="B1671" s="29" t="s">
        <v>49</v>
      </c>
      <c r="C1671" s="62" t="n">
        <v>9.4</v>
      </c>
      <c r="D1671" s="29" t="s">
        <v>59</v>
      </c>
      <c r="E1671" s="29" t="s">
        <v>58</v>
      </c>
    </row>
    <row r="1672" customFormat="false" ht="14.25" hidden="false" customHeight="false" outlineLevel="0" collapsed="false">
      <c r="A1672" s="1" t="n">
        <v>2675</v>
      </c>
      <c r="B1672" s="29" t="s">
        <v>49</v>
      </c>
      <c r="C1672" s="62" t="n">
        <v>37.5</v>
      </c>
      <c r="D1672" s="29" t="s">
        <v>63</v>
      </c>
      <c r="E1672" s="29" t="s">
        <v>65</v>
      </c>
    </row>
    <row r="1673" customFormat="false" ht="14.25" hidden="false" customHeight="false" outlineLevel="0" collapsed="false">
      <c r="A1673" s="1" t="n">
        <v>2676</v>
      </c>
      <c r="B1673" s="29" t="s">
        <v>49</v>
      </c>
      <c r="C1673" s="62" t="n">
        <v>6.2</v>
      </c>
      <c r="D1673" s="29" t="s">
        <v>63</v>
      </c>
      <c r="E1673" s="29" t="s">
        <v>58</v>
      </c>
    </row>
    <row r="1674" customFormat="false" ht="14.25" hidden="false" customHeight="false" outlineLevel="0" collapsed="false">
      <c r="A1674" s="1" t="n">
        <v>2677</v>
      </c>
      <c r="B1674" s="29" t="s">
        <v>49</v>
      </c>
      <c r="C1674" s="62" t="n">
        <v>4.9</v>
      </c>
      <c r="D1674" s="29" t="s">
        <v>60</v>
      </c>
      <c r="E1674" s="29" t="s">
        <v>57</v>
      </c>
    </row>
    <row r="1675" customFormat="false" ht="14.25" hidden="false" customHeight="false" outlineLevel="0" collapsed="false">
      <c r="A1675" s="1" t="n">
        <v>2678</v>
      </c>
      <c r="B1675" s="29" t="s">
        <v>49</v>
      </c>
      <c r="C1675" s="62" t="n">
        <v>7.4</v>
      </c>
      <c r="D1675" s="29" t="s">
        <v>62</v>
      </c>
      <c r="E1675" s="29" t="s">
        <v>58</v>
      </c>
    </row>
    <row r="1676" customFormat="false" ht="14.25" hidden="false" customHeight="false" outlineLevel="0" collapsed="false">
      <c r="A1676" s="1" t="n">
        <v>2679</v>
      </c>
      <c r="B1676" s="29" t="s">
        <v>49</v>
      </c>
      <c r="C1676" s="62" t="n">
        <v>5.9</v>
      </c>
      <c r="D1676" s="29" t="s">
        <v>50</v>
      </c>
      <c r="E1676" s="29" t="s">
        <v>58</v>
      </c>
    </row>
    <row r="1677" customFormat="false" ht="14.25" hidden="false" customHeight="false" outlineLevel="0" collapsed="false">
      <c r="A1677" s="1" t="n">
        <v>2680</v>
      </c>
      <c r="B1677" s="29" t="s">
        <v>49</v>
      </c>
      <c r="C1677" s="62" t="n">
        <v>12.3</v>
      </c>
      <c r="D1677" s="29" t="s">
        <v>52</v>
      </c>
      <c r="E1677" s="29" t="s">
        <v>58</v>
      </c>
    </row>
    <row r="1678" customFormat="false" ht="14.25" hidden="false" customHeight="false" outlineLevel="0" collapsed="false">
      <c r="A1678" s="1" t="n">
        <v>2681</v>
      </c>
      <c r="B1678" s="29" t="s">
        <v>54</v>
      </c>
      <c r="C1678" s="62" t="n">
        <v>48.9</v>
      </c>
      <c r="D1678" s="29" t="s">
        <v>67</v>
      </c>
      <c r="E1678" s="29" t="s">
        <v>55</v>
      </c>
    </row>
    <row r="1679" customFormat="false" ht="14.25" hidden="false" customHeight="false" outlineLevel="0" collapsed="false">
      <c r="A1679" s="1" t="n">
        <v>2682</v>
      </c>
      <c r="B1679" s="29" t="s">
        <v>49</v>
      </c>
      <c r="C1679" s="62" t="n">
        <v>2.1</v>
      </c>
      <c r="D1679" s="29" t="s">
        <v>52</v>
      </c>
      <c r="E1679" s="29" t="s">
        <v>53</v>
      </c>
    </row>
    <row r="1680" customFormat="false" ht="14.25" hidden="false" customHeight="false" outlineLevel="0" collapsed="false">
      <c r="A1680" s="1" t="n">
        <v>2683</v>
      </c>
      <c r="B1680" s="29" t="s">
        <v>49</v>
      </c>
      <c r="C1680" s="62" t="n">
        <v>8</v>
      </c>
      <c r="D1680" s="29" t="s">
        <v>62</v>
      </c>
      <c r="E1680" s="29" t="s">
        <v>58</v>
      </c>
    </row>
    <row r="1681" customFormat="false" ht="14.25" hidden="false" customHeight="false" outlineLevel="0" collapsed="false">
      <c r="A1681" s="1" t="n">
        <v>2684</v>
      </c>
      <c r="B1681" s="29" t="s">
        <v>49</v>
      </c>
      <c r="C1681" s="62" t="n">
        <v>0.5</v>
      </c>
      <c r="D1681" s="29" t="s">
        <v>52</v>
      </c>
      <c r="E1681" s="29" t="s">
        <v>58</v>
      </c>
    </row>
    <row r="1682" customFormat="false" ht="14.25" hidden="false" customHeight="false" outlineLevel="0" collapsed="false">
      <c r="A1682" s="1" t="n">
        <v>2685</v>
      </c>
      <c r="B1682" s="29" t="s">
        <v>54</v>
      </c>
      <c r="C1682" s="62" t="n">
        <v>64.2</v>
      </c>
      <c r="D1682" s="29" t="s">
        <v>59</v>
      </c>
      <c r="E1682" s="29" t="s">
        <v>66</v>
      </c>
    </row>
    <row r="1683" customFormat="false" ht="14.25" hidden="false" customHeight="false" outlineLevel="0" collapsed="false">
      <c r="A1683" s="1" t="n">
        <v>2686</v>
      </c>
      <c r="B1683" s="29" t="s">
        <v>61</v>
      </c>
      <c r="C1683" s="62" t="n">
        <v>6.1</v>
      </c>
      <c r="D1683" s="29" t="s">
        <v>59</v>
      </c>
      <c r="E1683" s="29" t="s">
        <v>58</v>
      </c>
    </row>
    <row r="1684" customFormat="false" ht="14.25" hidden="false" customHeight="false" outlineLevel="0" collapsed="false">
      <c r="A1684" s="1" t="n">
        <v>2687</v>
      </c>
      <c r="B1684" s="29" t="s">
        <v>49</v>
      </c>
      <c r="C1684" s="62" t="n">
        <v>12</v>
      </c>
      <c r="D1684" s="29" t="s">
        <v>62</v>
      </c>
      <c r="E1684" s="29" t="s">
        <v>65</v>
      </c>
    </row>
    <row r="1685" customFormat="false" ht="14.25" hidden="false" customHeight="false" outlineLevel="0" collapsed="false">
      <c r="A1685" s="1" t="n">
        <v>2688</v>
      </c>
      <c r="B1685" s="29" t="s">
        <v>61</v>
      </c>
      <c r="C1685" s="62" t="n">
        <v>9.6</v>
      </c>
      <c r="D1685" s="29" t="s">
        <v>67</v>
      </c>
      <c r="E1685" s="29" t="s">
        <v>53</v>
      </c>
    </row>
    <row r="1686" customFormat="false" ht="14.25" hidden="false" customHeight="false" outlineLevel="0" collapsed="false">
      <c r="A1686" s="1" t="n">
        <v>2689</v>
      </c>
      <c r="B1686" s="29" t="s">
        <v>61</v>
      </c>
      <c r="C1686" s="62" t="n">
        <v>4.2</v>
      </c>
      <c r="D1686" s="29" t="s">
        <v>60</v>
      </c>
      <c r="E1686" s="29" t="s">
        <v>58</v>
      </c>
    </row>
    <row r="1687" customFormat="false" ht="14.25" hidden="false" customHeight="false" outlineLevel="0" collapsed="false">
      <c r="A1687" s="1" t="n">
        <v>2690</v>
      </c>
      <c r="B1687" s="29" t="s">
        <v>49</v>
      </c>
      <c r="C1687" s="62" t="n">
        <v>8</v>
      </c>
      <c r="D1687" s="29" t="s">
        <v>60</v>
      </c>
      <c r="E1687" s="29" t="s">
        <v>58</v>
      </c>
    </row>
    <row r="1688" customFormat="false" ht="14.25" hidden="false" customHeight="false" outlineLevel="0" collapsed="false">
      <c r="A1688" s="1" t="n">
        <v>2691</v>
      </c>
      <c r="B1688" s="29" t="s">
        <v>49</v>
      </c>
      <c r="C1688" s="62" t="n">
        <v>5.5</v>
      </c>
      <c r="D1688" s="29" t="s">
        <v>56</v>
      </c>
      <c r="E1688" s="29" t="s">
        <v>57</v>
      </c>
    </row>
    <row r="1689" customFormat="false" ht="14.25" hidden="false" customHeight="false" outlineLevel="0" collapsed="false">
      <c r="A1689" s="1" t="n">
        <v>2692</v>
      </c>
      <c r="B1689" s="29" t="s">
        <v>49</v>
      </c>
      <c r="C1689" s="62" t="n">
        <v>6.4</v>
      </c>
      <c r="D1689" s="29" t="s">
        <v>67</v>
      </c>
      <c r="E1689" s="29" t="s">
        <v>51</v>
      </c>
    </row>
    <row r="1690" customFormat="false" ht="14.25" hidden="false" customHeight="false" outlineLevel="0" collapsed="false">
      <c r="A1690" s="1" t="n">
        <v>2693</v>
      </c>
      <c r="B1690" s="29" t="s">
        <v>61</v>
      </c>
      <c r="C1690" s="62" t="n">
        <v>4.3</v>
      </c>
      <c r="D1690" s="29" t="s">
        <v>67</v>
      </c>
      <c r="E1690" s="29" t="s">
        <v>58</v>
      </c>
    </row>
    <row r="1691" customFormat="false" ht="14.25" hidden="false" customHeight="false" outlineLevel="0" collapsed="false">
      <c r="A1691" s="1" t="n">
        <v>2694</v>
      </c>
      <c r="B1691" s="29" t="s">
        <v>49</v>
      </c>
      <c r="C1691" s="62" t="n">
        <v>8.8</v>
      </c>
      <c r="D1691" s="29" t="s">
        <v>67</v>
      </c>
      <c r="E1691" s="29" t="s">
        <v>58</v>
      </c>
    </row>
    <row r="1692" customFormat="false" ht="14.25" hidden="false" customHeight="false" outlineLevel="0" collapsed="false">
      <c r="A1692" s="1" t="n">
        <v>2695</v>
      </c>
      <c r="B1692" s="29" t="s">
        <v>61</v>
      </c>
      <c r="C1692" s="62" t="n">
        <v>4.7</v>
      </c>
      <c r="D1692" s="29" t="s">
        <v>50</v>
      </c>
      <c r="E1692" s="29" t="s">
        <v>57</v>
      </c>
    </row>
    <row r="1693" customFormat="false" ht="14.25" hidden="false" customHeight="false" outlineLevel="0" collapsed="false">
      <c r="A1693" s="1" t="n">
        <v>2696</v>
      </c>
      <c r="B1693" s="29" t="s">
        <v>49</v>
      </c>
      <c r="C1693" s="62" t="n">
        <v>6.6</v>
      </c>
      <c r="D1693" s="29" t="s">
        <v>50</v>
      </c>
      <c r="E1693" s="29" t="s">
        <v>58</v>
      </c>
    </row>
    <row r="1694" customFormat="false" ht="14.25" hidden="false" customHeight="false" outlineLevel="0" collapsed="false">
      <c r="A1694" s="1" t="n">
        <v>2697</v>
      </c>
      <c r="B1694" s="29" t="s">
        <v>49</v>
      </c>
      <c r="C1694" s="62" t="n">
        <v>26.2</v>
      </c>
      <c r="D1694" s="29" t="s">
        <v>50</v>
      </c>
      <c r="E1694" s="29" t="s">
        <v>65</v>
      </c>
    </row>
    <row r="1695" customFormat="false" ht="14.25" hidden="false" customHeight="false" outlineLevel="0" collapsed="false">
      <c r="A1695" s="1" t="n">
        <v>2698</v>
      </c>
      <c r="B1695" s="29" t="s">
        <v>49</v>
      </c>
      <c r="C1695" s="62" t="n">
        <v>6.1</v>
      </c>
      <c r="D1695" s="29" t="s">
        <v>50</v>
      </c>
      <c r="E1695" s="29" t="s">
        <v>58</v>
      </c>
    </row>
    <row r="1696" customFormat="false" ht="14.25" hidden="false" customHeight="false" outlineLevel="0" collapsed="false">
      <c r="A1696" s="1" t="n">
        <v>2699</v>
      </c>
      <c r="B1696" s="29" t="s">
        <v>49</v>
      </c>
      <c r="C1696" s="62" t="n">
        <v>6.2</v>
      </c>
      <c r="D1696" s="29" t="s">
        <v>50</v>
      </c>
      <c r="E1696" s="29" t="s">
        <v>58</v>
      </c>
    </row>
    <row r="1697" customFormat="false" ht="14.25" hidden="false" customHeight="false" outlineLevel="0" collapsed="false">
      <c r="A1697" s="1" t="n">
        <v>2700</v>
      </c>
      <c r="B1697" s="29" t="s">
        <v>49</v>
      </c>
      <c r="C1697" s="62" t="n">
        <v>2.6</v>
      </c>
      <c r="D1697" s="29" t="s">
        <v>50</v>
      </c>
      <c r="E1697" s="29" t="s">
        <v>57</v>
      </c>
    </row>
    <row r="1698" customFormat="false" ht="14.25" hidden="false" customHeight="false" outlineLevel="0" collapsed="false">
      <c r="A1698" s="1" t="n">
        <v>2701</v>
      </c>
      <c r="B1698" s="29" t="s">
        <v>49</v>
      </c>
      <c r="C1698" s="62" t="n">
        <v>3.2</v>
      </c>
      <c r="D1698" s="29" t="s">
        <v>56</v>
      </c>
      <c r="E1698" s="29" t="s">
        <v>57</v>
      </c>
    </row>
    <row r="1699" customFormat="false" ht="14.25" hidden="false" customHeight="false" outlineLevel="0" collapsed="false">
      <c r="A1699" s="1" t="n">
        <v>2702</v>
      </c>
      <c r="B1699" s="29" t="s">
        <v>49</v>
      </c>
      <c r="C1699" s="62" t="n">
        <v>21.4</v>
      </c>
      <c r="D1699" s="29" t="s">
        <v>56</v>
      </c>
      <c r="E1699" s="29" t="s">
        <v>58</v>
      </c>
    </row>
    <row r="1700" customFormat="false" ht="14.25" hidden="false" customHeight="false" outlineLevel="0" collapsed="false">
      <c r="A1700" s="1" t="n">
        <v>2703</v>
      </c>
      <c r="B1700" s="29" t="s">
        <v>54</v>
      </c>
      <c r="C1700" s="62" t="n">
        <v>30</v>
      </c>
      <c r="D1700" s="29" t="s">
        <v>62</v>
      </c>
      <c r="E1700" s="29" t="s">
        <v>66</v>
      </c>
    </row>
    <row r="1701" customFormat="false" ht="14.25" hidden="false" customHeight="false" outlineLevel="0" collapsed="false">
      <c r="A1701" s="1" t="n">
        <v>2704</v>
      </c>
      <c r="B1701" s="29" t="s">
        <v>49</v>
      </c>
      <c r="C1701" s="62" t="n">
        <v>1</v>
      </c>
      <c r="D1701" s="29" t="s">
        <v>62</v>
      </c>
      <c r="E1701" s="29" t="s">
        <v>57</v>
      </c>
    </row>
    <row r="1702" customFormat="false" ht="14.25" hidden="false" customHeight="false" outlineLevel="0" collapsed="false">
      <c r="A1702" s="1" t="n">
        <v>2705</v>
      </c>
      <c r="B1702" s="29" t="s">
        <v>49</v>
      </c>
      <c r="C1702" s="62" t="n">
        <v>6.4</v>
      </c>
      <c r="D1702" s="29" t="s">
        <v>62</v>
      </c>
      <c r="E1702" s="29" t="s">
        <v>58</v>
      </c>
    </row>
    <row r="1703" customFormat="false" ht="14.25" hidden="false" customHeight="false" outlineLevel="0" collapsed="false">
      <c r="A1703" s="1" t="n">
        <v>2706</v>
      </c>
      <c r="B1703" s="29" t="s">
        <v>61</v>
      </c>
      <c r="C1703" s="62" t="n">
        <v>0.5</v>
      </c>
      <c r="D1703" s="29" t="s">
        <v>62</v>
      </c>
      <c r="E1703" s="29" t="s">
        <v>58</v>
      </c>
    </row>
    <row r="1704" customFormat="false" ht="14.25" hidden="false" customHeight="false" outlineLevel="0" collapsed="false">
      <c r="A1704" s="1" t="n">
        <v>2707</v>
      </c>
      <c r="B1704" s="29" t="s">
        <v>61</v>
      </c>
      <c r="C1704" s="62" t="n">
        <v>21.4</v>
      </c>
      <c r="D1704" s="29" t="s">
        <v>62</v>
      </c>
      <c r="E1704" s="29" t="s">
        <v>58</v>
      </c>
    </row>
    <row r="1705" customFormat="false" ht="14.25" hidden="false" customHeight="false" outlineLevel="0" collapsed="false">
      <c r="A1705" s="1" t="n">
        <v>2708</v>
      </c>
      <c r="B1705" s="29" t="s">
        <v>49</v>
      </c>
      <c r="C1705" s="62" t="n">
        <v>5.7</v>
      </c>
      <c r="D1705" s="29" t="s">
        <v>52</v>
      </c>
      <c r="E1705" s="29" t="s">
        <v>58</v>
      </c>
    </row>
    <row r="1706" customFormat="false" ht="14.25" hidden="false" customHeight="false" outlineLevel="0" collapsed="false">
      <c r="A1706" s="1" t="n">
        <v>2709</v>
      </c>
      <c r="B1706" s="29" t="s">
        <v>49</v>
      </c>
      <c r="C1706" s="62" t="n">
        <v>1</v>
      </c>
      <c r="D1706" s="29" t="s">
        <v>59</v>
      </c>
      <c r="E1706" s="29" t="s">
        <v>57</v>
      </c>
    </row>
    <row r="1707" customFormat="false" ht="14.25" hidden="false" customHeight="false" outlineLevel="0" collapsed="false">
      <c r="A1707" s="1" t="n">
        <v>2710</v>
      </c>
      <c r="B1707" s="29" t="s">
        <v>49</v>
      </c>
      <c r="C1707" s="62" t="n">
        <v>21.4</v>
      </c>
      <c r="D1707" s="29" t="s">
        <v>62</v>
      </c>
      <c r="E1707" s="29" t="s">
        <v>58</v>
      </c>
    </row>
    <row r="1708" customFormat="false" ht="14.25" hidden="false" customHeight="false" outlineLevel="0" collapsed="false">
      <c r="A1708" s="1" t="n">
        <v>2711</v>
      </c>
      <c r="B1708" s="29" t="s">
        <v>49</v>
      </c>
      <c r="C1708" s="62" t="n">
        <v>7.7</v>
      </c>
      <c r="D1708" s="29" t="s">
        <v>62</v>
      </c>
      <c r="E1708" s="29" t="s">
        <v>58</v>
      </c>
    </row>
    <row r="1709" customFormat="false" ht="14.25" hidden="false" customHeight="false" outlineLevel="0" collapsed="false">
      <c r="A1709" s="1" t="n">
        <v>2712</v>
      </c>
      <c r="B1709" s="29" t="s">
        <v>49</v>
      </c>
      <c r="C1709" s="62" t="n">
        <v>6.2</v>
      </c>
      <c r="D1709" s="29" t="s">
        <v>59</v>
      </c>
      <c r="E1709" s="29" t="s">
        <v>58</v>
      </c>
    </row>
    <row r="1710" customFormat="false" ht="14.25" hidden="false" customHeight="false" outlineLevel="0" collapsed="false">
      <c r="A1710" s="1" t="n">
        <v>2713</v>
      </c>
      <c r="B1710" s="29" t="s">
        <v>54</v>
      </c>
      <c r="C1710" s="62" t="n">
        <v>31.3</v>
      </c>
      <c r="D1710" s="29" t="s">
        <v>67</v>
      </c>
      <c r="E1710" s="29" t="s">
        <v>55</v>
      </c>
    </row>
    <row r="1711" customFormat="false" ht="14.25" hidden="false" customHeight="false" outlineLevel="0" collapsed="false">
      <c r="A1711" s="1" t="n">
        <v>2714</v>
      </c>
      <c r="B1711" s="29" t="s">
        <v>54</v>
      </c>
      <c r="C1711" s="62" t="n">
        <v>95.6</v>
      </c>
      <c r="D1711" s="29" t="s">
        <v>60</v>
      </c>
      <c r="E1711" s="29" t="s">
        <v>55</v>
      </c>
    </row>
    <row r="1712" customFormat="false" ht="14.25" hidden="false" customHeight="false" outlineLevel="0" collapsed="false">
      <c r="A1712" s="1" t="n">
        <v>2715</v>
      </c>
      <c r="B1712" s="29" t="s">
        <v>49</v>
      </c>
      <c r="C1712" s="62" t="n">
        <v>6.2</v>
      </c>
      <c r="D1712" s="29" t="s">
        <v>50</v>
      </c>
      <c r="E1712" s="29" t="s">
        <v>58</v>
      </c>
    </row>
    <row r="1713" customFormat="false" ht="14.25" hidden="false" customHeight="false" outlineLevel="0" collapsed="false">
      <c r="A1713" s="1" t="n">
        <v>2716</v>
      </c>
      <c r="B1713" s="29" t="s">
        <v>49</v>
      </c>
      <c r="C1713" s="62" t="n">
        <v>37.5</v>
      </c>
      <c r="D1713" s="29" t="s">
        <v>50</v>
      </c>
      <c r="E1713" s="29" t="s">
        <v>65</v>
      </c>
    </row>
    <row r="1714" customFormat="false" ht="14.25" hidden="false" customHeight="false" outlineLevel="0" collapsed="false">
      <c r="A1714" s="1" t="n">
        <v>2717</v>
      </c>
      <c r="B1714" s="29" t="s">
        <v>49</v>
      </c>
      <c r="C1714" s="62" t="n">
        <v>3.9</v>
      </c>
      <c r="D1714" s="29" t="s">
        <v>56</v>
      </c>
      <c r="E1714" s="29" t="s">
        <v>53</v>
      </c>
    </row>
    <row r="1715" customFormat="false" ht="14.25" hidden="false" customHeight="false" outlineLevel="0" collapsed="false">
      <c r="A1715" s="1" t="n">
        <v>2718</v>
      </c>
      <c r="B1715" s="29" t="s">
        <v>49</v>
      </c>
      <c r="C1715" s="62" t="n">
        <v>6</v>
      </c>
      <c r="D1715" s="29" t="s">
        <v>71</v>
      </c>
      <c r="E1715" s="29" t="s">
        <v>58</v>
      </c>
    </row>
    <row r="1716" customFormat="false" ht="14.25" hidden="false" customHeight="false" outlineLevel="0" collapsed="false">
      <c r="A1716" s="1" t="n">
        <v>2719</v>
      </c>
      <c r="B1716" s="29" t="s">
        <v>49</v>
      </c>
      <c r="C1716" s="62" t="n">
        <v>9.4</v>
      </c>
      <c r="D1716" s="29" t="s">
        <v>56</v>
      </c>
      <c r="E1716" s="29" t="s">
        <v>58</v>
      </c>
    </row>
    <row r="1717" customFormat="false" ht="14.25" hidden="false" customHeight="false" outlineLevel="0" collapsed="false">
      <c r="A1717" s="1" t="n">
        <v>2720</v>
      </c>
      <c r="B1717" s="29" t="s">
        <v>49</v>
      </c>
      <c r="C1717" s="62" t="n">
        <v>6.9</v>
      </c>
      <c r="D1717" s="29" t="s">
        <v>56</v>
      </c>
      <c r="E1717" s="29" t="s">
        <v>58</v>
      </c>
    </row>
    <row r="1718" customFormat="false" ht="14.25" hidden="false" customHeight="false" outlineLevel="0" collapsed="false">
      <c r="A1718" s="1" t="n">
        <v>2721</v>
      </c>
      <c r="B1718" s="29" t="s">
        <v>49</v>
      </c>
      <c r="C1718" s="62" t="n">
        <v>73.8</v>
      </c>
      <c r="D1718" s="29" t="s">
        <v>71</v>
      </c>
      <c r="E1718" s="29" t="s">
        <v>65</v>
      </c>
    </row>
    <row r="1719" customFormat="false" ht="14.25" hidden="false" customHeight="false" outlineLevel="0" collapsed="false">
      <c r="A1719" s="1" t="n">
        <v>2722</v>
      </c>
      <c r="B1719" s="29" t="s">
        <v>49</v>
      </c>
      <c r="C1719" s="62" t="n">
        <v>37.5</v>
      </c>
      <c r="D1719" s="29" t="s">
        <v>71</v>
      </c>
      <c r="E1719" s="29" t="s">
        <v>65</v>
      </c>
    </row>
    <row r="1720" customFormat="false" ht="14.25" hidden="false" customHeight="false" outlineLevel="0" collapsed="false">
      <c r="A1720" s="1" t="n">
        <v>2723</v>
      </c>
      <c r="B1720" s="29" t="s">
        <v>49</v>
      </c>
      <c r="C1720" s="62" t="n">
        <v>6.6</v>
      </c>
      <c r="D1720" s="29" t="s">
        <v>52</v>
      </c>
      <c r="E1720" s="29" t="s">
        <v>58</v>
      </c>
    </row>
    <row r="1721" customFormat="false" ht="14.25" hidden="false" customHeight="false" outlineLevel="0" collapsed="false">
      <c r="A1721" s="1" t="n">
        <v>2724</v>
      </c>
      <c r="B1721" s="29" t="s">
        <v>49</v>
      </c>
      <c r="C1721" s="62" t="n">
        <v>26.2</v>
      </c>
      <c r="D1721" s="29" t="s">
        <v>52</v>
      </c>
      <c r="E1721" s="29" t="s">
        <v>65</v>
      </c>
    </row>
    <row r="1722" customFormat="false" ht="14.25" hidden="false" customHeight="false" outlineLevel="0" collapsed="false">
      <c r="A1722" s="1" t="n">
        <v>2725</v>
      </c>
      <c r="B1722" s="29" t="s">
        <v>49</v>
      </c>
      <c r="C1722" s="62" t="n">
        <v>6</v>
      </c>
      <c r="D1722" s="29" t="s">
        <v>59</v>
      </c>
      <c r="E1722" s="29" t="s">
        <v>58</v>
      </c>
    </row>
    <row r="1723" customFormat="false" ht="14.25" hidden="false" customHeight="false" outlineLevel="0" collapsed="false">
      <c r="A1723" s="1" t="n">
        <v>2726</v>
      </c>
      <c r="B1723" s="29" t="s">
        <v>49</v>
      </c>
      <c r="C1723" s="62" t="n">
        <v>5.3</v>
      </c>
      <c r="D1723" s="29" t="s">
        <v>59</v>
      </c>
      <c r="E1723" s="29" t="s">
        <v>58</v>
      </c>
    </row>
    <row r="1724" customFormat="false" ht="14.25" hidden="false" customHeight="false" outlineLevel="0" collapsed="false">
      <c r="A1724" s="1" t="n">
        <v>2727</v>
      </c>
      <c r="B1724" s="29" t="s">
        <v>61</v>
      </c>
      <c r="C1724" s="62" t="n">
        <v>0.8</v>
      </c>
      <c r="D1724" s="29" t="s">
        <v>62</v>
      </c>
      <c r="E1724" s="29" t="s">
        <v>57</v>
      </c>
    </row>
    <row r="1725" customFormat="false" ht="14.25" hidden="false" customHeight="false" outlineLevel="0" collapsed="false">
      <c r="A1725" s="1" t="n">
        <v>2728</v>
      </c>
      <c r="B1725" s="29" t="s">
        <v>49</v>
      </c>
      <c r="C1725" s="62" t="n">
        <v>8.6</v>
      </c>
      <c r="D1725" s="29" t="s">
        <v>62</v>
      </c>
      <c r="E1725" s="29" t="s">
        <v>58</v>
      </c>
    </row>
    <row r="1726" customFormat="false" ht="14.25" hidden="false" customHeight="false" outlineLevel="0" collapsed="false">
      <c r="A1726" s="1" t="n">
        <v>2729</v>
      </c>
      <c r="B1726" s="29" t="s">
        <v>49</v>
      </c>
      <c r="C1726" s="62" t="n">
        <v>1.4</v>
      </c>
      <c r="D1726" s="29" t="s">
        <v>59</v>
      </c>
      <c r="E1726" s="29" t="s">
        <v>66</v>
      </c>
    </row>
    <row r="1727" customFormat="false" ht="14.25" hidden="false" customHeight="false" outlineLevel="0" collapsed="false">
      <c r="A1727" s="1" t="n">
        <v>2730</v>
      </c>
      <c r="B1727" s="29" t="s">
        <v>49</v>
      </c>
      <c r="C1727" s="62" t="n">
        <v>10.4</v>
      </c>
      <c r="D1727" s="29" t="s">
        <v>59</v>
      </c>
      <c r="E1727" s="29" t="s">
        <v>55</v>
      </c>
    </row>
    <row r="1728" customFormat="false" ht="14.25" hidden="false" customHeight="false" outlineLevel="0" collapsed="false">
      <c r="A1728" s="1" t="n">
        <v>2731</v>
      </c>
      <c r="B1728" s="29" t="s">
        <v>49</v>
      </c>
      <c r="C1728" s="62" t="n">
        <v>7.7</v>
      </c>
      <c r="D1728" s="29" t="s">
        <v>67</v>
      </c>
      <c r="E1728" s="29" t="s">
        <v>58</v>
      </c>
    </row>
    <row r="1729" customFormat="false" ht="14.25" hidden="false" customHeight="false" outlineLevel="0" collapsed="false">
      <c r="A1729" s="1" t="n">
        <v>2732</v>
      </c>
      <c r="B1729" s="29" t="s">
        <v>49</v>
      </c>
      <c r="C1729" s="62" t="n">
        <v>5.6</v>
      </c>
      <c r="D1729" s="29" t="s">
        <v>50</v>
      </c>
      <c r="E1729" s="29" t="s">
        <v>58</v>
      </c>
    </row>
    <row r="1730" customFormat="false" ht="14.25" hidden="false" customHeight="false" outlineLevel="0" collapsed="false">
      <c r="A1730" s="1" t="n">
        <v>2733</v>
      </c>
      <c r="B1730" s="29" t="s">
        <v>54</v>
      </c>
      <c r="C1730" s="62" t="n">
        <v>55.9</v>
      </c>
      <c r="D1730" s="29" t="s">
        <v>63</v>
      </c>
      <c r="E1730" s="29" t="s">
        <v>55</v>
      </c>
    </row>
    <row r="1731" customFormat="false" ht="14.25" hidden="false" customHeight="false" outlineLevel="0" collapsed="false">
      <c r="A1731" s="1" t="n">
        <v>2734</v>
      </c>
      <c r="B1731" s="29" t="s">
        <v>49</v>
      </c>
      <c r="C1731" s="62" t="n">
        <v>21.4</v>
      </c>
      <c r="D1731" s="29" t="s">
        <v>56</v>
      </c>
      <c r="E1731" s="29" t="s">
        <v>58</v>
      </c>
    </row>
    <row r="1732" customFormat="false" ht="14.25" hidden="false" customHeight="false" outlineLevel="0" collapsed="false">
      <c r="A1732" s="1" t="n">
        <v>2735</v>
      </c>
      <c r="B1732" s="29" t="s">
        <v>49</v>
      </c>
      <c r="C1732" s="62" t="n">
        <v>6.3</v>
      </c>
      <c r="D1732" s="29" t="s">
        <v>50</v>
      </c>
      <c r="E1732" s="29" t="s">
        <v>58</v>
      </c>
    </row>
    <row r="1733" customFormat="false" ht="14.25" hidden="false" customHeight="false" outlineLevel="0" collapsed="false">
      <c r="A1733" s="1" t="n">
        <v>2736</v>
      </c>
      <c r="B1733" s="29" t="s">
        <v>54</v>
      </c>
      <c r="C1733" s="62" t="n">
        <v>64.2</v>
      </c>
      <c r="D1733" s="29" t="s">
        <v>71</v>
      </c>
      <c r="E1733" s="29" t="s">
        <v>66</v>
      </c>
    </row>
    <row r="1734" customFormat="false" ht="14.25" hidden="false" customHeight="false" outlineLevel="0" collapsed="false">
      <c r="A1734" s="1" t="n">
        <v>2737</v>
      </c>
      <c r="B1734" s="29" t="s">
        <v>49</v>
      </c>
      <c r="C1734" s="62" t="n">
        <v>6.6</v>
      </c>
      <c r="D1734" s="29" t="s">
        <v>71</v>
      </c>
      <c r="E1734" s="29" t="s">
        <v>58</v>
      </c>
    </row>
    <row r="1735" customFormat="false" ht="14.25" hidden="false" customHeight="false" outlineLevel="0" collapsed="false">
      <c r="A1735" s="1" t="n">
        <v>2738</v>
      </c>
      <c r="B1735" s="29" t="s">
        <v>49</v>
      </c>
      <c r="C1735" s="62" t="n">
        <v>7</v>
      </c>
      <c r="D1735" s="29" t="s">
        <v>59</v>
      </c>
      <c r="E1735" s="29" t="s">
        <v>58</v>
      </c>
    </row>
    <row r="1736" customFormat="false" ht="14.25" hidden="false" customHeight="false" outlineLevel="0" collapsed="false">
      <c r="A1736" s="1" t="n">
        <v>2739</v>
      </c>
      <c r="B1736" s="29" t="s">
        <v>49</v>
      </c>
      <c r="C1736" s="62" t="n">
        <v>5</v>
      </c>
      <c r="D1736" s="29" t="s">
        <v>59</v>
      </c>
      <c r="E1736" s="29" t="s">
        <v>58</v>
      </c>
    </row>
    <row r="1737" customFormat="false" ht="14.25" hidden="false" customHeight="false" outlineLevel="0" collapsed="false">
      <c r="A1737" s="1" t="n">
        <v>2740</v>
      </c>
      <c r="B1737" s="29" t="s">
        <v>49</v>
      </c>
      <c r="C1737" s="62" t="n">
        <v>9.6</v>
      </c>
      <c r="D1737" s="29" t="s">
        <v>68</v>
      </c>
      <c r="E1737" s="29" t="s">
        <v>53</v>
      </c>
    </row>
    <row r="1738" customFormat="false" ht="14.25" hidden="false" customHeight="false" outlineLevel="0" collapsed="false">
      <c r="A1738" s="1" t="n">
        <v>2741</v>
      </c>
      <c r="B1738" s="29" t="s">
        <v>49</v>
      </c>
      <c r="C1738" s="62" t="n">
        <v>2.1</v>
      </c>
      <c r="D1738" s="29" t="s">
        <v>56</v>
      </c>
      <c r="E1738" s="29" t="s">
        <v>53</v>
      </c>
    </row>
    <row r="1739" customFormat="false" ht="14.25" hidden="false" customHeight="false" outlineLevel="0" collapsed="false">
      <c r="A1739" s="1" t="n">
        <v>2742</v>
      </c>
      <c r="B1739" s="29" t="s">
        <v>49</v>
      </c>
      <c r="C1739" s="62" t="n">
        <v>6.7</v>
      </c>
      <c r="D1739" s="29" t="s">
        <v>56</v>
      </c>
      <c r="E1739" s="29" t="s">
        <v>58</v>
      </c>
    </row>
    <row r="1740" customFormat="false" ht="14.25" hidden="false" customHeight="false" outlineLevel="0" collapsed="false">
      <c r="A1740" s="1" t="n">
        <v>2743</v>
      </c>
      <c r="B1740" s="29" t="s">
        <v>49</v>
      </c>
      <c r="C1740" s="62" t="n">
        <v>3.9</v>
      </c>
      <c r="D1740" s="29" t="s">
        <v>62</v>
      </c>
      <c r="E1740" s="29" t="s">
        <v>53</v>
      </c>
    </row>
    <row r="1741" customFormat="false" ht="14.25" hidden="false" customHeight="false" outlineLevel="0" collapsed="false">
      <c r="A1741" s="1" t="n">
        <v>2744</v>
      </c>
      <c r="B1741" s="29" t="s">
        <v>61</v>
      </c>
      <c r="C1741" s="62" t="n">
        <v>5.7</v>
      </c>
      <c r="D1741" s="29" t="s">
        <v>62</v>
      </c>
      <c r="E1741" s="29" t="s">
        <v>58</v>
      </c>
    </row>
    <row r="1742" customFormat="false" ht="14.25" hidden="false" customHeight="false" outlineLevel="0" collapsed="false">
      <c r="A1742" s="1" t="n">
        <v>2745</v>
      </c>
      <c r="B1742" s="29" t="s">
        <v>49</v>
      </c>
      <c r="C1742" s="62" t="n">
        <v>7.7</v>
      </c>
      <c r="D1742" s="29" t="s">
        <v>60</v>
      </c>
      <c r="E1742" s="29" t="s">
        <v>58</v>
      </c>
    </row>
    <row r="1743" customFormat="false" ht="14.25" hidden="false" customHeight="false" outlineLevel="0" collapsed="false">
      <c r="A1743" s="1" t="n">
        <v>2746</v>
      </c>
      <c r="B1743" s="29" t="s">
        <v>49</v>
      </c>
      <c r="C1743" s="62" t="n">
        <v>5.3</v>
      </c>
      <c r="D1743" s="29" t="s">
        <v>59</v>
      </c>
      <c r="E1743" s="29" t="s">
        <v>58</v>
      </c>
    </row>
    <row r="1744" customFormat="false" ht="14.25" hidden="false" customHeight="false" outlineLevel="0" collapsed="false">
      <c r="A1744" s="1" t="n">
        <v>2747</v>
      </c>
      <c r="B1744" s="29" t="s">
        <v>61</v>
      </c>
      <c r="C1744" s="62" t="n">
        <v>5.4</v>
      </c>
      <c r="D1744" s="29" t="s">
        <v>59</v>
      </c>
      <c r="E1744" s="29" t="s">
        <v>58</v>
      </c>
    </row>
    <row r="1745" customFormat="false" ht="14.25" hidden="false" customHeight="false" outlineLevel="0" collapsed="false">
      <c r="A1745" s="1" t="n">
        <v>2748</v>
      </c>
      <c r="B1745" s="29" t="s">
        <v>54</v>
      </c>
      <c r="C1745" s="62" t="n">
        <v>31.1</v>
      </c>
      <c r="D1745" s="29" t="s">
        <v>50</v>
      </c>
      <c r="E1745" s="29" t="s">
        <v>55</v>
      </c>
    </row>
    <row r="1746" customFormat="false" ht="14.25" hidden="false" customHeight="false" outlineLevel="0" collapsed="false">
      <c r="A1746" s="1" t="n">
        <v>2749</v>
      </c>
      <c r="B1746" s="29" t="s">
        <v>49</v>
      </c>
      <c r="C1746" s="62" t="n">
        <v>73.8</v>
      </c>
      <c r="D1746" s="29" t="s">
        <v>50</v>
      </c>
      <c r="E1746" s="29" t="s">
        <v>65</v>
      </c>
    </row>
    <row r="1747" customFormat="false" ht="14.25" hidden="false" customHeight="false" outlineLevel="0" collapsed="false">
      <c r="A1747" s="1" t="n">
        <v>2750</v>
      </c>
      <c r="B1747" s="29" t="s">
        <v>49</v>
      </c>
      <c r="C1747" s="62" t="n">
        <v>1.5</v>
      </c>
      <c r="D1747" s="29" t="s">
        <v>59</v>
      </c>
      <c r="E1747" s="29" t="s">
        <v>57</v>
      </c>
    </row>
    <row r="1748" customFormat="false" ht="14.25" hidden="false" customHeight="false" outlineLevel="0" collapsed="false">
      <c r="A1748" s="1" t="n">
        <v>2751</v>
      </c>
      <c r="B1748" s="29" t="s">
        <v>54</v>
      </c>
      <c r="C1748" s="62" t="n">
        <v>64</v>
      </c>
      <c r="D1748" s="29" t="s">
        <v>59</v>
      </c>
      <c r="E1748" s="29" t="s">
        <v>66</v>
      </c>
    </row>
    <row r="1749" customFormat="false" ht="14.25" hidden="false" customHeight="false" outlineLevel="0" collapsed="false">
      <c r="A1749" s="1" t="n">
        <v>2752</v>
      </c>
      <c r="B1749" s="29" t="s">
        <v>49</v>
      </c>
      <c r="C1749" s="62" t="n">
        <v>4.3</v>
      </c>
      <c r="D1749" s="29" t="s">
        <v>59</v>
      </c>
      <c r="E1749" s="29" t="s">
        <v>58</v>
      </c>
    </row>
    <row r="1750" customFormat="false" ht="14.25" hidden="false" customHeight="false" outlineLevel="0" collapsed="false">
      <c r="A1750" s="1" t="n">
        <v>2753</v>
      </c>
      <c r="B1750" s="29" t="s">
        <v>49</v>
      </c>
      <c r="C1750" s="62" t="n">
        <v>5.2</v>
      </c>
      <c r="D1750" s="29" t="s">
        <v>59</v>
      </c>
      <c r="E1750" s="29" t="s">
        <v>58</v>
      </c>
    </row>
    <row r="1751" customFormat="false" ht="14.25" hidden="false" customHeight="false" outlineLevel="0" collapsed="false">
      <c r="A1751" s="1" t="n">
        <v>2754</v>
      </c>
      <c r="B1751" s="29" t="s">
        <v>49</v>
      </c>
      <c r="C1751" s="62" t="n">
        <v>5.6</v>
      </c>
      <c r="D1751" s="29" t="s">
        <v>52</v>
      </c>
      <c r="E1751" s="29" t="s">
        <v>58</v>
      </c>
    </row>
    <row r="1752" customFormat="false" ht="14.25" hidden="false" customHeight="false" outlineLevel="0" collapsed="false">
      <c r="A1752" s="1" t="n">
        <v>2755</v>
      </c>
      <c r="B1752" s="29" t="s">
        <v>49</v>
      </c>
      <c r="C1752" s="62" t="n">
        <v>2.6</v>
      </c>
      <c r="D1752" s="29" t="s">
        <v>56</v>
      </c>
      <c r="E1752" s="29" t="s">
        <v>53</v>
      </c>
    </row>
    <row r="1753" customFormat="false" ht="14.25" hidden="false" customHeight="false" outlineLevel="0" collapsed="false">
      <c r="A1753" s="1" t="n">
        <v>2756</v>
      </c>
      <c r="B1753" s="29" t="s">
        <v>49</v>
      </c>
      <c r="C1753" s="62" t="n">
        <v>1.2</v>
      </c>
      <c r="D1753" s="29" t="s">
        <v>56</v>
      </c>
      <c r="E1753" s="29" t="s">
        <v>57</v>
      </c>
    </row>
    <row r="1754" customFormat="false" ht="14.25" hidden="false" customHeight="false" outlineLevel="0" collapsed="false">
      <c r="A1754" s="1" t="n">
        <v>2757</v>
      </c>
      <c r="B1754" s="29" t="s">
        <v>49</v>
      </c>
      <c r="C1754" s="62" t="n">
        <v>4.3</v>
      </c>
      <c r="D1754" s="29" t="s">
        <v>68</v>
      </c>
      <c r="E1754" s="29" t="s">
        <v>58</v>
      </c>
    </row>
    <row r="1755" customFormat="false" ht="14.25" hidden="false" customHeight="false" outlineLevel="0" collapsed="false">
      <c r="A1755" s="1" t="n">
        <v>2758</v>
      </c>
      <c r="B1755" s="29" t="s">
        <v>49</v>
      </c>
      <c r="C1755" s="62" t="n">
        <v>3.6</v>
      </c>
      <c r="D1755" s="29" t="s">
        <v>59</v>
      </c>
      <c r="E1755" s="29" t="s">
        <v>57</v>
      </c>
    </row>
    <row r="1756" customFormat="false" ht="14.25" hidden="false" customHeight="false" outlineLevel="0" collapsed="false">
      <c r="A1756" s="1" t="n">
        <v>2759</v>
      </c>
      <c r="B1756" s="29" t="s">
        <v>49</v>
      </c>
      <c r="C1756" s="62" t="n">
        <v>9.6</v>
      </c>
      <c r="D1756" s="29" t="s">
        <v>68</v>
      </c>
      <c r="E1756" s="29" t="s">
        <v>53</v>
      </c>
    </row>
    <row r="1757" customFormat="false" ht="14.25" hidden="false" customHeight="false" outlineLevel="0" collapsed="false">
      <c r="A1757" s="1" t="n">
        <v>2760</v>
      </c>
      <c r="B1757" s="29" t="s">
        <v>61</v>
      </c>
      <c r="C1757" s="62" t="n">
        <v>5.9</v>
      </c>
      <c r="D1757" s="29" t="s">
        <v>59</v>
      </c>
      <c r="E1757" s="29" t="s">
        <v>58</v>
      </c>
    </row>
    <row r="1758" customFormat="false" ht="14.25" hidden="false" customHeight="false" outlineLevel="0" collapsed="false">
      <c r="A1758" s="1" t="n">
        <v>2761</v>
      </c>
      <c r="B1758" s="29" t="s">
        <v>49</v>
      </c>
      <c r="C1758" s="62" t="n">
        <v>13.8</v>
      </c>
      <c r="D1758" s="29" t="s">
        <v>59</v>
      </c>
      <c r="E1758" s="29" t="s">
        <v>58</v>
      </c>
    </row>
    <row r="1759" customFormat="false" ht="14.25" hidden="false" customHeight="false" outlineLevel="0" collapsed="false">
      <c r="A1759" s="1" t="n">
        <v>2762</v>
      </c>
      <c r="B1759" s="29" t="s">
        <v>49</v>
      </c>
      <c r="C1759" s="62" t="n">
        <v>5.9</v>
      </c>
      <c r="D1759" s="29" t="s">
        <v>62</v>
      </c>
      <c r="E1759" s="29" t="s">
        <v>53</v>
      </c>
    </row>
    <row r="1760" customFormat="false" ht="14.25" hidden="false" customHeight="false" outlineLevel="0" collapsed="false">
      <c r="A1760" s="1" t="n">
        <v>2763</v>
      </c>
      <c r="B1760" s="29" t="s">
        <v>49</v>
      </c>
      <c r="C1760" s="62" t="n">
        <v>5.8</v>
      </c>
      <c r="D1760" s="29" t="s">
        <v>50</v>
      </c>
      <c r="E1760" s="29" t="s">
        <v>58</v>
      </c>
    </row>
    <row r="1761" customFormat="false" ht="14.25" hidden="false" customHeight="false" outlineLevel="0" collapsed="false">
      <c r="A1761" s="1" t="n">
        <v>2764</v>
      </c>
      <c r="B1761" s="29" t="s">
        <v>49</v>
      </c>
      <c r="C1761" s="62" t="n">
        <v>1.1</v>
      </c>
      <c r="D1761" s="29" t="s">
        <v>71</v>
      </c>
      <c r="E1761" s="29" t="s">
        <v>57</v>
      </c>
    </row>
    <row r="1762" customFormat="false" ht="14.25" hidden="false" customHeight="false" outlineLevel="0" collapsed="false">
      <c r="A1762" s="1" t="n">
        <v>2765</v>
      </c>
      <c r="B1762" s="29" t="s">
        <v>49</v>
      </c>
      <c r="C1762" s="62" t="n">
        <v>1.3</v>
      </c>
      <c r="D1762" s="29" t="s">
        <v>71</v>
      </c>
      <c r="E1762" s="29" t="s">
        <v>57</v>
      </c>
    </row>
    <row r="1763" customFormat="false" ht="14.25" hidden="false" customHeight="false" outlineLevel="0" collapsed="false">
      <c r="A1763" s="1" t="n">
        <v>2766</v>
      </c>
      <c r="B1763" s="29" t="s">
        <v>49</v>
      </c>
      <c r="C1763" s="62" t="n">
        <v>1.3</v>
      </c>
      <c r="D1763" s="29" t="s">
        <v>71</v>
      </c>
      <c r="E1763" s="29" t="s">
        <v>57</v>
      </c>
    </row>
    <row r="1764" customFormat="false" ht="14.25" hidden="false" customHeight="false" outlineLevel="0" collapsed="false">
      <c r="A1764" s="1" t="n">
        <v>2767</v>
      </c>
      <c r="B1764" s="29" t="s">
        <v>61</v>
      </c>
      <c r="C1764" s="62" t="n">
        <v>10.1</v>
      </c>
      <c r="D1764" s="29" t="s">
        <v>71</v>
      </c>
      <c r="E1764" s="29" t="s">
        <v>58</v>
      </c>
    </row>
    <row r="1765" customFormat="false" ht="14.25" hidden="false" customHeight="false" outlineLevel="0" collapsed="false">
      <c r="A1765" s="1" t="n">
        <v>2768</v>
      </c>
      <c r="B1765" s="29" t="s">
        <v>49</v>
      </c>
      <c r="C1765" s="62" t="n">
        <v>1.3</v>
      </c>
      <c r="D1765" s="29" t="s">
        <v>59</v>
      </c>
      <c r="E1765" s="29" t="s">
        <v>53</v>
      </c>
    </row>
    <row r="1766" customFormat="false" ht="14.25" hidden="false" customHeight="false" outlineLevel="0" collapsed="false">
      <c r="A1766" s="1" t="n">
        <v>2769</v>
      </c>
      <c r="B1766" s="29" t="s">
        <v>49</v>
      </c>
      <c r="C1766" s="62" t="n">
        <v>8.7</v>
      </c>
      <c r="D1766" s="29" t="s">
        <v>59</v>
      </c>
      <c r="E1766" s="29" t="s">
        <v>58</v>
      </c>
    </row>
    <row r="1767" customFormat="false" ht="14.25" hidden="false" customHeight="false" outlineLevel="0" collapsed="false">
      <c r="A1767" s="1" t="n">
        <v>2770</v>
      </c>
      <c r="B1767" s="29" t="s">
        <v>49</v>
      </c>
      <c r="C1767" s="62" t="n">
        <v>1.5</v>
      </c>
      <c r="D1767" s="29" t="s">
        <v>59</v>
      </c>
      <c r="E1767" s="29" t="s">
        <v>58</v>
      </c>
    </row>
    <row r="1768" customFormat="false" ht="14.25" hidden="false" customHeight="false" outlineLevel="0" collapsed="false">
      <c r="A1768" s="1" t="n">
        <v>2771</v>
      </c>
      <c r="B1768" s="29" t="s">
        <v>49</v>
      </c>
      <c r="C1768" s="62" t="n">
        <v>3.5</v>
      </c>
      <c r="D1768" s="29" t="s">
        <v>59</v>
      </c>
      <c r="E1768" s="29" t="s">
        <v>53</v>
      </c>
    </row>
    <row r="1769" customFormat="false" ht="14.25" hidden="false" customHeight="false" outlineLevel="0" collapsed="false">
      <c r="A1769" s="1" t="n">
        <v>2772</v>
      </c>
      <c r="B1769" s="29" t="s">
        <v>49</v>
      </c>
      <c r="C1769" s="62" t="n">
        <v>0.5</v>
      </c>
      <c r="D1769" s="29" t="s">
        <v>67</v>
      </c>
      <c r="E1769" s="29" t="s">
        <v>58</v>
      </c>
    </row>
    <row r="1770" customFormat="false" ht="14.25" hidden="false" customHeight="false" outlineLevel="0" collapsed="false">
      <c r="A1770" s="1" t="n">
        <v>2773</v>
      </c>
      <c r="B1770" s="29" t="s">
        <v>49</v>
      </c>
      <c r="C1770" s="62" t="n">
        <v>9.6</v>
      </c>
      <c r="D1770" s="29" t="s">
        <v>56</v>
      </c>
      <c r="E1770" s="29" t="s">
        <v>58</v>
      </c>
    </row>
    <row r="1771" customFormat="false" ht="14.25" hidden="false" customHeight="false" outlineLevel="0" collapsed="false">
      <c r="A1771" s="1" t="n">
        <v>2774</v>
      </c>
      <c r="B1771" s="29" t="s">
        <v>49</v>
      </c>
      <c r="C1771" s="62" t="n">
        <v>21.4</v>
      </c>
      <c r="D1771" s="29" t="s">
        <v>59</v>
      </c>
      <c r="E1771" s="29" t="s">
        <v>58</v>
      </c>
    </row>
    <row r="1772" customFormat="false" ht="14.25" hidden="false" customHeight="false" outlineLevel="0" collapsed="false">
      <c r="A1772" s="1" t="n">
        <v>2775</v>
      </c>
      <c r="B1772" s="29" t="s">
        <v>49</v>
      </c>
      <c r="C1772" s="62" t="n">
        <v>3.2</v>
      </c>
      <c r="D1772" s="29" t="s">
        <v>59</v>
      </c>
      <c r="E1772" s="29" t="s">
        <v>58</v>
      </c>
    </row>
    <row r="1773" customFormat="false" ht="14.25" hidden="false" customHeight="false" outlineLevel="0" collapsed="false">
      <c r="A1773" s="1" t="n">
        <v>2776</v>
      </c>
      <c r="B1773" s="29" t="s">
        <v>61</v>
      </c>
      <c r="C1773" s="62" t="n">
        <v>6.4</v>
      </c>
      <c r="D1773" s="29" t="s">
        <v>56</v>
      </c>
      <c r="E1773" s="29" t="s">
        <v>58</v>
      </c>
    </row>
    <row r="1774" customFormat="false" ht="14.25" hidden="false" customHeight="false" outlineLevel="0" collapsed="false">
      <c r="A1774" s="1" t="n">
        <v>2777</v>
      </c>
      <c r="B1774" s="29" t="s">
        <v>49</v>
      </c>
      <c r="C1774" s="62" t="n">
        <v>6.2</v>
      </c>
      <c r="D1774" s="29" t="s">
        <v>56</v>
      </c>
      <c r="E1774" s="29" t="s">
        <v>51</v>
      </c>
    </row>
    <row r="1775" customFormat="false" ht="14.25" hidden="false" customHeight="false" outlineLevel="0" collapsed="false">
      <c r="A1775" s="1" t="n">
        <v>2778</v>
      </c>
      <c r="B1775" s="29" t="s">
        <v>49</v>
      </c>
      <c r="C1775" s="62" t="n">
        <v>4.3</v>
      </c>
      <c r="D1775" s="29" t="s">
        <v>60</v>
      </c>
      <c r="E1775" s="29" t="s">
        <v>58</v>
      </c>
    </row>
    <row r="1776" customFormat="false" ht="14.25" hidden="false" customHeight="false" outlineLevel="0" collapsed="false">
      <c r="A1776" s="1" t="n">
        <v>2779</v>
      </c>
      <c r="B1776" s="29" t="s">
        <v>49</v>
      </c>
      <c r="C1776" s="62" t="n">
        <v>4.9</v>
      </c>
      <c r="D1776" s="29" t="s">
        <v>50</v>
      </c>
      <c r="E1776" s="29" t="s">
        <v>58</v>
      </c>
    </row>
    <row r="1777" customFormat="false" ht="14.25" hidden="false" customHeight="false" outlineLevel="0" collapsed="false">
      <c r="A1777" s="1" t="n">
        <v>2780</v>
      </c>
      <c r="B1777" s="29" t="s">
        <v>49</v>
      </c>
      <c r="C1777" s="62" t="n">
        <v>1.3</v>
      </c>
      <c r="D1777" s="29" t="s">
        <v>50</v>
      </c>
      <c r="E1777" s="29" t="s">
        <v>57</v>
      </c>
    </row>
    <row r="1778" customFormat="false" ht="14.25" hidden="false" customHeight="false" outlineLevel="0" collapsed="false">
      <c r="A1778" s="1" t="n">
        <v>2781</v>
      </c>
      <c r="B1778" s="29" t="s">
        <v>49</v>
      </c>
      <c r="C1778" s="62" t="n">
        <v>0.5</v>
      </c>
      <c r="D1778" s="29" t="s">
        <v>50</v>
      </c>
      <c r="E1778" s="29" t="s">
        <v>58</v>
      </c>
    </row>
    <row r="1779" customFormat="false" ht="14.25" hidden="false" customHeight="false" outlineLevel="0" collapsed="false">
      <c r="A1779" s="1" t="n">
        <v>2782</v>
      </c>
      <c r="B1779" s="29" t="s">
        <v>61</v>
      </c>
      <c r="C1779" s="62" t="n">
        <v>10.5</v>
      </c>
      <c r="D1779" s="29" t="s">
        <v>59</v>
      </c>
      <c r="E1779" s="29" t="s">
        <v>58</v>
      </c>
    </row>
    <row r="1780" customFormat="false" ht="14.25" hidden="false" customHeight="false" outlineLevel="0" collapsed="false">
      <c r="A1780" s="1" t="n">
        <v>2783</v>
      </c>
      <c r="B1780" s="29" t="s">
        <v>49</v>
      </c>
      <c r="C1780" s="62" t="n">
        <v>9</v>
      </c>
      <c r="D1780" s="29" t="s">
        <v>59</v>
      </c>
      <c r="E1780" s="29" t="s">
        <v>58</v>
      </c>
    </row>
    <row r="1781" customFormat="false" ht="14.25" hidden="false" customHeight="false" outlineLevel="0" collapsed="false">
      <c r="A1781" s="1" t="n">
        <v>2784</v>
      </c>
      <c r="B1781" s="29" t="s">
        <v>49</v>
      </c>
      <c r="C1781" s="62" t="n">
        <v>21.4</v>
      </c>
      <c r="D1781" s="29" t="s">
        <v>59</v>
      </c>
      <c r="E1781" s="29" t="s">
        <v>58</v>
      </c>
    </row>
    <row r="1782" customFormat="false" ht="14.25" hidden="false" customHeight="false" outlineLevel="0" collapsed="false">
      <c r="A1782" s="1" t="n">
        <v>2785</v>
      </c>
      <c r="B1782" s="29" t="s">
        <v>49</v>
      </c>
      <c r="C1782" s="62" t="n">
        <v>5.4</v>
      </c>
      <c r="D1782" s="29" t="s">
        <v>59</v>
      </c>
      <c r="E1782" s="29" t="s">
        <v>58</v>
      </c>
    </row>
    <row r="1783" customFormat="false" ht="14.25" hidden="false" customHeight="false" outlineLevel="0" collapsed="false">
      <c r="A1783" s="1" t="n">
        <v>2786</v>
      </c>
      <c r="B1783" s="29" t="s">
        <v>49</v>
      </c>
      <c r="C1783" s="62" t="n">
        <v>1.6</v>
      </c>
      <c r="D1783" s="29" t="s">
        <v>59</v>
      </c>
      <c r="E1783" s="29" t="s">
        <v>58</v>
      </c>
    </row>
    <row r="1784" customFormat="false" ht="14.25" hidden="false" customHeight="false" outlineLevel="0" collapsed="false">
      <c r="A1784" s="1" t="n">
        <v>2787</v>
      </c>
      <c r="B1784" s="29" t="s">
        <v>49</v>
      </c>
      <c r="C1784" s="62" t="n">
        <v>6.2</v>
      </c>
      <c r="D1784" s="29" t="s">
        <v>50</v>
      </c>
      <c r="E1784" s="29" t="s">
        <v>58</v>
      </c>
    </row>
    <row r="1785" customFormat="false" ht="14.25" hidden="false" customHeight="false" outlineLevel="0" collapsed="false">
      <c r="A1785" s="1" t="n">
        <v>2788</v>
      </c>
      <c r="B1785" s="29" t="s">
        <v>49</v>
      </c>
      <c r="C1785" s="62" t="n">
        <v>7.7</v>
      </c>
      <c r="D1785" s="29" t="s">
        <v>56</v>
      </c>
      <c r="E1785" s="29" t="s">
        <v>58</v>
      </c>
    </row>
    <row r="1786" customFormat="false" ht="14.25" hidden="false" customHeight="false" outlineLevel="0" collapsed="false">
      <c r="A1786" s="1" t="n">
        <v>2789</v>
      </c>
      <c r="B1786" s="29" t="s">
        <v>49</v>
      </c>
      <c r="C1786" s="62" t="n">
        <v>21.4</v>
      </c>
      <c r="D1786" s="29" t="s">
        <v>52</v>
      </c>
      <c r="E1786" s="29" t="s">
        <v>58</v>
      </c>
    </row>
    <row r="1787" customFormat="false" ht="14.25" hidden="false" customHeight="false" outlineLevel="0" collapsed="false">
      <c r="A1787" s="1" t="n">
        <v>2790</v>
      </c>
      <c r="B1787" s="29" t="s">
        <v>54</v>
      </c>
      <c r="C1787" s="62" t="n">
        <v>139.1</v>
      </c>
      <c r="D1787" s="29" t="s">
        <v>62</v>
      </c>
      <c r="E1787" s="29" t="s">
        <v>66</v>
      </c>
    </row>
    <row r="1788" customFormat="false" ht="14.25" hidden="false" customHeight="false" outlineLevel="0" collapsed="false">
      <c r="A1788" s="1" t="n">
        <v>2791</v>
      </c>
      <c r="B1788" s="29" t="s">
        <v>49</v>
      </c>
      <c r="C1788" s="62" t="n">
        <v>18.7</v>
      </c>
      <c r="D1788" s="29" t="s">
        <v>62</v>
      </c>
      <c r="E1788" s="29" t="s">
        <v>58</v>
      </c>
    </row>
    <row r="1789" customFormat="false" ht="14.25" hidden="false" customHeight="false" outlineLevel="0" collapsed="false">
      <c r="A1789" s="1" t="n">
        <v>2792</v>
      </c>
      <c r="B1789" s="29" t="s">
        <v>54</v>
      </c>
      <c r="C1789" s="62" t="n">
        <v>38.6</v>
      </c>
      <c r="D1789" s="29" t="s">
        <v>50</v>
      </c>
      <c r="E1789" s="29" t="s">
        <v>55</v>
      </c>
    </row>
    <row r="1790" customFormat="false" ht="14.25" hidden="false" customHeight="false" outlineLevel="0" collapsed="false">
      <c r="A1790" s="1" t="n">
        <v>2793</v>
      </c>
      <c r="B1790" s="29" t="s">
        <v>61</v>
      </c>
      <c r="C1790" s="62" t="n">
        <v>1.1</v>
      </c>
      <c r="D1790" s="29" t="s">
        <v>50</v>
      </c>
      <c r="E1790" s="29" t="s">
        <v>58</v>
      </c>
    </row>
    <row r="1791" customFormat="false" ht="14.25" hidden="false" customHeight="false" outlineLevel="0" collapsed="false">
      <c r="A1791" s="1" t="n">
        <v>2794</v>
      </c>
      <c r="B1791" s="29" t="s">
        <v>49</v>
      </c>
      <c r="C1791" s="62" t="n">
        <v>2.1</v>
      </c>
      <c r="D1791" s="29" t="s">
        <v>56</v>
      </c>
      <c r="E1791" s="29" t="s">
        <v>53</v>
      </c>
    </row>
    <row r="1792" customFormat="false" ht="14.25" hidden="false" customHeight="false" outlineLevel="0" collapsed="false">
      <c r="A1792" s="1" t="n">
        <v>2795</v>
      </c>
      <c r="B1792" s="29" t="s">
        <v>54</v>
      </c>
      <c r="C1792" s="62" t="n">
        <v>24.8</v>
      </c>
      <c r="D1792" s="29" t="s">
        <v>71</v>
      </c>
      <c r="E1792" s="29" t="s">
        <v>66</v>
      </c>
    </row>
    <row r="1793" customFormat="false" ht="14.25" hidden="false" customHeight="false" outlineLevel="0" collapsed="false">
      <c r="A1793" s="1" t="n">
        <v>2796</v>
      </c>
      <c r="B1793" s="29" t="s">
        <v>54</v>
      </c>
      <c r="C1793" s="62" t="n">
        <v>15.2</v>
      </c>
      <c r="D1793" s="29" t="s">
        <v>50</v>
      </c>
      <c r="E1793" s="29" t="s">
        <v>66</v>
      </c>
    </row>
    <row r="1794" customFormat="false" ht="14.25" hidden="false" customHeight="false" outlineLevel="0" collapsed="false">
      <c r="A1794" s="1" t="n">
        <v>2797</v>
      </c>
      <c r="B1794" s="29" t="s">
        <v>54</v>
      </c>
      <c r="C1794" s="62" t="n">
        <v>17.1</v>
      </c>
      <c r="D1794" s="29" t="s">
        <v>50</v>
      </c>
      <c r="E1794" s="29" t="s">
        <v>55</v>
      </c>
    </row>
    <row r="1795" customFormat="false" ht="14.25" hidden="false" customHeight="false" outlineLevel="0" collapsed="false">
      <c r="A1795" s="1" t="n">
        <v>2798</v>
      </c>
      <c r="B1795" s="29" t="s">
        <v>61</v>
      </c>
      <c r="C1795" s="62" t="n">
        <v>4.3</v>
      </c>
      <c r="D1795" s="29" t="s">
        <v>62</v>
      </c>
      <c r="E1795" s="29" t="s">
        <v>58</v>
      </c>
    </row>
    <row r="1796" customFormat="false" ht="14.25" hidden="false" customHeight="false" outlineLevel="0" collapsed="false">
      <c r="A1796" s="1" t="n">
        <v>2799</v>
      </c>
      <c r="B1796" s="29" t="s">
        <v>49</v>
      </c>
      <c r="C1796" s="62" t="n">
        <v>15.5</v>
      </c>
      <c r="D1796" s="29" t="s">
        <v>52</v>
      </c>
      <c r="E1796" s="29" t="s">
        <v>58</v>
      </c>
    </row>
    <row r="1797" customFormat="false" ht="14.25" hidden="false" customHeight="false" outlineLevel="0" collapsed="false">
      <c r="A1797" s="1" t="n">
        <v>2800</v>
      </c>
      <c r="B1797" s="29" t="s">
        <v>49</v>
      </c>
      <c r="C1797" s="62" t="n">
        <v>2.1</v>
      </c>
      <c r="D1797" s="29" t="s">
        <v>56</v>
      </c>
      <c r="E1797" s="29" t="s">
        <v>53</v>
      </c>
    </row>
    <row r="1798" customFormat="false" ht="14.25" hidden="false" customHeight="false" outlineLevel="0" collapsed="false">
      <c r="A1798" s="1" t="n">
        <v>2801</v>
      </c>
      <c r="B1798" s="29" t="s">
        <v>49</v>
      </c>
      <c r="C1798" s="62" t="n">
        <v>2.7</v>
      </c>
      <c r="D1798" s="29" t="s">
        <v>59</v>
      </c>
      <c r="E1798" s="29" t="s">
        <v>57</v>
      </c>
    </row>
    <row r="1799" customFormat="false" ht="14.25" hidden="false" customHeight="false" outlineLevel="0" collapsed="false">
      <c r="A1799" s="1" t="n">
        <v>2802</v>
      </c>
      <c r="B1799" s="29" t="s">
        <v>54</v>
      </c>
      <c r="C1799" s="62" t="n">
        <v>19.1</v>
      </c>
      <c r="D1799" s="29" t="s">
        <v>50</v>
      </c>
      <c r="E1799" s="29" t="s">
        <v>66</v>
      </c>
    </row>
    <row r="1800" customFormat="false" ht="14.25" hidden="false" customHeight="false" outlineLevel="0" collapsed="false">
      <c r="A1800" s="1" t="n">
        <v>2803</v>
      </c>
      <c r="B1800" s="29" t="s">
        <v>49</v>
      </c>
      <c r="C1800" s="62" t="n">
        <v>5.9</v>
      </c>
      <c r="D1800" s="29" t="s">
        <v>60</v>
      </c>
      <c r="E1800" s="29" t="s">
        <v>58</v>
      </c>
    </row>
    <row r="1801" customFormat="false" ht="14.25" hidden="false" customHeight="false" outlineLevel="0" collapsed="false">
      <c r="A1801" s="1" t="n">
        <v>2804</v>
      </c>
      <c r="B1801" s="29" t="s">
        <v>49</v>
      </c>
      <c r="C1801" s="62" t="n">
        <v>6.2</v>
      </c>
      <c r="D1801" s="29" t="s">
        <v>60</v>
      </c>
      <c r="E1801" s="29" t="s">
        <v>57</v>
      </c>
    </row>
    <row r="1802" customFormat="false" ht="14.25" hidden="false" customHeight="false" outlineLevel="0" collapsed="false">
      <c r="A1802" s="1" t="n">
        <v>2805</v>
      </c>
      <c r="B1802" s="29" t="s">
        <v>49</v>
      </c>
      <c r="C1802" s="62" t="n">
        <v>5.3</v>
      </c>
      <c r="D1802" s="29" t="s">
        <v>60</v>
      </c>
      <c r="E1802" s="29" t="s">
        <v>58</v>
      </c>
    </row>
    <row r="1803" customFormat="false" ht="14.25" hidden="false" customHeight="false" outlineLevel="0" collapsed="false">
      <c r="A1803" s="1" t="n">
        <v>2806</v>
      </c>
      <c r="B1803" s="29" t="s">
        <v>49</v>
      </c>
      <c r="C1803" s="62" t="n">
        <v>1.6</v>
      </c>
      <c r="D1803" s="29" t="s">
        <v>59</v>
      </c>
      <c r="E1803" s="29" t="s">
        <v>58</v>
      </c>
    </row>
    <row r="1804" customFormat="false" ht="14.25" hidden="false" customHeight="false" outlineLevel="0" collapsed="false">
      <c r="A1804" s="1" t="n">
        <v>2807</v>
      </c>
      <c r="B1804" s="29" t="s">
        <v>49</v>
      </c>
      <c r="C1804" s="62" t="n">
        <v>9.6</v>
      </c>
      <c r="D1804" s="29" t="s">
        <v>71</v>
      </c>
      <c r="E1804" s="29" t="s">
        <v>53</v>
      </c>
    </row>
    <row r="1805" customFormat="false" ht="14.25" hidden="false" customHeight="false" outlineLevel="0" collapsed="false">
      <c r="A1805" s="1" t="n">
        <v>2808</v>
      </c>
      <c r="B1805" s="29" t="s">
        <v>49</v>
      </c>
      <c r="C1805" s="62" t="n">
        <v>3.1</v>
      </c>
      <c r="D1805" s="29" t="s">
        <v>71</v>
      </c>
      <c r="E1805" s="29" t="s">
        <v>53</v>
      </c>
    </row>
    <row r="1806" customFormat="false" ht="14.25" hidden="false" customHeight="false" outlineLevel="0" collapsed="false">
      <c r="A1806" s="1" t="n">
        <v>2809</v>
      </c>
      <c r="B1806" s="29" t="s">
        <v>49</v>
      </c>
      <c r="C1806" s="62" t="n">
        <v>1</v>
      </c>
      <c r="D1806" s="29" t="s">
        <v>60</v>
      </c>
      <c r="E1806" s="29" t="s">
        <v>57</v>
      </c>
    </row>
    <row r="1807" customFormat="false" ht="14.25" hidden="false" customHeight="false" outlineLevel="0" collapsed="false">
      <c r="A1807" s="1" t="n">
        <v>2810</v>
      </c>
      <c r="B1807" s="29" t="s">
        <v>49</v>
      </c>
      <c r="C1807" s="62" t="n">
        <v>6.5</v>
      </c>
      <c r="D1807" s="29" t="s">
        <v>67</v>
      </c>
      <c r="E1807" s="29" t="s">
        <v>58</v>
      </c>
    </row>
    <row r="1808" customFormat="false" ht="14.25" hidden="false" customHeight="false" outlineLevel="0" collapsed="false">
      <c r="A1808" s="1" t="n">
        <v>2811</v>
      </c>
      <c r="B1808" s="29" t="s">
        <v>49</v>
      </c>
      <c r="C1808" s="62" t="n">
        <v>7.4</v>
      </c>
      <c r="D1808" s="29" t="s">
        <v>60</v>
      </c>
      <c r="E1808" s="29" t="s">
        <v>58</v>
      </c>
    </row>
    <row r="1809" customFormat="false" ht="14.25" hidden="false" customHeight="false" outlineLevel="0" collapsed="false">
      <c r="A1809" s="1" t="n">
        <v>2812</v>
      </c>
      <c r="B1809" s="29" t="s">
        <v>54</v>
      </c>
      <c r="C1809" s="62" t="n">
        <v>28.7</v>
      </c>
      <c r="D1809" s="29" t="s">
        <v>60</v>
      </c>
      <c r="E1809" s="29" t="s">
        <v>55</v>
      </c>
    </row>
    <row r="1810" customFormat="false" ht="14.25" hidden="false" customHeight="false" outlineLevel="0" collapsed="false">
      <c r="A1810" s="1" t="n">
        <v>2813</v>
      </c>
      <c r="B1810" s="29" t="s">
        <v>49</v>
      </c>
      <c r="C1810" s="62" t="n">
        <v>5.6</v>
      </c>
      <c r="D1810" s="29" t="s">
        <v>60</v>
      </c>
      <c r="E1810" s="29" t="s">
        <v>58</v>
      </c>
    </row>
    <row r="1811" customFormat="false" ht="14.25" hidden="false" customHeight="false" outlineLevel="0" collapsed="false">
      <c r="A1811" s="1" t="n">
        <v>2814</v>
      </c>
      <c r="B1811" s="29" t="s">
        <v>49</v>
      </c>
      <c r="C1811" s="62" t="n">
        <v>18.1</v>
      </c>
      <c r="D1811" s="29" t="s">
        <v>50</v>
      </c>
      <c r="E1811" s="29" t="s">
        <v>58</v>
      </c>
    </row>
    <row r="1812" customFormat="false" ht="14.25" hidden="false" customHeight="false" outlineLevel="0" collapsed="false">
      <c r="A1812" s="1" t="n">
        <v>2815</v>
      </c>
      <c r="B1812" s="29" t="s">
        <v>49</v>
      </c>
      <c r="C1812" s="62" t="n">
        <v>0.5</v>
      </c>
      <c r="D1812" s="29" t="s">
        <v>62</v>
      </c>
      <c r="E1812" s="29" t="s">
        <v>58</v>
      </c>
    </row>
    <row r="1813" customFormat="false" ht="14.25" hidden="false" customHeight="false" outlineLevel="0" collapsed="false">
      <c r="A1813" s="1" t="n">
        <v>2816</v>
      </c>
      <c r="B1813" s="29" t="s">
        <v>49</v>
      </c>
      <c r="C1813" s="62" t="n">
        <v>14.9</v>
      </c>
      <c r="D1813" s="29" t="s">
        <v>62</v>
      </c>
      <c r="E1813" s="29" t="s">
        <v>57</v>
      </c>
    </row>
    <row r="1814" customFormat="false" ht="14.25" hidden="false" customHeight="false" outlineLevel="0" collapsed="false">
      <c r="A1814" s="1" t="n">
        <v>2817</v>
      </c>
      <c r="B1814" s="29" t="s">
        <v>49</v>
      </c>
      <c r="C1814" s="62" t="n">
        <v>3.3</v>
      </c>
      <c r="D1814" s="29" t="s">
        <v>59</v>
      </c>
      <c r="E1814" s="29" t="s">
        <v>57</v>
      </c>
    </row>
    <row r="1815" customFormat="false" ht="14.25" hidden="false" customHeight="false" outlineLevel="0" collapsed="false">
      <c r="A1815" s="1" t="n">
        <v>2818</v>
      </c>
      <c r="B1815" s="29" t="s">
        <v>49</v>
      </c>
      <c r="C1815" s="62" t="n">
        <v>6.7</v>
      </c>
      <c r="D1815" s="29" t="s">
        <v>59</v>
      </c>
      <c r="E1815" s="29" t="s">
        <v>51</v>
      </c>
    </row>
    <row r="1816" customFormat="false" ht="14.25" hidden="false" customHeight="false" outlineLevel="0" collapsed="false">
      <c r="A1816" s="1" t="n">
        <v>2819</v>
      </c>
      <c r="B1816" s="29" t="s">
        <v>49</v>
      </c>
      <c r="C1816" s="62" t="n">
        <v>5.8</v>
      </c>
      <c r="D1816" s="29" t="s">
        <v>59</v>
      </c>
      <c r="E1816" s="29" t="s">
        <v>58</v>
      </c>
    </row>
    <row r="1817" customFormat="false" ht="14.25" hidden="false" customHeight="false" outlineLevel="0" collapsed="false">
      <c r="A1817" s="1" t="n">
        <v>2820</v>
      </c>
      <c r="B1817" s="29" t="s">
        <v>49</v>
      </c>
      <c r="C1817" s="62" t="n">
        <v>1.1</v>
      </c>
      <c r="D1817" s="29" t="s">
        <v>56</v>
      </c>
      <c r="E1817" s="29" t="s">
        <v>57</v>
      </c>
    </row>
    <row r="1818" customFormat="false" ht="14.25" hidden="false" customHeight="false" outlineLevel="0" collapsed="false">
      <c r="A1818" s="1" t="n">
        <v>2821</v>
      </c>
      <c r="B1818" s="29" t="s">
        <v>49</v>
      </c>
      <c r="C1818" s="62" t="n">
        <v>6.9</v>
      </c>
      <c r="D1818" s="29" t="s">
        <v>56</v>
      </c>
      <c r="E1818" s="29" t="s">
        <v>58</v>
      </c>
    </row>
    <row r="1819" customFormat="false" ht="14.25" hidden="false" customHeight="false" outlineLevel="0" collapsed="false">
      <c r="A1819" s="1" t="n">
        <v>2822</v>
      </c>
      <c r="B1819" s="29" t="s">
        <v>49</v>
      </c>
      <c r="C1819" s="62" t="n">
        <v>5.9</v>
      </c>
      <c r="D1819" s="29" t="s">
        <v>60</v>
      </c>
      <c r="E1819" s="29" t="s">
        <v>53</v>
      </c>
    </row>
    <row r="1820" customFormat="false" ht="14.25" hidden="false" customHeight="false" outlineLevel="0" collapsed="false">
      <c r="A1820" s="1" t="n">
        <v>2823</v>
      </c>
      <c r="B1820" s="29" t="s">
        <v>49</v>
      </c>
      <c r="C1820" s="62" t="n">
        <v>0.5</v>
      </c>
      <c r="D1820" s="29" t="s">
        <v>60</v>
      </c>
      <c r="E1820" s="29" t="s">
        <v>58</v>
      </c>
    </row>
    <row r="1821" customFormat="false" ht="14.25" hidden="false" customHeight="false" outlineLevel="0" collapsed="false">
      <c r="A1821" s="1" t="n">
        <v>2824</v>
      </c>
      <c r="B1821" s="29" t="s">
        <v>49</v>
      </c>
      <c r="C1821" s="62" t="n">
        <v>2.7</v>
      </c>
      <c r="D1821" s="29" t="s">
        <v>62</v>
      </c>
      <c r="E1821" s="29" t="s">
        <v>58</v>
      </c>
    </row>
    <row r="1822" customFormat="false" ht="14.25" hidden="false" customHeight="false" outlineLevel="0" collapsed="false">
      <c r="A1822" s="1" t="n">
        <v>2825</v>
      </c>
      <c r="B1822" s="29" t="s">
        <v>61</v>
      </c>
      <c r="C1822" s="62" t="n">
        <v>4.8</v>
      </c>
      <c r="D1822" s="29" t="s">
        <v>62</v>
      </c>
      <c r="E1822" s="29" t="s">
        <v>58</v>
      </c>
    </row>
    <row r="1823" customFormat="false" ht="14.25" hidden="false" customHeight="false" outlineLevel="0" collapsed="false">
      <c r="A1823" s="1" t="n">
        <v>2826</v>
      </c>
      <c r="B1823" s="29" t="s">
        <v>54</v>
      </c>
      <c r="C1823" s="62" t="n">
        <v>15.4</v>
      </c>
      <c r="D1823" s="29" t="s">
        <v>67</v>
      </c>
      <c r="E1823" s="29" t="s">
        <v>66</v>
      </c>
    </row>
    <row r="1824" customFormat="false" ht="14.25" hidden="false" customHeight="false" outlineLevel="0" collapsed="false">
      <c r="A1824" s="1" t="n">
        <v>2827</v>
      </c>
      <c r="B1824" s="29" t="s">
        <v>49</v>
      </c>
      <c r="C1824" s="62" t="n">
        <v>2.1</v>
      </c>
      <c r="D1824" s="29" t="s">
        <v>60</v>
      </c>
      <c r="E1824" s="29" t="s">
        <v>53</v>
      </c>
    </row>
    <row r="1825" customFormat="false" ht="14.25" hidden="false" customHeight="false" outlineLevel="0" collapsed="false">
      <c r="A1825" s="1" t="n">
        <v>2828</v>
      </c>
      <c r="B1825" s="29" t="s">
        <v>49</v>
      </c>
      <c r="C1825" s="62" t="n">
        <v>2.7</v>
      </c>
      <c r="D1825" s="29" t="s">
        <v>60</v>
      </c>
      <c r="E1825" s="29" t="s">
        <v>53</v>
      </c>
    </row>
    <row r="1826" customFormat="false" ht="14.25" hidden="false" customHeight="false" outlineLevel="0" collapsed="false">
      <c r="A1826" s="1" t="n">
        <v>2829</v>
      </c>
      <c r="B1826" s="29" t="s">
        <v>49</v>
      </c>
      <c r="C1826" s="62" t="n">
        <v>9.6</v>
      </c>
      <c r="D1826" s="29" t="s">
        <v>59</v>
      </c>
      <c r="E1826" s="29" t="s">
        <v>58</v>
      </c>
    </row>
    <row r="1827" customFormat="false" ht="14.25" hidden="false" customHeight="false" outlineLevel="0" collapsed="false">
      <c r="A1827" s="1" t="n">
        <v>2830</v>
      </c>
      <c r="B1827" s="29" t="s">
        <v>61</v>
      </c>
      <c r="C1827" s="62" t="n">
        <v>37.5</v>
      </c>
      <c r="D1827" s="29" t="s">
        <v>60</v>
      </c>
      <c r="E1827" s="29" t="s">
        <v>65</v>
      </c>
    </row>
    <row r="1828" customFormat="false" ht="14.25" hidden="false" customHeight="false" outlineLevel="0" collapsed="false">
      <c r="A1828" s="1" t="n">
        <v>2831</v>
      </c>
      <c r="B1828" s="29" t="s">
        <v>61</v>
      </c>
      <c r="C1828" s="62" t="n">
        <v>5.1</v>
      </c>
      <c r="D1828" s="29" t="s">
        <v>60</v>
      </c>
      <c r="E1828" s="29" t="s">
        <v>58</v>
      </c>
    </row>
    <row r="1829" customFormat="false" ht="14.25" hidden="false" customHeight="false" outlineLevel="0" collapsed="false">
      <c r="A1829" s="1" t="n">
        <v>2832</v>
      </c>
      <c r="B1829" s="29" t="s">
        <v>54</v>
      </c>
      <c r="C1829" s="62" t="n">
        <v>44.9</v>
      </c>
      <c r="D1829" s="29" t="s">
        <v>62</v>
      </c>
      <c r="E1829" s="29" t="s">
        <v>66</v>
      </c>
    </row>
    <row r="1830" customFormat="false" ht="14.25" hidden="false" customHeight="false" outlineLevel="0" collapsed="false">
      <c r="A1830" s="1" t="n">
        <v>2833</v>
      </c>
      <c r="B1830" s="29" t="s">
        <v>49</v>
      </c>
      <c r="C1830" s="62" t="n">
        <v>7.8</v>
      </c>
      <c r="D1830" s="29" t="s">
        <v>60</v>
      </c>
      <c r="E1830" s="29" t="s">
        <v>58</v>
      </c>
    </row>
    <row r="1831" customFormat="false" ht="14.25" hidden="false" customHeight="false" outlineLevel="0" collapsed="false">
      <c r="A1831" s="1" t="n">
        <v>2834</v>
      </c>
      <c r="B1831" s="29" t="s">
        <v>61</v>
      </c>
      <c r="C1831" s="62" t="n">
        <v>5.2</v>
      </c>
      <c r="D1831" s="29" t="s">
        <v>60</v>
      </c>
      <c r="E1831" s="29" t="s">
        <v>58</v>
      </c>
    </row>
    <row r="1832" customFormat="false" ht="14.25" hidden="false" customHeight="false" outlineLevel="0" collapsed="false">
      <c r="A1832" s="1" t="n">
        <v>2835</v>
      </c>
      <c r="B1832" s="29" t="s">
        <v>49</v>
      </c>
      <c r="C1832" s="62" t="n">
        <v>1.1</v>
      </c>
      <c r="D1832" s="29" t="s">
        <v>52</v>
      </c>
      <c r="E1832" s="29" t="s">
        <v>58</v>
      </c>
    </row>
    <row r="1833" customFormat="false" ht="14.25" hidden="false" customHeight="false" outlineLevel="0" collapsed="false">
      <c r="A1833" s="1" t="n">
        <v>2836</v>
      </c>
      <c r="B1833" s="29" t="s">
        <v>61</v>
      </c>
      <c r="C1833" s="62" t="n">
        <v>8.2</v>
      </c>
      <c r="D1833" s="29" t="s">
        <v>69</v>
      </c>
      <c r="E1833" s="29" t="s">
        <v>58</v>
      </c>
    </row>
    <row r="1834" customFormat="false" ht="14.25" hidden="false" customHeight="false" outlineLevel="0" collapsed="false">
      <c r="A1834" s="1" t="n">
        <v>2837</v>
      </c>
      <c r="B1834" s="29" t="s">
        <v>49</v>
      </c>
      <c r="C1834" s="62" t="n">
        <v>10.1</v>
      </c>
      <c r="D1834" s="29" t="s">
        <v>67</v>
      </c>
      <c r="E1834" s="29" t="s">
        <v>58</v>
      </c>
    </row>
    <row r="1835" customFormat="false" ht="14.25" hidden="false" customHeight="false" outlineLevel="0" collapsed="false">
      <c r="A1835" s="1" t="n">
        <v>2838</v>
      </c>
      <c r="B1835" s="29" t="s">
        <v>61</v>
      </c>
      <c r="C1835" s="62" t="n">
        <v>7.7</v>
      </c>
      <c r="D1835" s="29" t="s">
        <v>60</v>
      </c>
      <c r="E1835" s="29" t="s">
        <v>58</v>
      </c>
    </row>
    <row r="1836" customFormat="false" ht="14.25" hidden="false" customHeight="false" outlineLevel="0" collapsed="false">
      <c r="A1836" s="1" t="n">
        <v>2839</v>
      </c>
      <c r="B1836" s="29" t="s">
        <v>61</v>
      </c>
      <c r="C1836" s="62" t="n">
        <v>8.2</v>
      </c>
      <c r="D1836" s="29" t="s">
        <v>60</v>
      </c>
      <c r="E1836" s="29" t="s">
        <v>58</v>
      </c>
    </row>
    <row r="1837" customFormat="false" ht="14.25" hidden="false" customHeight="false" outlineLevel="0" collapsed="false">
      <c r="A1837" s="1" t="n">
        <v>2840</v>
      </c>
      <c r="B1837" s="29" t="s">
        <v>61</v>
      </c>
      <c r="C1837" s="62" t="n">
        <v>6.4</v>
      </c>
      <c r="D1837" s="29" t="s">
        <v>63</v>
      </c>
      <c r="E1837" s="29" t="s">
        <v>51</v>
      </c>
    </row>
    <row r="1838" customFormat="false" ht="14.25" hidden="false" customHeight="false" outlineLevel="0" collapsed="false">
      <c r="A1838" s="1" t="n">
        <v>2841</v>
      </c>
      <c r="B1838" s="29" t="s">
        <v>49</v>
      </c>
      <c r="C1838" s="62" t="n">
        <v>1.3</v>
      </c>
      <c r="D1838" s="29" t="s">
        <v>60</v>
      </c>
      <c r="E1838" s="29" t="s">
        <v>53</v>
      </c>
    </row>
    <row r="1839" customFormat="false" ht="14.25" hidden="false" customHeight="false" outlineLevel="0" collapsed="false">
      <c r="A1839" s="1" t="n">
        <v>2842</v>
      </c>
      <c r="B1839" s="29" t="s">
        <v>49</v>
      </c>
      <c r="C1839" s="62" t="n">
        <v>4.7</v>
      </c>
      <c r="D1839" s="29" t="s">
        <v>67</v>
      </c>
      <c r="E1839" s="29" t="s">
        <v>53</v>
      </c>
    </row>
    <row r="1840" customFormat="false" ht="14.25" hidden="false" customHeight="false" outlineLevel="0" collapsed="false">
      <c r="A1840" s="1" t="n">
        <v>2843</v>
      </c>
      <c r="B1840" s="29" t="s">
        <v>49</v>
      </c>
      <c r="C1840" s="62" t="n">
        <v>1</v>
      </c>
      <c r="D1840" s="29" t="s">
        <v>52</v>
      </c>
      <c r="E1840" s="29" t="s">
        <v>57</v>
      </c>
    </row>
    <row r="1841" customFormat="false" ht="14.25" hidden="false" customHeight="false" outlineLevel="0" collapsed="false">
      <c r="A1841" s="1" t="n">
        <v>2844</v>
      </c>
      <c r="B1841" s="29" t="s">
        <v>49</v>
      </c>
      <c r="C1841" s="62" t="n">
        <v>13.5</v>
      </c>
      <c r="D1841" s="29" t="s">
        <v>52</v>
      </c>
      <c r="E1841" s="29" t="s">
        <v>51</v>
      </c>
    </row>
    <row r="1842" customFormat="false" ht="14.25" hidden="false" customHeight="false" outlineLevel="0" collapsed="false">
      <c r="A1842" s="1" t="n">
        <v>2845</v>
      </c>
      <c r="B1842" s="29" t="s">
        <v>49</v>
      </c>
      <c r="C1842" s="62" t="n">
        <v>5.9</v>
      </c>
      <c r="D1842" s="29" t="s">
        <v>62</v>
      </c>
      <c r="E1842" s="29" t="s">
        <v>58</v>
      </c>
    </row>
    <row r="1843" customFormat="false" ht="14.25" hidden="false" customHeight="false" outlineLevel="0" collapsed="false">
      <c r="A1843" s="1" t="n">
        <v>2846</v>
      </c>
      <c r="B1843" s="29" t="s">
        <v>61</v>
      </c>
      <c r="C1843" s="62" t="n">
        <v>5.4</v>
      </c>
      <c r="D1843" s="29" t="s">
        <v>52</v>
      </c>
      <c r="E1843" s="29" t="s">
        <v>58</v>
      </c>
    </row>
    <row r="1844" customFormat="false" ht="14.25" hidden="false" customHeight="false" outlineLevel="0" collapsed="false">
      <c r="A1844" s="1" t="n">
        <v>2847</v>
      </c>
      <c r="B1844" s="29" t="s">
        <v>49</v>
      </c>
      <c r="C1844" s="62" t="n">
        <v>1.1</v>
      </c>
      <c r="D1844" s="29" t="s">
        <v>52</v>
      </c>
      <c r="E1844" s="29" t="s">
        <v>58</v>
      </c>
    </row>
    <row r="1845" customFormat="false" ht="14.25" hidden="false" customHeight="false" outlineLevel="0" collapsed="false">
      <c r="A1845" s="1" t="n">
        <v>2848</v>
      </c>
      <c r="B1845" s="29" t="s">
        <v>49</v>
      </c>
      <c r="C1845" s="62" t="n">
        <v>4.3</v>
      </c>
      <c r="D1845" s="29" t="s">
        <v>52</v>
      </c>
      <c r="E1845" s="29" t="s">
        <v>58</v>
      </c>
    </row>
    <row r="1846" customFormat="false" ht="14.25" hidden="false" customHeight="false" outlineLevel="0" collapsed="false">
      <c r="A1846" s="1" t="n">
        <v>2849</v>
      </c>
      <c r="B1846" s="29" t="s">
        <v>61</v>
      </c>
      <c r="C1846" s="62" t="n">
        <v>3.2</v>
      </c>
      <c r="D1846" s="29" t="s">
        <v>71</v>
      </c>
      <c r="E1846" s="29" t="s">
        <v>58</v>
      </c>
    </row>
    <row r="1847" customFormat="false" ht="14.25" hidden="false" customHeight="false" outlineLevel="0" collapsed="false">
      <c r="A1847" s="1" t="n">
        <v>2850</v>
      </c>
      <c r="B1847" s="29" t="s">
        <v>49</v>
      </c>
      <c r="C1847" s="62" t="n">
        <v>1.1</v>
      </c>
      <c r="D1847" s="29" t="s">
        <v>60</v>
      </c>
      <c r="E1847" s="29" t="s">
        <v>53</v>
      </c>
    </row>
    <row r="1848" customFormat="false" ht="14.25" hidden="false" customHeight="false" outlineLevel="0" collapsed="false">
      <c r="A1848" s="1" t="n">
        <v>2851</v>
      </c>
      <c r="B1848" s="29" t="s">
        <v>54</v>
      </c>
      <c r="C1848" s="62" t="n">
        <v>75.1</v>
      </c>
      <c r="D1848" s="29" t="s">
        <v>62</v>
      </c>
      <c r="E1848" s="29" t="s">
        <v>66</v>
      </c>
    </row>
    <row r="1849" customFormat="false" ht="14.25" hidden="false" customHeight="false" outlineLevel="0" collapsed="false">
      <c r="A1849" s="1" t="n">
        <v>2852</v>
      </c>
      <c r="B1849" s="29" t="s">
        <v>49</v>
      </c>
      <c r="C1849" s="62" t="n">
        <v>5.1</v>
      </c>
      <c r="D1849" s="29" t="s">
        <v>62</v>
      </c>
      <c r="E1849" s="29" t="s">
        <v>51</v>
      </c>
    </row>
    <row r="1850" customFormat="false" ht="14.25" hidden="false" customHeight="false" outlineLevel="0" collapsed="false">
      <c r="A1850" s="1" t="n">
        <v>2853</v>
      </c>
      <c r="B1850" s="29" t="s">
        <v>54</v>
      </c>
      <c r="C1850" s="62" t="n">
        <v>48.2</v>
      </c>
      <c r="D1850" s="29" t="s">
        <v>59</v>
      </c>
      <c r="E1850" s="29" t="s">
        <v>66</v>
      </c>
    </row>
    <row r="1851" customFormat="false" ht="14.25" hidden="false" customHeight="false" outlineLevel="0" collapsed="false">
      <c r="A1851" s="1" t="n">
        <v>2854</v>
      </c>
      <c r="B1851" s="29" t="s">
        <v>61</v>
      </c>
      <c r="C1851" s="62" t="n">
        <v>10.8</v>
      </c>
      <c r="D1851" s="29" t="s">
        <v>69</v>
      </c>
      <c r="E1851" s="29" t="s">
        <v>65</v>
      </c>
    </row>
    <row r="1852" customFormat="false" ht="14.25" hidden="false" customHeight="false" outlineLevel="0" collapsed="false">
      <c r="A1852" s="1" t="n">
        <v>2855</v>
      </c>
      <c r="B1852" s="29" t="s">
        <v>54</v>
      </c>
      <c r="C1852" s="62" t="n">
        <v>70.9</v>
      </c>
      <c r="D1852" s="29" t="s">
        <v>50</v>
      </c>
      <c r="E1852" s="29" t="s">
        <v>55</v>
      </c>
    </row>
    <row r="1853" customFormat="false" ht="14.25" hidden="false" customHeight="false" outlineLevel="0" collapsed="false">
      <c r="A1853" s="1" t="n">
        <v>2856</v>
      </c>
      <c r="B1853" s="29" t="s">
        <v>54</v>
      </c>
      <c r="C1853" s="62" t="n">
        <v>28.4</v>
      </c>
      <c r="D1853" s="29" t="s">
        <v>62</v>
      </c>
      <c r="E1853" s="29" t="s">
        <v>66</v>
      </c>
    </row>
    <row r="1854" customFormat="false" ht="14.25" hidden="false" customHeight="false" outlineLevel="0" collapsed="false">
      <c r="A1854" s="1" t="n">
        <v>2857</v>
      </c>
      <c r="B1854" s="29" t="s">
        <v>49</v>
      </c>
      <c r="C1854" s="62" t="n">
        <v>1.3</v>
      </c>
      <c r="D1854" s="29" t="s">
        <v>56</v>
      </c>
      <c r="E1854" s="29" t="s">
        <v>53</v>
      </c>
    </row>
    <row r="1855" customFormat="false" ht="14.25" hidden="false" customHeight="false" outlineLevel="0" collapsed="false">
      <c r="A1855" s="1" t="n">
        <v>2858</v>
      </c>
      <c r="B1855" s="29" t="s">
        <v>49</v>
      </c>
      <c r="C1855" s="62" t="n">
        <v>10.4</v>
      </c>
      <c r="D1855" s="29" t="s">
        <v>56</v>
      </c>
      <c r="E1855" s="29" t="s">
        <v>58</v>
      </c>
    </row>
    <row r="1856" customFormat="false" ht="14.25" hidden="false" customHeight="false" outlineLevel="0" collapsed="false">
      <c r="A1856" s="1" t="n">
        <v>2859</v>
      </c>
      <c r="B1856" s="29" t="s">
        <v>49</v>
      </c>
      <c r="C1856" s="62" t="n">
        <v>15</v>
      </c>
      <c r="D1856" s="29" t="s">
        <v>52</v>
      </c>
      <c r="E1856" s="29" t="s">
        <v>51</v>
      </c>
    </row>
    <row r="1857" customFormat="false" ht="14.25" hidden="false" customHeight="false" outlineLevel="0" collapsed="false">
      <c r="A1857" s="1" t="n">
        <v>2860</v>
      </c>
      <c r="B1857" s="29" t="s">
        <v>54</v>
      </c>
      <c r="C1857" s="62" t="n">
        <v>64.2</v>
      </c>
      <c r="D1857" s="29" t="s">
        <v>52</v>
      </c>
      <c r="E1857" s="29" t="s">
        <v>66</v>
      </c>
    </row>
    <row r="1858" customFormat="false" ht="14.25" hidden="false" customHeight="false" outlineLevel="0" collapsed="false">
      <c r="A1858" s="1" t="n">
        <v>2861</v>
      </c>
      <c r="B1858" s="29" t="s">
        <v>49</v>
      </c>
      <c r="C1858" s="62" t="n">
        <v>5.6</v>
      </c>
      <c r="D1858" s="29" t="s">
        <v>59</v>
      </c>
      <c r="E1858" s="29" t="s">
        <v>58</v>
      </c>
    </row>
    <row r="1859" customFormat="false" ht="14.25" hidden="false" customHeight="false" outlineLevel="0" collapsed="false">
      <c r="A1859" s="1" t="n">
        <v>2862</v>
      </c>
      <c r="B1859" s="29" t="s">
        <v>49</v>
      </c>
      <c r="C1859" s="62" t="n">
        <v>1.7</v>
      </c>
      <c r="D1859" s="29" t="s">
        <v>56</v>
      </c>
      <c r="E1859" s="29" t="s">
        <v>57</v>
      </c>
    </row>
    <row r="1860" customFormat="false" ht="14.25" hidden="false" customHeight="false" outlineLevel="0" collapsed="false">
      <c r="A1860" s="1" t="n">
        <v>2863</v>
      </c>
      <c r="B1860" s="29" t="s">
        <v>49</v>
      </c>
      <c r="C1860" s="62" t="n">
        <v>9.6</v>
      </c>
      <c r="D1860" s="29" t="s">
        <v>56</v>
      </c>
      <c r="E1860" s="29" t="s">
        <v>53</v>
      </c>
    </row>
    <row r="1861" customFormat="false" ht="14.25" hidden="false" customHeight="false" outlineLevel="0" collapsed="false">
      <c r="A1861" s="1" t="n">
        <v>2864</v>
      </c>
      <c r="B1861" s="29" t="s">
        <v>54</v>
      </c>
      <c r="C1861" s="62" t="n">
        <v>32.1</v>
      </c>
      <c r="D1861" s="29" t="s">
        <v>56</v>
      </c>
      <c r="E1861" s="29" t="s">
        <v>66</v>
      </c>
    </row>
    <row r="1862" customFormat="false" ht="14.25" hidden="false" customHeight="false" outlineLevel="0" collapsed="false">
      <c r="A1862" s="1" t="n">
        <v>2865</v>
      </c>
      <c r="B1862" s="29" t="s">
        <v>61</v>
      </c>
      <c r="C1862" s="62" t="n">
        <v>6.1</v>
      </c>
      <c r="D1862" s="29" t="s">
        <v>60</v>
      </c>
      <c r="E1862" s="29" t="s">
        <v>51</v>
      </c>
    </row>
    <row r="1863" customFormat="false" ht="14.25" hidden="false" customHeight="false" outlineLevel="0" collapsed="false">
      <c r="A1863" s="1" t="n">
        <v>2866</v>
      </c>
      <c r="B1863" s="29" t="s">
        <v>49</v>
      </c>
      <c r="C1863" s="62" t="n">
        <v>8.6</v>
      </c>
      <c r="D1863" s="29" t="s">
        <v>62</v>
      </c>
      <c r="E1863" s="29" t="s">
        <v>58</v>
      </c>
    </row>
    <row r="1864" customFormat="false" ht="14.25" hidden="false" customHeight="false" outlineLevel="0" collapsed="false">
      <c r="A1864" s="1" t="n">
        <v>2867</v>
      </c>
      <c r="B1864" s="29" t="s">
        <v>49</v>
      </c>
      <c r="C1864" s="62" t="n">
        <v>3.9</v>
      </c>
      <c r="D1864" s="29" t="s">
        <v>62</v>
      </c>
      <c r="E1864" s="29" t="s">
        <v>53</v>
      </c>
    </row>
    <row r="1865" customFormat="false" ht="14.25" hidden="false" customHeight="false" outlineLevel="0" collapsed="false">
      <c r="A1865" s="1" t="n">
        <v>2868</v>
      </c>
      <c r="B1865" s="29" t="s">
        <v>49</v>
      </c>
      <c r="C1865" s="62" t="n">
        <v>10.8</v>
      </c>
      <c r="D1865" s="29" t="s">
        <v>52</v>
      </c>
      <c r="E1865" s="29" t="s">
        <v>58</v>
      </c>
    </row>
    <row r="1866" customFormat="false" ht="14.25" hidden="false" customHeight="false" outlineLevel="0" collapsed="false">
      <c r="A1866" s="1" t="n">
        <v>2869</v>
      </c>
      <c r="B1866" s="29" t="s">
        <v>61</v>
      </c>
      <c r="C1866" s="62" t="n">
        <v>7.5</v>
      </c>
      <c r="D1866" s="29" t="s">
        <v>52</v>
      </c>
      <c r="E1866" s="29" t="s">
        <v>58</v>
      </c>
    </row>
    <row r="1867" customFormat="false" ht="14.25" hidden="false" customHeight="false" outlineLevel="0" collapsed="false">
      <c r="A1867" s="1" t="n">
        <v>2870</v>
      </c>
      <c r="B1867" s="29" t="s">
        <v>49</v>
      </c>
      <c r="C1867" s="62" t="n">
        <v>8.6</v>
      </c>
      <c r="D1867" s="29" t="s">
        <v>50</v>
      </c>
      <c r="E1867" s="29" t="s">
        <v>58</v>
      </c>
    </row>
    <row r="1868" customFormat="false" ht="14.25" hidden="false" customHeight="false" outlineLevel="0" collapsed="false">
      <c r="A1868" s="1" t="n">
        <v>2871</v>
      </c>
      <c r="B1868" s="29" t="s">
        <v>49</v>
      </c>
      <c r="C1868" s="62" t="n">
        <v>4.8</v>
      </c>
      <c r="D1868" s="29" t="s">
        <v>50</v>
      </c>
      <c r="E1868" s="29" t="s">
        <v>58</v>
      </c>
    </row>
    <row r="1869" customFormat="false" ht="14.25" hidden="false" customHeight="false" outlineLevel="0" collapsed="false">
      <c r="A1869" s="1" t="n">
        <v>2872</v>
      </c>
      <c r="B1869" s="29" t="s">
        <v>49</v>
      </c>
      <c r="C1869" s="62" t="n">
        <v>9.6</v>
      </c>
      <c r="D1869" s="29" t="s">
        <v>50</v>
      </c>
      <c r="E1869" s="29" t="s">
        <v>58</v>
      </c>
    </row>
    <row r="1870" customFormat="false" ht="14.25" hidden="false" customHeight="false" outlineLevel="0" collapsed="false">
      <c r="A1870" s="1" t="n">
        <v>2873</v>
      </c>
      <c r="B1870" s="29" t="s">
        <v>49</v>
      </c>
      <c r="C1870" s="62" t="n">
        <v>2.2</v>
      </c>
      <c r="D1870" s="29" t="s">
        <v>50</v>
      </c>
      <c r="E1870" s="29" t="s">
        <v>57</v>
      </c>
    </row>
    <row r="1871" customFormat="false" ht="14.25" hidden="false" customHeight="false" outlineLevel="0" collapsed="false">
      <c r="A1871" s="1" t="n">
        <v>2874</v>
      </c>
      <c r="B1871" s="29" t="s">
        <v>49</v>
      </c>
      <c r="C1871" s="62" t="n">
        <v>21.4</v>
      </c>
      <c r="D1871" s="29" t="s">
        <v>52</v>
      </c>
      <c r="E1871" s="29" t="s">
        <v>58</v>
      </c>
    </row>
    <row r="1872" customFormat="false" ht="14.25" hidden="false" customHeight="false" outlineLevel="0" collapsed="false">
      <c r="A1872" s="1" t="n">
        <v>2875</v>
      </c>
      <c r="B1872" s="29" t="s">
        <v>61</v>
      </c>
      <c r="C1872" s="62" t="n">
        <v>0.5</v>
      </c>
      <c r="D1872" s="29" t="s">
        <v>52</v>
      </c>
      <c r="E1872" s="29" t="s">
        <v>58</v>
      </c>
    </row>
    <row r="1873" customFormat="false" ht="14.25" hidden="false" customHeight="false" outlineLevel="0" collapsed="false">
      <c r="A1873" s="1" t="n">
        <v>2876</v>
      </c>
      <c r="B1873" s="29" t="s">
        <v>49</v>
      </c>
      <c r="C1873" s="62" t="n">
        <v>13</v>
      </c>
      <c r="D1873" s="29" t="s">
        <v>56</v>
      </c>
      <c r="E1873" s="29" t="s">
        <v>58</v>
      </c>
    </row>
    <row r="1874" customFormat="false" ht="14.25" hidden="false" customHeight="false" outlineLevel="0" collapsed="false">
      <c r="A1874" s="1" t="n">
        <v>2877</v>
      </c>
      <c r="B1874" s="29" t="s">
        <v>49</v>
      </c>
      <c r="C1874" s="62" t="n">
        <v>3.2</v>
      </c>
      <c r="D1874" s="29" t="s">
        <v>56</v>
      </c>
      <c r="E1874" s="29" t="s">
        <v>58</v>
      </c>
    </row>
    <row r="1875" customFormat="false" ht="14.25" hidden="false" customHeight="false" outlineLevel="0" collapsed="false">
      <c r="A1875" s="1" t="n">
        <v>2878</v>
      </c>
      <c r="B1875" s="29" t="s">
        <v>54</v>
      </c>
      <c r="C1875" s="62" t="n">
        <v>39.2</v>
      </c>
      <c r="D1875" s="29" t="s">
        <v>67</v>
      </c>
      <c r="E1875" s="29" t="s">
        <v>55</v>
      </c>
    </row>
    <row r="1876" customFormat="false" ht="14.25" hidden="false" customHeight="false" outlineLevel="0" collapsed="false">
      <c r="A1876" s="1" t="n">
        <v>2879</v>
      </c>
      <c r="B1876" s="29" t="s">
        <v>61</v>
      </c>
      <c r="C1876" s="62" t="n">
        <v>0.5</v>
      </c>
      <c r="D1876" s="29" t="s">
        <v>67</v>
      </c>
      <c r="E1876" s="29" t="s">
        <v>58</v>
      </c>
    </row>
    <row r="1877" customFormat="false" ht="14.25" hidden="false" customHeight="false" outlineLevel="0" collapsed="false">
      <c r="A1877" s="1" t="n">
        <v>2880</v>
      </c>
      <c r="B1877" s="29" t="s">
        <v>61</v>
      </c>
      <c r="C1877" s="62" t="n">
        <v>5.4</v>
      </c>
      <c r="D1877" s="29" t="s">
        <v>50</v>
      </c>
      <c r="E1877" s="29" t="s">
        <v>53</v>
      </c>
    </row>
    <row r="1878" customFormat="false" ht="14.25" hidden="false" customHeight="false" outlineLevel="0" collapsed="false">
      <c r="A1878" s="1" t="n">
        <v>2881</v>
      </c>
      <c r="B1878" s="29" t="s">
        <v>49</v>
      </c>
      <c r="C1878" s="62" t="n">
        <v>6.2</v>
      </c>
      <c r="D1878" s="29" t="s">
        <v>59</v>
      </c>
      <c r="E1878" s="29" t="s">
        <v>58</v>
      </c>
    </row>
    <row r="1879" customFormat="false" ht="14.25" hidden="false" customHeight="false" outlineLevel="0" collapsed="false">
      <c r="A1879" s="1" t="n">
        <v>2882</v>
      </c>
      <c r="B1879" s="29" t="s">
        <v>49</v>
      </c>
      <c r="C1879" s="62" t="n">
        <v>9.6</v>
      </c>
      <c r="D1879" s="29" t="s">
        <v>50</v>
      </c>
      <c r="E1879" s="29" t="s">
        <v>58</v>
      </c>
    </row>
    <row r="1880" customFormat="false" ht="14.25" hidden="false" customHeight="false" outlineLevel="0" collapsed="false">
      <c r="A1880" s="1" t="n">
        <v>2883</v>
      </c>
      <c r="B1880" s="29" t="s">
        <v>54</v>
      </c>
      <c r="C1880" s="62" t="n">
        <v>39.2</v>
      </c>
      <c r="D1880" s="29" t="s">
        <v>50</v>
      </c>
      <c r="E1880" s="29" t="s">
        <v>55</v>
      </c>
    </row>
    <row r="1881" customFormat="false" ht="14.25" hidden="false" customHeight="false" outlineLevel="0" collapsed="false">
      <c r="A1881" s="1" t="n">
        <v>2884</v>
      </c>
      <c r="B1881" s="29" t="s">
        <v>54</v>
      </c>
      <c r="C1881" s="62" t="n">
        <v>57.9</v>
      </c>
      <c r="D1881" s="29" t="s">
        <v>63</v>
      </c>
      <c r="E1881" s="29" t="s">
        <v>55</v>
      </c>
    </row>
    <row r="1882" customFormat="false" ht="14.25" hidden="false" customHeight="false" outlineLevel="0" collapsed="false">
      <c r="A1882" s="1" t="n">
        <v>2885</v>
      </c>
      <c r="B1882" s="29" t="s">
        <v>54</v>
      </c>
      <c r="C1882" s="62" t="n">
        <v>56.7</v>
      </c>
      <c r="D1882" s="29" t="s">
        <v>59</v>
      </c>
      <c r="E1882" s="29" t="s">
        <v>66</v>
      </c>
    </row>
    <row r="1883" customFormat="false" ht="14.25" hidden="false" customHeight="false" outlineLevel="0" collapsed="false">
      <c r="A1883" s="1" t="n">
        <v>2886</v>
      </c>
      <c r="B1883" s="29" t="s">
        <v>49</v>
      </c>
      <c r="C1883" s="62" t="n">
        <v>5.2</v>
      </c>
      <c r="D1883" s="29" t="s">
        <v>59</v>
      </c>
      <c r="E1883" s="29" t="s">
        <v>58</v>
      </c>
    </row>
    <row r="1884" customFormat="false" ht="14.25" hidden="false" customHeight="false" outlineLevel="0" collapsed="false">
      <c r="A1884" s="1" t="n">
        <v>2887</v>
      </c>
      <c r="B1884" s="29" t="s">
        <v>54</v>
      </c>
      <c r="C1884" s="62" t="n">
        <v>66.1</v>
      </c>
      <c r="D1884" s="29" t="s">
        <v>59</v>
      </c>
      <c r="E1884" s="29" t="s">
        <v>55</v>
      </c>
    </row>
    <row r="1885" customFormat="false" ht="14.25" hidden="false" customHeight="false" outlineLevel="0" collapsed="false">
      <c r="A1885" s="1" t="n">
        <v>2888</v>
      </c>
      <c r="B1885" s="29" t="s">
        <v>49</v>
      </c>
      <c r="C1885" s="62" t="n">
        <v>5.8</v>
      </c>
      <c r="D1885" s="29" t="s">
        <v>56</v>
      </c>
      <c r="E1885" s="29" t="s">
        <v>58</v>
      </c>
    </row>
    <row r="1886" customFormat="false" ht="14.25" hidden="false" customHeight="false" outlineLevel="0" collapsed="false">
      <c r="A1886" s="1" t="n">
        <v>2889</v>
      </c>
      <c r="B1886" s="29" t="s">
        <v>49</v>
      </c>
      <c r="C1886" s="62" t="n">
        <v>6.1</v>
      </c>
      <c r="D1886" s="29" t="s">
        <v>56</v>
      </c>
      <c r="E1886" s="29" t="s">
        <v>58</v>
      </c>
    </row>
    <row r="1887" customFormat="false" ht="14.25" hidden="false" customHeight="false" outlineLevel="0" collapsed="false">
      <c r="A1887" s="1" t="n">
        <v>2890</v>
      </c>
      <c r="B1887" s="29" t="s">
        <v>49</v>
      </c>
      <c r="C1887" s="62" t="n">
        <v>13.4</v>
      </c>
      <c r="D1887" s="29" t="s">
        <v>68</v>
      </c>
      <c r="E1887" s="29" t="s">
        <v>58</v>
      </c>
    </row>
    <row r="1888" customFormat="false" ht="14.25" hidden="false" customHeight="false" outlineLevel="0" collapsed="false">
      <c r="A1888" s="1" t="n">
        <v>2891</v>
      </c>
      <c r="B1888" s="29" t="s">
        <v>49</v>
      </c>
      <c r="C1888" s="62" t="n">
        <v>7.7</v>
      </c>
      <c r="D1888" s="29" t="s">
        <v>63</v>
      </c>
      <c r="E1888" s="29" t="s">
        <v>58</v>
      </c>
    </row>
    <row r="1889" customFormat="false" ht="14.25" hidden="false" customHeight="false" outlineLevel="0" collapsed="false">
      <c r="A1889" s="1" t="n">
        <v>2892</v>
      </c>
      <c r="B1889" s="29" t="s">
        <v>61</v>
      </c>
      <c r="C1889" s="62" t="n">
        <v>9.6</v>
      </c>
      <c r="D1889" s="29" t="s">
        <v>52</v>
      </c>
      <c r="E1889" s="29" t="s">
        <v>53</v>
      </c>
    </row>
    <row r="1890" customFormat="false" ht="14.25" hidden="false" customHeight="false" outlineLevel="0" collapsed="false">
      <c r="A1890" s="1" t="n">
        <v>2893</v>
      </c>
      <c r="B1890" s="29" t="s">
        <v>49</v>
      </c>
      <c r="C1890" s="62" t="n">
        <v>0.7</v>
      </c>
      <c r="D1890" s="29" t="s">
        <v>67</v>
      </c>
      <c r="E1890" s="29" t="s">
        <v>57</v>
      </c>
    </row>
    <row r="1891" customFormat="false" ht="14.25" hidden="false" customHeight="false" outlineLevel="0" collapsed="false">
      <c r="A1891" s="1" t="n">
        <v>2894</v>
      </c>
      <c r="B1891" s="29" t="s">
        <v>54</v>
      </c>
      <c r="C1891" s="62" t="n">
        <v>15</v>
      </c>
      <c r="D1891" s="29" t="s">
        <v>60</v>
      </c>
      <c r="E1891" s="29" t="s">
        <v>66</v>
      </c>
    </row>
    <row r="1892" customFormat="false" ht="14.25" hidden="false" customHeight="false" outlineLevel="0" collapsed="false">
      <c r="A1892" s="1" t="n">
        <v>2895</v>
      </c>
      <c r="B1892" s="29" t="s">
        <v>49</v>
      </c>
      <c r="C1892" s="62" t="n">
        <v>6.7</v>
      </c>
      <c r="D1892" s="29" t="s">
        <v>52</v>
      </c>
      <c r="E1892" s="29" t="s">
        <v>58</v>
      </c>
    </row>
    <row r="1893" customFormat="false" ht="14.25" hidden="false" customHeight="false" outlineLevel="0" collapsed="false">
      <c r="A1893" s="1" t="n">
        <v>2896</v>
      </c>
      <c r="B1893" s="29" t="s">
        <v>49</v>
      </c>
      <c r="C1893" s="62" t="n">
        <v>5.2</v>
      </c>
      <c r="D1893" s="29" t="s">
        <v>52</v>
      </c>
      <c r="E1893" s="29" t="s">
        <v>58</v>
      </c>
    </row>
    <row r="1894" customFormat="false" ht="14.25" hidden="false" customHeight="false" outlineLevel="0" collapsed="false">
      <c r="A1894" s="1" t="n">
        <v>2897</v>
      </c>
      <c r="B1894" s="29" t="s">
        <v>54</v>
      </c>
      <c r="C1894" s="62" t="n">
        <v>32.2</v>
      </c>
      <c r="D1894" s="29" t="s">
        <v>50</v>
      </c>
      <c r="E1894" s="29" t="s">
        <v>55</v>
      </c>
    </row>
    <row r="1895" customFormat="false" ht="14.25" hidden="false" customHeight="false" outlineLevel="0" collapsed="false">
      <c r="A1895" s="1" t="n">
        <v>2898</v>
      </c>
      <c r="B1895" s="29" t="s">
        <v>49</v>
      </c>
      <c r="C1895" s="62" t="n">
        <v>7.5</v>
      </c>
      <c r="D1895" s="29" t="s">
        <v>50</v>
      </c>
      <c r="E1895" s="29" t="s">
        <v>58</v>
      </c>
    </row>
    <row r="1896" customFormat="false" ht="14.25" hidden="false" customHeight="false" outlineLevel="0" collapsed="false">
      <c r="A1896" s="1" t="n">
        <v>2899</v>
      </c>
      <c r="B1896" s="29" t="s">
        <v>49</v>
      </c>
      <c r="C1896" s="62" t="n">
        <v>7.7</v>
      </c>
      <c r="D1896" s="29" t="s">
        <v>52</v>
      </c>
      <c r="E1896" s="29" t="s">
        <v>58</v>
      </c>
    </row>
    <row r="1897" customFormat="false" ht="14.25" hidden="false" customHeight="false" outlineLevel="0" collapsed="false">
      <c r="A1897" s="1" t="n">
        <v>2900</v>
      </c>
      <c r="B1897" s="29" t="s">
        <v>49</v>
      </c>
      <c r="C1897" s="62" t="n">
        <v>6.3</v>
      </c>
      <c r="D1897" s="29" t="s">
        <v>56</v>
      </c>
      <c r="E1897" s="29" t="s">
        <v>58</v>
      </c>
    </row>
    <row r="1898" customFormat="false" ht="14.25" hidden="false" customHeight="false" outlineLevel="0" collapsed="false">
      <c r="A1898" s="1" t="n">
        <v>2901</v>
      </c>
      <c r="B1898" s="29" t="s">
        <v>49</v>
      </c>
      <c r="C1898" s="62" t="n">
        <v>0.7</v>
      </c>
      <c r="D1898" s="29" t="s">
        <v>67</v>
      </c>
      <c r="E1898" s="29" t="s">
        <v>57</v>
      </c>
    </row>
    <row r="1899" customFormat="false" ht="14.25" hidden="false" customHeight="false" outlineLevel="0" collapsed="false">
      <c r="A1899" s="1" t="n">
        <v>2902</v>
      </c>
      <c r="B1899" s="29" t="s">
        <v>49</v>
      </c>
      <c r="C1899" s="62" t="n">
        <v>2.1</v>
      </c>
      <c r="D1899" s="29" t="s">
        <v>50</v>
      </c>
      <c r="E1899" s="29" t="s">
        <v>53</v>
      </c>
    </row>
    <row r="1900" customFormat="false" ht="14.25" hidden="false" customHeight="false" outlineLevel="0" collapsed="false">
      <c r="A1900" s="1" t="n">
        <v>2903</v>
      </c>
      <c r="B1900" s="29" t="s">
        <v>49</v>
      </c>
      <c r="C1900" s="62" t="n">
        <v>5.6</v>
      </c>
      <c r="D1900" s="29" t="s">
        <v>60</v>
      </c>
      <c r="E1900" s="29" t="s">
        <v>58</v>
      </c>
    </row>
    <row r="1901" customFormat="false" ht="14.25" hidden="false" customHeight="false" outlineLevel="0" collapsed="false">
      <c r="A1901" s="1" t="n">
        <v>2904</v>
      </c>
      <c r="B1901" s="29" t="s">
        <v>49</v>
      </c>
      <c r="C1901" s="62" t="n">
        <v>7.2</v>
      </c>
      <c r="D1901" s="29" t="s">
        <v>60</v>
      </c>
      <c r="E1901" s="29" t="s">
        <v>58</v>
      </c>
    </row>
    <row r="1902" customFormat="false" ht="14.25" hidden="false" customHeight="false" outlineLevel="0" collapsed="false">
      <c r="A1902" s="1" t="n">
        <v>2905</v>
      </c>
      <c r="B1902" s="29" t="s">
        <v>49</v>
      </c>
      <c r="C1902" s="62" t="n">
        <v>5.6</v>
      </c>
      <c r="D1902" s="29" t="s">
        <v>68</v>
      </c>
      <c r="E1902" s="29" t="s">
        <v>58</v>
      </c>
    </row>
    <row r="1903" customFormat="false" ht="14.25" hidden="false" customHeight="false" outlineLevel="0" collapsed="false">
      <c r="A1903" s="1" t="n">
        <v>2906</v>
      </c>
      <c r="B1903" s="29" t="s">
        <v>49</v>
      </c>
      <c r="C1903" s="62" t="n">
        <v>0.5</v>
      </c>
      <c r="D1903" s="29" t="s">
        <v>68</v>
      </c>
      <c r="E1903" s="29" t="s">
        <v>58</v>
      </c>
    </row>
    <row r="1904" customFormat="false" ht="14.25" hidden="false" customHeight="false" outlineLevel="0" collapsed="false">
      <c r="A1904" s="1" t="n">
        <v>2907</v>
      </c>
      <c r="B1904" s="29" t="s">
        <v>49</v>
      </c>
      <c r="C1904" s="62" t="n">
        <v>0.8</v>
      </c>
      <c r="D1904" s="29" t="s">
        <v>50</v>
      </c>
      <c r="E1904" s="29" t="s">
        <v>57</v>
      </c>
    </row>
    <row r="1905" customFormat="false" ht="14.25" hidden="false" customHeight="false" outlineLevel="0" collapsed="false">
      <c r="A1905" s="1" t="n">
        <v>2908</v>
      </c>
      <c r="B1905" s="29" t="s">
        <v>49</v>
      </c>
      <c r="C1905" s="62" t="n">
        <v>8</v>
      </c>
      <c r="D1905" s="29" t="s">
        <v>50</v>
      </c>
      <c r="E1905" s="29" t="s">
        <v>58</v>
      </c>
    </row>
    <row r="1906" customFormat="false" ht="14.25" hidden="false" customHeight="false" outlineLevel="0" collapsed="false">
      <c r="A1906" s="1" t="n">
        <v>2909</v>
      </c>
      <c r="B1906" s="29" t="s">
        <v>61</v>
      </c>
      <c r="C1906" s="62" t="n">
        <v>1.1</v>
      </c>
      <c r="D1906" s="29" t="s">
        <v>59</v>
      </c>
      <c r="E1906" s="29" t="s">
        <v>57</v>
      </c>
    </row>
    <row r="1907" customFormat="false" ht="14.25" hidden="false" customHeight="false" outlineLevel="0" collapsed="false">
      <c r="A1907" s="1" t="n">
        <v>2910</v>
      </c>
      <c r="B1907" s="29" t="s">
        <v>49</v>
      </c>
      <c r="C1907" s="62" t="n">
        <v>5.9</v>
      </c>
      <c r="D1907" s="29" t="s">
        <v>52</v>
      </c>
      <c r="E1907" s="29" t="s">
        <v>58</v>
      </c>
    </row>
    <row r="1908" customFormat="false" ht="14.25" hidden="false" customHeight="false" outlineLevel="0" collapsed="false">
      <c r="A1908" s="1" t="n">
        <v>2911</v>
      </c>
      <c r="B1908" s="29" t="s">
        <v>49</v>
      </c>
      <c r="C1908" s="62" t="n">
        <v>5.1</v>
      </c>
      <c r="D1908" s="29" t="s">
        <v>50</v>
      </c>
      <c r="E1908" s="29" t="s">
        <v>58</v>
      </c>
    </row>
    <row r="1909" customFormat="false" ht="14.25" hidden="false" customHeight="false" outlineLevel="0" collapsed="false">
      <c r="A1909" s="1" t="n">
        <v>2912</v>
      </c>
      <c r="B1909" s="29" t="s">
        <v>49</v>
      </c>
      <c r="C1909" s="62" t="n">
        <v>4.5</v>
      </c>
      <c r="D1909" s="29" t="s">
        <v>50</v>
      </c>
      <c r="E1909" s="29" t="s">
        <v>58</v>
      </c>
    </row>
    <row r="1910" customFormat="false" ht="14.25" hidden="false" customHeight="false" outlineLevel="0" collapsed="false">
      <c r="A1910" s="1" t="n">
        <v>2913</v>
      </c>
      <c r="B1910" s="29" t="s">
        <v>49</v>
      </c>
      <c r="C1910" s="62" t="n">
        <v>11</v>
      </c>
      <c r="D1910" s="29" t="s">
        <v>59</v>
      </c>
      <c r="E1910" s="29" t="s">
        <v>65</v>
      </c>
    </row>
    <row r="1911" customFormat="false" ht="14.25" hidden="false" customHeight="false" outlineLevel="0" collapsed="false">
      <c r="A1911" s="1" t="n">
        <v>2914</v>
      </c>
      <c r="B1911" s="29" t="s">
        <v>49</v>
      </c>
      <c r="C1911" s="62" t="n">
        <v>8.5</v>
      </c>
      <c r="D1911" s="29" t="s">
        <v>60</v>
      </c>
      <c r="E1911" s="29" t="s">
        <v>53</v>
      </c>
    </row>
    <row r="1912" customFormat="false" ht="14.25" hidden="false" customHeight="false" outlineLevel="0" collapsed="false">
      <c r="A1912" s="1" t="n">
        <v>2915</v>
      </c>
      <c r="B1912" s="29" t="s">
        <v>49</v>
      </c>
      <c r="C1912" s="62" t="n">
        <v>2.1</v>
      </c>
      <c r="D1912" s="29" t="s">
        <v>52</v>
      </c>
      <c r="E1912" s="29" t="s">
        <v>53</v>
      </c>
    </row>
    <row r="1913" customFormat="false" ht="14.25" hidden="false" customHeight="false" outlineLevel="0" collapsed="false">
      <c r="A1913" s="1" t="n">
        <v>2916</v>
      </c>
      <c r="B1913" s="29" t="s">
        <v>49</v>
      </c>
      <c r="C1913" s="62" t="n">
        <v>6.1</v>
      </c>
      <c r="D1913" s="29" t="s">
        <v>56</v>
      </c>
      <c r="E1913" s="29" t="s">
        <v>58</v>
      </c>
    </row>
    <row r="1914" customFormat="false" ht="14.25" hidden="false" customHeight="false" outlineLevel="0" collapsed="false">
      <c r="A1914" s="1" t="n">
        <v>2917</v>
      </c>
      <c r="B1914" s="29" t="s">
        <v>49</v>
      </c>
      <c r="C1914" s="62" t="n">
        <v>9.4</v>
      </c>
      <c r="D1914" s="29" t="s">
        <v>56</v>
      </c>
      <c r="E1914" s="29" t="s">
        <v>58</v>
      </c>
    </row>
    <row r="1915" customFormat="false" ht="14.25" hidden="false" customHeight="false" outlineLevel="0" collapsed="false">
      <c r="A1915" s="1" t="n">
        <v>2918</v>
      </c>
      <c r="B1915" s="29" t="s">
        <v>49</v>
      </c>
      <c r="C1915" s="62" t="n">
        <v>8.5</v>
      </c>
      <c r="D1915" s="29" t="s">
        <v>67</v>
      </c>
      <c r="E1915" s="29" t="s">
        <v>53</v>
      </c>
    </row>
    <row r="1916" customFormat="false" ht="14.25" hidden="false" customHeight="false" outlineLevel="0" collapsed="false">
      <c r="A1916" s="1" t="n">
        <v>2919</v>
      </c>
      <c r="B1916" s="29" t="s">
        <v>49</v>
      </c>
      <c r="C1916" s="62" t="n">
        <v>5.7</v>
      </c>
      <c r="D1916" s="29" t="s">
        <v>67</v>
      </c>
      <c r="E1916" s="29" t="s">
        <v>58</v>
      </c>
    </row>
    <row r="1917" customFormat="false" ht="14.25" hidden="false" customHeight="false" outlineLevel="0" collapsed="false">
      <c r="A1917" s="1" t="n">
        <v>2920</v>
      </c>
      <c r="B1917" s="29" t="s">
        <v>54</v>
      </c>
      <c r="C1917" s="62" t="n">
        <v>55.9</v>
      </c>
      <c r="D1917" s="29" t="s">
        <v>50</v>
      </c>
      <c r="E1917" s="29" t="s">
        <v>55</v>
      </c>
    </row>
    <row r="1918" customFormat="false" ht="14.25" hidden="false" customHeight="false" outlineLevel="0" collapsed="false">
      <c r="A1918" s="1" t="n">
        <v>2921</v>
      </c>
      <c r="B1918" s="29" t="s">
        <v>49</v>
      </c>
      <c r="C1918" s="62" t="n">
        <v>6.6</v>
      </c>
      <c r="D1918" s="29" t="s">
        <v>56</v>
      </c>
      <c r="E1918" s="29" t="s">
        <v>58</v>
      </c>
    </row>
    <row r="1919" customFormat="false" ht="14.25" hidden="false" customHeight="false" outlineLevel="0" collapsed="false">
      <c r="A1919" s="1" t="n">
        <v>2922</v>
      </c>
      <c r="B1919" s="29" t="s">
        <v>49</v>
      </c>
      <c r="C1919" s="62" t="n">
        <v>3.9</v>
      </c>
      <c r="D1919" s="29" t="s">
        <v>59</v>
      </c>
      <c r="E1919" s="29" t="s">
        <v>53</v>
      </c>
    </row>
    <row r="1920" customFormat="false" ht="14.25" hidden="false" customHeight="false" outlineLevel="0" collapsed="false">
      <c r="A1920" s="1" t="n">
        <v>2923</v>
      </c>
      <c r="B1920" s="29" t="s">
        <v>49</v>
      </c>
      <c r="C1920" s="62" t="n">
        <v>7</v>
      </c>
      <c r="D1920" s="29" t="s">
        <v>59</v>
      </c>
      <c r="E1920" s="29" t="s">
        <v>58</v>
      </c>
    </row>
    <row r="1921" customFormat="false" ht="14.25" hidden="false" customHeight="false" outlineLevel="0" collapsed="false">
      <c r="A1921" s="1" t="n">
        <v>2924</v>
      </c>
      <c r="B1921" s="29" t="s">
        <v>49</v>
      </c>
      <c r="C1921" s="62" t="n">
        <v>0.5</v>
      </c>
      <c r="D1921" s="29" t="s">
        <v>59</v>
      </c>
      <c r="E1921" s="29" t="s">
        <v>58</v>
      </c>
    </row>
    <row r="1922" customFormat="false" ht="14.25" hidden="false" customHeight="false" outlineLevel="0" collapsed="false">
      <c r="A1922" s="1" t="n">
        <v>2925</v>
      </c>
      <c r="B1922" s="29" t="s">
        <v>49</v>
      </c>
      <c r="C1922" s="62" t="n">
        <v>5.6</v>
      </c>
      <c r="D1922" s="29" t="s">
        <v>52</v>
      </c>
      <c r="E1922" s="29" t="s">
        <v>58</v>
      </c>
    </row>
    <row r="1923" customFormat="false" ht="14.25" hidden="false" customHeight="false" outlineLevel="0" collapsed="false">
      <c r="A1923" s="1" t="n">
        <v>2926</v>
      </c>
      <c r="B1923" s="29" t="s">
        <v>49</v>
      </c>
      <c r="C1923" s="62" t="n">
        <v>6.2</v>
      </c>
      <c r="D1923" s="29" t="s">
        <v>50</v>
      </c>
      <c r="E1923" s="29" t="s">
        <v>57</v>
      </c>
    </row>
    <row r="1924" customFormat="false" ht="14.25" hidden="false" customHeight="false" outlineLevel="0" collapsed="false">
      <c r="A1924" s="1" t="n">
        <v>2927</v>
      </c>
      <c r="B1924" s="29" t="s">
        <v>49</v>
      </c>
      <c r="C1924" s="62" t="n">
        <v>4.9</v>
      </c>
      <c r="D1924" s="29" t="s">
        <v>50</v>
      </c>
      <c r="E1924" s="29" t="s">
        <v>53</v>
      </c>
    </row>
    <row r="1925" customFormat="false" ht="14.25" hidden="false" customHeight="false" outlineLevel="0" collapsed="false">
      <c r="A1925" s="1" t="n">
        <v>2928</v>
      </c>
      <c r="B1925" s="29" t="s">
        <v>61</v>
      </c>
      <c r="C1925" s="62" t="n">
        <v>4.2</v>
      </c>
      <c r="D1925" s="29" t="s">
        <v>56</v>
      </c>
      <c r="E1925" s="29" t="s">
        <v>53</v>
      </c>
    </row>
    <row r="1926" customFormat="false" ht="14.25" hidden="false" customHeight="false" outlineLevel="0" collapsed="false">
      <c r="A1926" s="1" t="n">
        <v>2929</v>
      </c>
      <c r="B1926" s="29" t="s">
        <v>49</v>
      </c>
      <c r="C1926" s="62" t="n">
        <v>3.9</v>
      </c>
      <c r="D1926" s="29" t="s">
        <v>67</v>
      </c>
      <c r="E1926" s="29" t="s">
        <v>53</v>
      </c>
    </row>
    <row r="1927" customFormat="false" ht="14.25" hidden="false" customHeight="false" outlineLevel="0" collapsed="false">
      <c r="A1927" s="1" t="n">
        <v>2930</v>
      </c>
      <c r="B1927" s="29" t="s">
        <v>49</v>
      </c>
      <c r="C1927" s="62" t="n">
        <v>2.2</v>
      </c>
      <c r="D1927" s="29" t="s">
        <v>56</v>
      </c>
      <c r="E1927" s="29" t="s">
        <v>57</v>
      </c>
    </row>
    <row r="1928" customFormat="false" ht="14.25" hidden="false" customHeight="false" outlineLevel="0" collapsed="false">
      <c r="A1928" s="1" t="n">
        <v>2931</v>
      </c>
      <c r="B1928" s="29" t="s">
        <v>49</v>
      </c>
      <c r="C1928" s="62" t="n">
        <v>4.3</v>
      </c>
      <c r="D1928" s="29" t="s">
        <v>56</v>
      </c>
      <c r="E1928" s="29" t="s">
        <v>57</v>
      </c>
    </row>
    <row r="1929" customFormat="false" ht="14.25" hidden="false" customHeight="false" outlineLevel="0" collapsed="false">
      <c r="A1929" s="1" t="n">
        <v>2932</v>
      </c>
      <c r="B1929" s="29" t="s">
        <v>54</v>
      </c>
      <c r="C1929" s="62" t="n">
        <v>74.2</v>
      </c>
      <c r="D1929" s="29" t="s">
        <v>52</v>
      </c>
      <c r="E1929" s="29" t="s">
        <v>66</v>
      </c>
    </row>
    <row r="1930" customFormat="false" ht="14.25" hidden="false" customHeight="false" outlineLevel="0" collapsed="false">
      <c r="A1930" s="1" t="n">
        <v>2933</v>
      </c>
      <c r="B1930" s="29" t="s">
        <v>49</v>
      </c>
      <c r="C1930" s="62" t="n">
        <v>9</v>
      </c>
      <c r="D1930" s="29" t="s">
        <v>62</v>
      </c>
      <c r="E1930" s="29" t="s">
        <v>53</v>
      </c>
    </row>
    <row r="1931" customFormat="false" ht="14.25" hidden="false" customHeight="false" outlineLevel="0" collapsed="false">
      <c r="A1931" s="1" t="n">
        <v>2934</v>
      </c>
      <c r="B1931" s="29" t="s">
        <v>49</v>
      </c>
      <c r="C1931" s="62" t="n">
        <v>3.6</v>
      </c>
      <c r="D1931" s="29" t="s">
        <v>56</v>
      </c>
      <c r="E1931" s="29" t="s">
        <v>57</v>
      </c>
    </row>
    <row r="1932" customFormat="false" ht="14.25" hidden="false" customHeight="false" outlineLevel="0" collapsed="false">
      <c r="A1932" s="1" t="n">
        <v>2935</v>
      </c>
      <c r="B1932" s="29" t="s">
        <v>61</v>
      </c>
      <c r="C1932" s="62" t="n">
        <v>6.3</v>
      </c>
      <c r="D1932" s="29" t="s">
        <v>56</v>
      </c>
      <c r="E1932" s="29" t="s">
        <v>58</v>
      </c>
    </row>
    <row r="1933" customFormat="false" ht="14.25" hidden="false" customHeight="false" outlineLevel="0" collapsed="false">
      <c r="A1933" s="1" t="n">
        <v>2936</v>
      </c>
      <c r="B1933" s="29" t="s">
        <v>49</v>
      </c>
      <c r="C1933" s="62" t="n">
        <v>5.7</v>
      </c>
      <c r="D1933" s="29" t="s">
        <v>59</v>
      </c>
      <c r="E1933" s="29" t="s">
        <v>58</v>
      </c>
    </row>
    <row r="1934" customFormat="false" ht="14.25" hidden="false" customHeight="false" outlineLevel="0" collapsed="false">
      <c r="A1934" s="1" t="n">
        <v>2937</v>
      </c>
      <c r="B1934" s="29" t="s">
        <v>49</v>
      </c>
      <c r="C1934" s="62" t="n">
        <v>5.6</v>
      </c>
      <c r="D1934" s="29" t="s">
        <v>70</v>
      </c>
      <c r="E1934" s="29" t="s">
        <v>58</v>
      </c>
    </row>
    <row r="1935" customFormat="false" ht="14.25" hidden="false" customHeight="false" outlineLevel="0" collapsed="false">
      <c r="A1935" s="1" t="n">
        <v>2938</v>
      </c>
      <c r="B1935" s="29" t="s">
        <v>49</v>
      </c>
      <c r="C1935" s="62" t="n">
        <v>14.9</v>
      </c>
      <c r="D1935" s="29" t="s">
        <v>62</v>
      </c>
      <c r="E1935" s="29" t="s">
        <v>58</v>
      </c>
    </row>
    <row r="1936" customFormat="false" ht="14.25" hidden="false" customHeight="false" outlineLevel="0" collapsed="false">
      <c r="A1936" s="1" t="n">
        <v>2939</v>
      </c>
      <c r="B1936" s="29" t="s">
        <v>49</v>
      </c>
      <c r="C1936" s="62" t="n">
        <v>7.5</v>
      </c>
      <c r="D1936" s="29" t="s">
        <v>62</v>
      </c>
      <c r="E1936" s="29" t="s">
        <v>58</v>
      </c>
    </row>
    <row r="1937" customFormat="false" ht="14.25" hidden="false" customHeight="false" outlineLevel="0" collapsed="false">
      <c r="A1937" s="1" t="n">
        <v>2940</v>
      </c>
      <c r="B1937" s="29" t="s">
        <v>49</v>
      </c>
      <c r="C1937" s="62" t="n">
        <v>2.1</v>
      </c>
      <c r="D1937" s="29" t="s">
        <v>62</v>
      </c>
      <c r="E1937" s="29" t="s">
        <v>57</v>
      </c>
    </row>
    <row r="1938" customFormat="false" ht="14.25" hidden="false" customHeight="false" outlineLevel="0" collapsed="false">
      <c r="A1938" s="1" t="n">
        <v>2941</v>
      </c>
      <c r="B1938" s="29" t="s">
        <v>49</v>
      </c>
      <c r="C1938" s="62" t="n">
        <v>6.1</v>
      </c>
      <c r="D1938" s="29" t="s">
        <v>56</v>
      </c>
      <c r="E1938" s="29" t="s">
        <v>58</v>
      </c>
    </row>
    <row r="1939" customFormat="false" ht="14.25" hidden="false" customHeight="false" outlineLevel="0" collapsed="false">
      <c r="A1939" s="1" t="n">
        <v>2942</v>
      </c>
      <c r="B1939" s="29" t="s">
        <v>49</v>
      </c>
      <c r="C1939" s="62" t="n">
        <v>1.1</v>
      </c>
      <c r="D1939" s="29" t="s">
        <v>56</v>
      </c>
      <c r="E1939" s="29" t="s">
        <v>58</v>
      </c>
    </row>
    <row r="1940" customFormat="false" ht="14.25" hidden="false" customHeight="false" outlineLevel="0" collapsed="false">
      <c r="A1940" s="1" t="n">
        <v>2943</v>
      </c>
      <c r="B1940" s="29" t="s">
        <v>49</v>
      </c>
      <c r="C1940" s="62" t="n">
        <v>8.4</v>
      </c>
      <c r="D1940" s="29" t="s">
        <v>56</v>
      </c>
      <c r="E1940" s="29" t="s">
        <v>58</v>
      </c>
    </row>
    <row r="1941" customFormat="false" ht="14.25" hidden="false" customHeight="false" outlineLevel="0" collapsed="false">
      <c r="A1941" s="1" t="n">
        <v>2944</v>
      </c>
      <c r="B1941" s="29" t="s">
        <v>49</v>
      </c>
      <c r="C1941" s="62" t="n">
        <v>14.6</v>
      </c>
      <c r="D1941" s="29" t="s">
        <v>70</v>
      </c>
      <c r="E1941" s="29" t="s">
        <v>58</v>
      </c>
    </row>
    <row r="1942" customFormat="false" ht="14.25" hidden="false" customHeight="false" outlineLevel="0" collapsed="false">
      <c r="A1942" s="1" t="n">
        <v>2945</v>
      </c>
      <c r="B1942" s="29" t="s">
        <v>49</v>
      </c>
      <c r="C1942" s="62" t="n">
        <v>2.1</v>
      </c>
      <c r="D1942" s="29" t="s">
        <v>62</v>
      </c>
      <c r="E1942" s="29" t="s">
        <v>53</v>
      </c>
    </row>
    <row r="1943" customFormat="false" ht="14.25" hidden="false" customHeight="false" outlineLevel="0" collapsed="false">
      <c r="A1943" s="1" t="n">
        <v>2946</v>
      </c>
      <c r="B1943" s="29" t="s">
        <v>61</v>
      </c>
      <c r="C1943" s="62" t="n">
        <v>1.1</v>
      </c>
      <c r="D1943" s="29" t="s">
        <v>59</v>
      </c>
      <c r="E1943" s="29" t="s">
        <v>57</v>
      </c>
    </row>
    <row r="1944" customFormat="false" ht="14.25" hidden="false" customHeight="false" outlineLevel="0" collapsed="false">
      <c r="A1944" s="1" t="n">
        <v>2947</v>
      </c>
      <c r="B1944" s="29" t="s">
        <v>49</v>
      </c>
      <c r="C1944" s="62" t="n">
        <v>0.7</v>
      </c>
      <c r="D1944" s="29" t="s">
        <v>67</v>
      </c>
      <c r="E1944" s="29" t="s">
        <v>57</v>
      </c>
    </row>
    <row r="1945" customFormat="false" ht="14.25" hidden="false" customHeight="false" outlineLevel="0" collapsed="false">
      <c r="A1945" s="1" t="n">
        <v>2948</v>
      </c>
      <c r="B1945" s="29" t="s">
        <v>49</v>
      </c>
      <c r="C1945" s="62" t="n">
        <v>15.3</v>
      </c>
      <c r="D1945" s="29" t="s">
        <v>67</v>
      </c>
      <c r="E1945" s="29" t="s">
        <v>58</v>
      </c>
    </row>
    <row r="1946" customFormat="false" ht="14.25" hidden="false" customHeight="false" outlineLevel="0" collapsed="false">
      <c r="A1946" s="1" t="n">
        <v>2949</v>
      </c>
      <c r="B1946" s="29" t="s">
        <v>54</v>
      </c>
      <c r="C1946" s="62" t="n">
        <v>45.5</v>
      </c>
      <c r="D1946" s="29" t="s">
        <v>56</v>
      </c>
      <c r="E1946" s="29" t="s">
        <v>55</v>
      </c>
    </row>
    <row r="1947" customFormat="false" ht="14.25" hidden="false" customHeight="false" outlineLevel="0" collapsed="false">
      <c r="A1947" s="1" t="n">
        <v>2950</v>
      </c>
      <c r="B1947" s="29" t="s">
        <v>54</v>
      </c>
      <c r="C1947" s="62" t="n">
        <v>32.1</v>
      </c>
      <c r="D1947" s="29" t="s">
        <v>56</v>
      </c>
      <c r="E1947" s="29" t="s">
        <v>66</v>
      </c>
    </row>
    <row r="1948" customFormat="false" ht="14.25" hidden="false" customHeight="false" outlineLevel="0" collapsed="false">
      <c r="A1948" s="1" t="n">
        <v>2951</v>
      </c>
      <c r="B1948" s="29" t="s">
        <v>49</v>
      </c>
      <c r="C1948" s="62" t="n">
        <v>6.2</v>
      </c>
      <c r="D1948" s="29" t="s">
        <v>56</v>
      </c>
      <c r="E1948" s="29" t="s">
        <v>58</v>
      </c>
    </row>
    <row r="1949" customFormat="false" ht="14.25" hidden="false" customHeight="false" outlineLevel="0" collapsed="false">
      <c r="A1949" s="1" t="n">
        <v>2952</v>
      </c>
      <c r="B1949" s="29" t="s">
        <v>49</v>
      </c>
      <c r="C1949" s="62" t="n">
        <v>2.1</v>
      </c>
      <c r="D1949" s="29" t="s">
        <v>56</v>
      </c>
      <c r="E1949" s="29" t="s">
        <v>57</v>
      </c>
    </row>
    <row r="1950" customFormat="false" ht="14.25" hidden="false" customHeight="false" outlineLevel="0" collapsed="false">
      <c r="A1950" s="1" t="n">
        <v>2953</v>
      </c>
      <c r="B1950" s="29" t="s">
        <v>49</v>
      </c>
      <c r="C1950" s="62" t="n">
        <v>6.4</v>
      </c>
      <c r="D1950" s="29" t="s">
        <v>56</v>
      </c>
      <c r="E1950" s="29" t="s">
        <v>58</v>
      </c>
    </row>
    <row r="1951" customFormat="false" ht="14.25" hidden="false" customHeight="false" outlineLevel="0" collapsed="false">
      <c r="A1951" s="1" t="n">
        <v>2954</v>
      </c>
      <c r="B1951" s="29" t="s">
        <v>49</v>
      </c>
      <c r="C1951" s="62" t="n">
        <v>1.1</v>
      </c>
      <c r="D1951" s="29" t="s">
        <v>56</v>
      </c>
      <c r="E1951" s="29" t="s">
        <v>58</v>
      </c>
    </row>
    <row r="1952" customFormat="false" ht="14.25" hidden="false" customHeight="false" outlineLevel="0" collapsed="false">
      <c r="A1952" s="1" t="n">
        <v>2955</v>
      </c>
      <c r="B1952" s="29" t="s">
        <v>49</v>
      </c>
      <c r="C1952" s="62" t="n">
        <v>7.2</v>
      </c>
      <c r="D1952" s="29" t="s">
        <v>56</v>
      </c>
      <c r="E1952" s="29" t="s">
        <v>58</v>
      </c>
    </row>
    <row r="1953" customFormat="false" ht="14.25" hidden="false" customHeight="false" outlineLevel="0" collapsed="false">
      <c r="A1953" s="1" t="n">
        <v>2956</v>
      </c>
      <c r="B1953" s="29" t="s">
        <v>49</v>
      </c>
      <c r="C1953" s="62" t="n">
        <v>9.7</v>
      </c>
      <c r="D1953" s="29" t="s">
        <v>56</v>
      </c>
      <c r="E1953" s="29" t="s">
        <v>58</v>
      </c>
    </row>
    <row r="1954" customFormat="false" ht="14.25" hidden="false" customHeight="false" outlineLevel="0" collapsed="false">
      <c r="A1954" s="1" t="n">
        <v>2957</v>
      </c>
      <c r="B1954" s="29" t="s">
        <v>49</v>
      </c>
      <c r="C1954" s="62" t="n">
        <v>10.8</v>
      </c>
      <c r="D1954" s="29" t="s">
        <v>60</v>
      </c>
      <c r="E1954" s="29" t="s">
        <v>58</v>
      </c>
    </row>
    <row r="1955" customFormat="false" ht="14.25" hidden="false" customHeight="false" outlineLevel="0" collapsed="false">
      <c r="A1955" s="1" t="n">
        <v>2958</v>
      </c>
      <c r="B1955" s="29" t="s">
        <v>49</v>
      </c>
      <c r="C1955" s="62" t="n">
        <v>9.6</v>
      </c>
      <c r="D1955" s="29" t="s">
        <v>56</v>
      </c>
      <c r="E1955" s="29" t="s">
        <v>58</v>
      </c>
    </row>
    <row r="1956" customFormat="false" ht="14.25" hidden="false" customHeight="false" outlineLevel="0" collapsed="false">
      <c r="A1956" s="1" t="n">
        <v>2959</v>
      </c>
      <c r="B1956" s="29" t="s">
        <v>61</v>
      </c>
      <c r="C1956" s="62" t="n">
        <v>5.3</v>
      </c>
      <c r="D1956" s="29" t="s">
        <v>50</v>
      </c>
      <c r="E1956" s="29" t="s">
        <v>58</v>
      </c>
    </row>
    <row r="1957" customFormat="false" ht="14.25" hidden="false" customHeight="false" outlineLevel="0" collapsed="false">
      <c r="A1957" s="1" t="n">
        <v>2960</v>
      </c>
      <c r="B1957" s="29" t="s">
        <v>49</v>
      </c>
      <c r="C1957" s="62" t="n">
        <v>10.8</v>
      </c>
      <c r="D1957" s="29" t="s">
        <v>50</v>
      </c>
      <c r="E1957" s="29" t="s">
        <v>65</v>
      </c>
    </row>
    <row r="1958" customFormat="false" ht="14.25" hidden="false" customHeight="false" outlineLevel="0" collapsed="false">
      <c r="A1958" s="1" t="n">
        <v>2961</v>
      </c>
      <c r="B1958" s="29" t="s">
        <v>49</v>
      </c>
      <c r="C1958" s="62" t="n">
        <v>40.2</v>
      </c>
      <c r="D1958" s="29" t="s">
        <v>67</v>
      </c>
      <c r="E1958" s="29" t="s">
        <v>57</v>
      </c>
    </row>
    <row r="1959" customFormat="false" ht="14.25" hidden="false" customHeight="false" outlineLevel="0" collapsed="false">
      <c r="A1959" s="1" t="n">
        <v>2962</v>
      </c>
      <c r="B1959" s="29" t="s">
        <v>54</v>
      </c>
      <c r="C1959" s="62" t="n">
        <v>69.3</v>
      </c>
      <c r="D1959" s="29" t="s">
        <v>59</v>
      </c>
      <c r="E1959" s="29" t="s">
        <v>66</v>
      </c>
    </row>
    <row r="1960" customFormat="false" ht="14.25" hidden="false" customHeight="false" outlineLevel="0" collapsed="false">
      <c r="A1960" s="1" t="n">
        <v>2963</v>
      </c>
      <c r="B1960" s="29" t="s">
        <v>49</v>
      </c>
      <c r="C1960" s="62" t="n">
        <v>0.7</v>
      </c>
      <c r="D1960" s="29" t="s">
        <v>59</v>
      </c>
      <c r="E1960" s="29" t="s">
        <v>57</v>
      </c>
    </row>
    <row r="1961" customFormat="false" ht="14.25" hidden="false" customHeight="false" outlineLevel="0" collapsed="false">
      <c r="A1961" s="1" t="n">
        <v>2964</v>
      </c>
      <c r="B1961" s="29" t="s">
        <v>54</v>
      </c>
      <c r="C1961" s="62" t="n">
        <v>69.3</v>
      </c>
      <c r="D1961" s="29" t="s">
        <v>70</v>
      </c>
      <c r="E1961" s="29" t="s">
        <v>66</v>
      </c>
    </row>
    <row r="1962" customFormat="false" ht="14.25" hidden="false" customHeight="false" outlineLevel="0" collapsed="false">
      <c r="A1962" s="1" t="n">
        <v>2965</v>
      </c>
      <c r="B1962" s="29" t="s">
        <v>49</v>
      </c>
      <c r="C1962" s="62" t="n">
        <v>2.1</v>
      </c>
      <c r="D1962" s="29" t="s">
        <v>70</v>
      </c>
      <c r="E1962" s="29" t="s">
        <v>53</v>
      </c>
    </row>
    <row r="1963" customFormat="false" ht="14.25" hidden="false" customHeight="false" outlineLevel="0" collapsed="false">
      <c r="A1963" s="1" t="n">
        <v>2966</v>
      </c>
      <c r="B1963" s="29" t="s">
        <v>54</v>
      </c>
      <c r="C1963" s="62" t="n">
        <v>27.8</v>
      </c>
      <c r="D1963" s="29" t="s">
        <v>70</v>
      </c>
      <c r="E1963" s="29" t="s">
        <v>66</v>
      </c>
    </row>
    <row r="1964" customFormat="false" ht="14.25" hidden="false" customHeight="false" outlineLevel="0" collapsed="false">
      <c r="A1964" s="1" t="n">
        <v>2967</v>
      </c>
      <c r="B1964" s="29" t="s">
        <v>54</v>
      </c>
      <c r="C1964" s="62" t="n">
        <v>74.5</v>
      </c>
      <c r="D1964" s="29" t="s">
        <v>59</v>
      </c>
      <c r="E1964" s="29" t="s">
        <v>55</v>
      </c>
    </row>
    <row r="1965" customFormat="false" ht="14.25" hidden="false" customHeight="false" outlineLevel="0" collapsed="false">
      <c r="A1965" s="1" t="n">
        <v>2968</v>
      </c>
      <c r="B1965" s="29" t="s">
        <v>49</v>
      </c>
      <c r="C1965" s="62" t="n">
        <v>7.6</v>
      </c>
      <c r="D1965" s="29" t="s">
        <v>52</v>
      </c>
      <c r="E1965" s="29" t="s">
        <v>57</v>
      </c>
    </row>
    <row r="1966" customFormat="false" ht="14.25" hidden="false" customHeight="false" outlineLevel="0" collapsed="false">
      <c r="A1966" s="1" t="n">
        <v>2969</v>
      </c>
      <c r="B1966" s="29" t="s">
        <v>49</v>
      </c>
      <c r="C1966" s="62" t="n">
        <v>1.6</v>
      </c>
      <c r="D1966" s="29" t="s">
        <v>52</v>
      </c>
      <c r="E1966" s="29" t="s">
        <v>58</v>
      </c>
    </row>
    <row r="1967" customFormat="false" ht="14.25" hidden="false" customHeight="false" outlineLevel="0" collapsed="false">
      <c r="A1967" s="1" t="n">
        <v>2970</v>
      </c>
      <c r="B1967" s="29" t="s">
        <v>49</v>
      </c>
      <c r="C1967" s="62" t="n">
        <v>1.1</v>
      </c>
      <c r="D1967" s="29" t="s">
        <v>67</v>
      </c>
      <c r="E1967" s="29" t="s">
        <v>58</v>
      </c>
    </row>
    <row r="1968" customFormat="false" ht="14.25" hidden="false" customHeight="false" outlineLevel="0" collapsed="false">
      <c r="A1968" s="1" t="n">
        <v>2971</v>
      </c>
      <c r="B1968" s="29" t="s">
        <v>54</v>
      </c>
      <c r="C1968" s="62" t="n">
        <v>64.2</v>
      </c>
      <c r="D1968" s="29" t="s">
        <v>67</v>
      </c>
      <c r="E1968" s="29" t="s">
        <v>66</v>
      </c>
    </row>
    <row r="1969" customFormat="false" ht="14.25" hidden="false" customHeight="false" outlineLevel="0" collapsed="false">
      <c r="A1969" s="1" t="n">
        <v>2972</v>
      </c>
      <c r="B1969" s="29" t="s">
        <v>49</v>
      </c>
      <c r="C1969" s="62" t="n">
        <v>3.1</v>
      </c>
      <c r="D1969" s="29" t="s">
        <v>62</v>
      </c>
      <c r="E1969" s="29" t="s">
        <v>57</v>
      </c>
    </row>
    <row r="1970" customFormat="false" ht="14.25" hidden="false" customHeight="false" outlineLevel="0" collapsed="false">
      <c r="A1970" s="1" t="n">
        <v>2973</v>
      </c>
      <c r="B1970" s="29" t="s">
        <v>49</v>
      </c>
      <c r="C1970" s="62" t="n">
        <v>5.4</v>
      </c>
      <c r="D1970" s="29" t="s">
        <v>62</v>
      </c>
      <c r="E1970" s="29" t="s">
        <v>58</v>
      </c>
    </row>
    <row r="1971" customFormat="false" ht="14.25" hidden="false" customHeight="false" outlineLevel="0" collapsed="false">
      <c r="A1971" s="1" t="n">
        <v>2974</v>
      </c>
      <c r="B1971" s="29" t="s">
        <v>49</v>
      </c>
      <c r="C1971" s="62" t="n">
        <v>5.5</v>
      </c>
      <c r="D1971" s="29" t="s">
        <v>50</v>
      </c>
      <c r="E1971" s="29" t="s">
        <v>51</v>
      </c>
    </row>
    <row r="1972" customFormat="false" ht="14.25" hidden="false" customHeight="false" outlineLevel="0" collapsed="false">
      <c r="A1972" s="1" t="n">
        <v>2975</v>
      </c>
      <c r="B1972" s="29" t="s">
        <v>61</v>
      </c>
      <c r="C1972" s="62" t="n">
        <v>18.3</v>
      </c>
      <c r="D1972" s="29" t="s">
        <v>59</v>
      </c>
      <c r="E1972" s="29" t="s">
        <v>58</v>
      </c>
    </row>
    <row r="1973" customFormat="false" ht="14.25" hidden="false" customHeight="false" outlineLevel="0" collapsed="false">
      <c r="A1973" s="1" t="n">
        <v>2976</v>
      </c>
      <c r="B1973" s="29" t="s">
        <v>49</v>
      </c>
      <c r="C1973" s="62" t="n">
        <v>1.1</v>
      </c>
      <c r="D1973" s="29" t="s">
        <v>62</v>
      </c>
      <c r="E1973" s="29" t="s">
        <v>58</v>
      </c>
    </row>
    <row r="1974" customFormat="false" ht="14.25" hidden="false" customHeight="false" outlineLevel="0" collapsed="false">
      <c r="A1974" s="1" t="n">
        <v>2977</v>
      </c>
      <c r="B1974" s="29" t="s">
        <v>49</v>
      </c>
      <c r="C1974" s="62" t="n">
        <v>1.6</v>
      </c>
      <c r="D1974" s="29" t="s">
        <v>70</v>
      </c>
      <c r="E1974" s="29" t="s">
        <v>58</v>
      </c>
    </row>
    <row r="1975" customFormat="false" ht="14.25" hidden="false" customHeight="false" outlineLevel="0" collapsed="false">
      <c r="A1975" s="1" t="n">
        <v>2978</v>
      </c>
      <c r="B1975" s="29" t="s">
        <v>49</v>
      </c>
      <c r="C1975" s="62" t="n">
        <v>2.1</v>
      </c>
      <c r="D1975" s="29" t="s">
        <v>70</v>
      </c>
      <c r="E1975" s="29" t="s">
        <v>53</v>
      </c>
    </row>
    <row r="1976" customFormat="false" ht="14.25" hidden="false" customHeight="false" outlineLevel="0" collapsed="false">
      <c r="A1976" s="1" t="n">
        <v>2979</v>
      </c>
      <c r="B1976" s="29" t="s">
        <v>49</v>
      </c>
      <c r="C1976" s="62" t="n">
        <v>7.1</v>
      </c>
      <c r="D1976" s="29" t="s">
        <v>70</v>
      </c>
      <c r="E1976" s="29" t="s">
        <v>58</v>
      </c>
    </row>
    <row r="1977" customFormat="false" ht="14.25" hidden="false" customHeight="false" outlineLevel="0" collapsed="false">
      <c r="A1977" s="1" t="n">
        <v>2980</v>
      </c>
      <c r="B1977" s="29" t="s">
        <v>49</v>
      </c>
      <c r="C1977" s="62" t="n">
        <v>4.2</v>
      </c>
      <c r="D1977" s="29" t="s">
        <v>59</v>
      </c>
      <c r="E1977" s="29" t="s">
        <v>57</v>
      </c>
    </row>
    <row r="1978" customFormat="false" ht="14.25" hidden="false" customHeight="false" outlineLevel="0" collapsed="false">
      <c r="A1978" s="1" t="n">
        <v>2981</v>
      </c>
      <c r="B1978" s="29" t="s">
        <v>49</v>
      </c>
      <c r="C1978" s="62" t="n">
        <v>9.6</v>
      </c>
      <c r="D1978" s="29" t="s">
        <v>59</v>
      </c>
      <c r="E1978" s="29" t="s">
        <v>58</v>
      </c>
    </row>
    <row r="1979" customFormat="false" ht="14.25" hidden="false" customHeight="false" outlineLevel="0" collapsed="false">
      <c r="A1979" s="1" t="n">
        <v>2982</v>
      </c>
      <c r="B1979" s="29" t="s">
        <v>49</v>
      </c>
      <c r="C1979" s="62" t="n">
        <v>3.7</v>
      </c>
      <c r="D1979" s="29" t="s">
        <v>50</v>
      </c>
      <c r="E1979" s="29" t="s">
        <v>58</v>
      </c>
    </row>
    <row r="1980" customFormat="false" ht="14.25" hidden="false" customHeight="false" outlineLevel="0" collapsed="false">
      <c r="A1980" s="1" t="n">
        <v>2983</v>
      </c>
      <c r="B1980" s="29" t="s">
        <v>49</v>
      </c>
      <c r="C1980" s="62" t="n">
        <v>3.2</v>
      </c>
      <c r="D1980" s="29" t="s">
        <v>50</v>
      </c>
      <c r="E1980" s="29" t="s">
        <v>58</v>
      </c>
    </row>
    <row r="1981" customFormat="false" ht="14.25" hidden="false" customHeight="false" outlineLevel="0" collapsed="false">
      <c r="A1981" s="1" t="n">
        <v>2984</v>
      </c>
      <c r="B1981" s="29" t="s">
        <v>49</v>
      </c>
      <c r="C1981" s="62" t="n">
        <v>0.7</v>
      </c>
      <c r="D1981" s="29" t="s">
        <v>68</v>
      </c>
      <c r="E1981" s="29" t="s">
        <v>57</v>
      </c>
    </row>
    <row r="1982" customFormat="false" ht="14.25" hidden="false" customHeight="false" outlineLevel="0" collapsed="false">
      <c r="A1982" s="1" t="n">
        <v>2985</v>
      </c>
      <c r="B1982" s="29" t="s">
        <v>49</v>
      </c>
      <c r="C1982" s="62" t="n">
        <v>6.2</v>
      </c>
      <c r="D1982" s="29" t="s">
        <v>59</v>
      </c>
      <c r="E1982" s="29" t="s">
        <v>53</v>
      </c>
    </row>
    <row r="1983" customFormat="false" ht="14.25" hidden="false" customHeight="false" outlineLevel="0" collapsed="false">
      <c r="A1983" s="1" t="n">
        <v>2986</v>
      </c>
      <c r="B1983" s="29" t="s">
        <v>49</v>
      </c>
      <c r="C1983" s="62" t="n">
        <v>4.9</v>
      </c>
      <c r="D1983" s="29" t="s">
        <v>59</v>
      </c>
      <c r="E1983" s="29" t="s">
        <v>58</v>
      </c>
    </row>
    <row r="1984" customFormat="false" ht="14.25" hidden="false" customHeight="false" outlineLevel="0" collapsed="false">
      <c r="A1984" s="1" t="n">
        <v>2987</v>
      </c>
      <c r="B1984" s="29" t="s">
        <v>49</v>
      </c>
      <c r="C1984" s="62" t="n">
        <v>7.5</v>
      </c>
      <c r="D1984" s="29" t="s">
        <v>52</v>
      </c>
      <c r="E1984" s="29" t="s">
        <v>58</v>
      </c>
    </row>
    <row r="1985" customFormat="false" ht="14.25" hidden="false" customHeight="false" outlineLevel="0" collapsed="false">
      <c r="A1985" s="1" t="n">
        <v>2988</v>
      </c>
      <c r="B1985" s="29" t="s">
        <v>49</v>
      </c>
      <c r="C1985" s="62" t="n">
        <v>7.4</v>
      </c>
      <c r="D1985" s="29" t="s">
        <v>52</v>
      </c>
      <c r="E1985" s="29" t="s">
        <v>58</v>
      </c>
    </row>
    <row r="1986" customFormat="false" ht="14.25" hidden="false" customHeight="false" outlineLevel="0" collapsed="false">
      <c r="A1986" s="1" t="n">
        <v>2989</v>
      </c>
      <c r="B1986" s="29" t="s">
        <v>49</v>
      </c>
      <c r="C1986" s="62" t="n">
        <v>5.6</v>
      </c>
      <c r="D1986" s="29" t="s">
        <v>68</v>
      </c>
      <c r="E1986" s="29" t="s">
        <v>58</v>
      </c>
    </row>
    <row r="1987" customFormat="false" ht="14.25" hidden="false" customHeight="false" outlineLevel="0" collapsed="false">
      <c r="A1987" s="1" t="n">
        <v>2990</v>
      </c>
      <c r="B1987" s="29" t="s">
        <v>61</v>
      </c>
      <c r="C1987" s="62" t="n">
        <v>14.3</v>
      </c>
      <c r="D1987" s="29" t="s">
        <v>68</v>
      </c>
      <c r="E1987" s="29" t="s">
        <v>58</v>
      </c>
    </row>
    <row r="1988" customFormat="false" ht="14.25" hidden="false" customHeight="false" outlineLevel="0" collapsed="false">
      <c r="A1988" s="1" t="n">
        <v>2991</v>
      </c>
      <c r="B1988" s="29" t="s">
        <v>49</v>
      </c>
      <c r="C1988" s="62" t="n">
        <v>4.3</v>
      </c>
      <c r="D1988" s="29" t="s">
        <v>59</v>
      </c>
      <c r="E1988" s="29" t="s">
        <v>58</v>
      </c>
    </row>
    <row r="1989" customFormat="false" ht="14.25" hidden="false" customHeight="false" outlineLevel="0" collapsed="false">
      <c r="A1989" s="1" t="n">
        <v>2992</v>
      </c>
      <c r="B1989" s="29" t="s">
        <v>49</v>
      </c>
      <c r="C1989" s="62" t="n">
        <v>1.1</v>
      </c>
      <c r="D1989" s="29" t="s">
        <v>63</v>
      </c>
      <c r="E1989" s="29" t="s">
        <v>53</v>
      </c>
    </row>
    <row r="1990" customFormat="false" ht="14.25" hidden="false" customHeight="false" outlineLevel="0" collapsed="false">
      <c r="A1990" s="1" t="n">
        <v>2993</v>
      </c>
      <c r="B1990" s="29" t="s">
        <v>49</v>
      </c>
      <c r="C1990" s="62" t="n">
        <v>6</v>
      </c>
      <c r="D1990" s="29" t="s">
        <v>50</v>
      </c>
      <c r="E1990" s="29" t="s">
        <v>58</v>
      </c>
    </row>
    <row r="1991" customFormat="false" ht="14.25" hidden="false" customHeight="false" outlineLevel="0" collapsed="false">
      <c r="A1991" s="1" t="n">
        <v>2994</v>
      </c>
      <c r="B1991" s="29" t="s">
        <v>49</v>
      </c>
      <c r="C1991" s="62" t="n">
        <v>7</v>
      </c>
      <c r="D1991" s="29" t="s">
        <v>52</v>
      </c>
      <c r="E1991" s="29" t="s">
        <v>58</v>
      </c>
    </row>
    <row r="1992" customFormat="false" ht="14.25" hidden="false" customHeight="false" outlineLevel="0" collapsed="false">
      <c r="A1992" s="1" t="n">
        <v>2995</v>
      </c>
      <c r="B1992" s="29" t="s">
        <v>49</v>
      </c>
      <c r="C1992" s="62" t="n">
        <v>6</v>
      </c>
      <c r="D1992" s="29" t="s">
        <v>52</v>
      </c>
      <c r="E1992" s="29" t="s">
        <v>58</v>
      </c>
    </row>
    <row r="1993" customFormat="false" ht="14.25" hidden="false" customHeight="false" outlineLevel="0" collapsed="false">
      <c r="A1993" s="1" t="n">
        <v>2996</v>
      </c>
      <c r="B1993" s="29" t="s">
        <v>49</v>
      </c>
      <c r="C1993" s="62" t="n">
        <v>21.4</v>
      </c>
      <c r="D1993" s="29" t="s">
        <v>56</v>
      </c>
      <c r="E1993" s="29" t="s">
        <v>58</v>
      </c>
    </row>
    <row r="1994" customFormat="false" ht="14.25" hidden="false" customHeight="false" outlineLevel="0" collapsed="false">
      <c r="A1994" s="1" t="n">
        <v>2997</v>
      </c>
      <c r="B1994" s="29" t="s">
        <v>49</v>
      </c>
      <c r="C1994" s="62" t="n">
        <v>5.3</v>
      </c>
      <c r="D1994" s="29" t="s">
        <v>56</v>
      </c>
      <c r="E1994" s="29" t="s">
        <v>53</v>
      </c>
    </row>
    <row r="1995" customFormat="false" ht="14.25" hidden="false" customHeight="false" outlineLevel="0" collapsed="false">
      <c r="A1995" s="1" t="n">
        <v>2998</v>
      </c>
      <c r="B1995" s="29" t="s">
        <v>49</v>
      </c>
      <c r="C1995" s="62" t="n">
        <v>2.3</v>
      </c>
      <c r="D1995" s="29" t="s">
        <v>52</v>
      </c>
      <c r="E1995" s="29" t="s">
        <v>57</v>
      </c>
    </row>
    <row r="1996" customFormat="false" ht="14.25" hidden="false" customHeight="false" outlineLevel="0" collapsed="false">
      <c r="A1996" s="1" t="n">
        <v>2999</v>
      </c>
      <c r="B1996" s="29" t="s">
        <v>61</v>
      </c>
      <c r="C1996" s="62" t="n">
        <v>5.4</v>
      </c>
      <c r="D1996" s="29" t="s">
        <v>56</v>
      </c>
      <c r="E1996" s="29" t="s">
        <v>58</v>
      </c>
    </row>
    <row r="1997" customFormat="false" ht="14.25" hidden="false" customHeight="false" outlineLevel="0" collapsed="false">
      <c r="A1997" s="1" t="n">
        <v>3000</v>
      </c>
      <c r="B1997" s="29" t="s">
        <v>49</v>
      </c>
      <c r="C1997" s="62" t="n">
        <v>6.9</v>
      </c>
      <c r="D1997" s="29" t="s">
        <v>56</v>
      </c>
      <c r="E1997" s="29" t="s">
        <v>58</v>
      </c>
    </row>
    <row r="1998" customFormat="false" ht="14.25" hidden="false" customHeight="false" outlineLevel="0" collapsed="false">
      <c r="A1998" s="1" t="n">
        <v>3001</v>
      </c>
      <c r="B1998" s="29" t="s">
        <v>61</v>
      </c>
      <c r="C1998" s="62" t="n">
        <v>9.6</v>
      </c>
      <c r="D1998" s="29" t="s">
        <v>56</v>
      </c>
      <c r="E1998" s="29" t="s">
        <v>53</v>
      </c>
    </row>
    <row r="1999" customFormat="false" ht="14.25" hidden="false" customHeight="false" outlineLevel="0" collapsed="false">
      <c r="A1999" s="1" t="n">
        <v>3002</v>
      </c>
      <c r="B1999" s="29" t="s">
        <v>54</v>
      </c>
      <c r="C1999" s="62" t="n">
        <v>15.7</v>
      </c>
      <c r="D1999" s="29" t="s">
        <v>52</v>
      </c>
      <c r="E1999" s="29" t="s">
        <v>66</v>
      </c>
    </row>
    <row r="2000" customFormat="false" ht="14.25" hidden="false" customHeight="false" outlineLevel="0" collapsed="false">
      <c r="A2000" s="1" t="n">
        <v>3003</v>
      </c>
      <c r="B2000" s="29" t="s">
        <v>54</v>
      </c>
      <c r="C2000" s="62" t="n">
        <v>31.1</v>
      </c>
      <c r="D2000" s="29" t="s">
        <v>52</v>
      </c>
      <c r="E2000" s="29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2016-05-30T20:22:40Z</dcterms:created>
  <dc:creator>Eleonora Rossetto</dc:creator>
  <dc:description/>
  <dc:language>it-IT</dc:language>
  <cp:lastModifiedBy>simonemarcelo006@gmail.com</cp:lastModifiedBy>
  <dcterms:modified xsi:type="dcterms:W3CDTF">2026-06-15T19:51:11Z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
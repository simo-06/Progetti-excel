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C6792108-ECE5-4980-A314-2DD196A79EBF}" xr6:coauthVersionLast="47" xr6:coauthVersionMax="47" xr10:uidLastSave="{00000000-0000-0000-0000-000000000000}"/>
  <bookViews>
    <workbookView xWindow="-108" yWindow="-108" windowWidth="23256" windowHeight="12456" activeTab="3" xr2:uid="{00000000-000D-0000-FFFF-FFFF00000000}"/>
  </bookViews>
  <sheets>
    <sheet name="Summary Report" sheetId="1" r:id="rId1"/>
    <sheet name="Data Descriptors" sheetId="2" r:id="rId2"/>
    <sheet name="Graphs and Charts" sheetId="3" r:id="rId3"/>
    <sheet name="Statistical Tests"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<sst xmlns="http://schemas.openxmlformats.org/spreadsheetml/2006/main" count="120" uniqueCount="69">
  <si>
    <t>Descriptive Statistics on the Various Variables used in the Regression Model (Estimation Data)</t>
  </si>
  <si>
    <t>VALUE 2013</t>
  </si>
  <si>
    <t>Ln(VALUE 2013)</t>
  </si>
  <si>
    <t>AGE1</t>
  </si>
  <si>
    <t>Metro</t>
  </si>
  <si>
    <t>Northeast</t>
  </si>
  <si>
    <t>Midwest</t>
  </si>
  <si>
    <t>South</t>
  </si>
  <si>
    <t>Ln(LMED)</t>
  </si>
  <si>
    <t>Ln(FMR)</t>
  </si>
  <si>
    <t>BEDRMS</t>
  </si>
  <si>
    <t>BUILT</t>
  </si>
  <si>
    <t>ROOMS</t>
  </si>
  <si>
    <t>PER</t>
  </si>
  <si>
    <t>Ln(ZINC2)</t>
  </si>
  <si>
    <t>Adequate</t>
  </si>
  <si>
    <t>Ln(UTILITY)</t>
  </si>
  <si>
    <t>Ln(OTHERCOST)</t>
  </si>
  <si>
    <t>Ln(VALUE 2011)</t>
  </si>
  <si>
    <t>Mean</t>
  </si>
  <si>
    <t>Standard Error</t>
  </si>
  <si>
    <t>Median</t>
  </si>
  <si>
    <t>Mode</t>
  </si>
  <si>
    <t>Standard Deviation</t>
  </si>
  <si>
    <t>Sample Variance</t>
  </si>
  <si>
    <t>Kurtosis</t>
  </si>
  <si>
    <t>Skewness</t>
  </si>
  <si>
    <t>Range</t>
  </si>
  <si>
    <t>Minimum</t>
  </si>
  <si>
    <t>Maximum</t>
  </si>
  <si>
    <t>Sum</t>
  </si>
  <si>
    <t>Count</t>
  </si>
  <si>
    <t>Bin</t>
  </si>
  <si>
    <t>Frequency</t>
  </si>
  <si>
    <t>Bins</t>
  </si>
  <si>
    <t>More</t>
  </si>
  <si>
    <t>Distribution of Market Value ('VALUE') of Housing Units (Year 2013, Estimation Data)</t>
  </si>
  <si>
    <t>Distribution of the natural logarithm of Market Value [Ln(VALUE)] of Housing Units (Year 2013, Estimation Data)</t>
  </si>
  <si>
    <t>Pairwise Correlation across all 'X' variables in 'Data for Estimation'</t>
  </si>
  <si>
    <t>Regression (Estimation Data)</t>
  </si>
  <si>
    <r>
      <t>Ln(VALUE 2013) = β</t>
    </r>
    <r>
      <rPr>
        <b/>
        <vertAlign val="subscript"/>
        <sz val="11"/>
        <color theme="1"/>
        <rFont val="Calibri"/>
        <family val="2"/>
        <scheme val="minor"/>
      </rPr>
      <t>0</t>
    </r>
    <r>
      <rPr>
        <b/>
        <sz val="11"/>
        <color theme="1"/>
        <rFont val="Calibri"/>
        <family val="2"/>
        <scheme val="minor"/>
      </rPr>
      <t xml:space="preserve"> + β</t>
    </r>
    <r>
      <rPr>
        <b/>
        <vertAlign val="subscript"/>
        <sz val="11"/>
        <color theme="1"/>
        <rFont val="Calibri"/>
        <family val="2"/>
        <scheme val="minor"/>
      </rPr>
      <t>1</t>
    </r>
    <r>
      <rPr>
        <b/>
        <sz val="11"/>
        <color theme="1"/>
        <rFont val="Calibri"/>
        <family val="2"/>
        <scheme val="minor"/>
      </rPr>
      <t>AGE1 + β</t>
    </r>
    <r>
      <rPr>
        <b/>
        <vertAlign val="subscript"/>
        <sz val="11"/>
        <color theme="1"/>
        <rFont val="Calibri"/>
        <family val="2"/>
        <scheme val="minor"/>
      </rPr>
      <t>2</t>
    </r>
    <r>
      <rPr>
        <b/>
        <sz val="11"/>
        <color theme="1"/>
        <rFont val="Calibri"/>
        <family val="2"/>
        <scheme val="minor"/>
      </rPr>
      <t>Metro + β</t>
    </r>
    <r>
      <rPr>
        <b/>
        <vertAlign val="subscript"/>
        <sz val="11"/>
        <color theme="1"/>
        <rFont val="Calibri"/>
        <family val="2"/>
        <scheme val="minor"/>
      </rPr>
      <t>3</t>
    </r>
    <r>
      <rPr>
        <b/>
        <sz val="11"/>
        <color rgb="FF000000"/>
        <rFont val="Calibri"/>
        <family val="2"/>
        <scheme val="minor"/>
      </rPr>
      <t>Northeast</t>
    </r>
    <r>
      <rPr>
        <b/>
        <sz val="11"/>
        <color theme="1"/>
        <rFont val="Calibri"/>
        <family val="2"/>
        <scheme val="minor"/>
      </rPr>
      <t xml:space="preserve">  + β</t>
    </r>
    <r>
      <rPr>
        <b/>
        <vertAlign val="subscript"/>
        <sz val="11"/>
        <color theme="1"/>
        <rFont val="Calibri"/>
        <family val="2"/>
        <scheme val="minor"/>
      </rPr>
      <t>4</t>
    </r>
    <r>
      <rPr>
        <b/>
        <sz val="11"/>
        <color rgb="FF000000"/>
        <rFont val="Calibri"/>
        <family val="2"/>
        <scheme val="minor"/>
      </rPr>
      <t>Midwest</t>
    </r>
    <r>
      <rPr>
        <b/>
        <sz val="11"/>
        <color theme="1"/>
        <rFont val="Calibri"/>
        <family val="2"/>
        <scheme val="minor"/>
      </rPr>
      <t xml:space="preserve"> + β</t>
    </r>
    <r>
      <rPr>
        <b/>
        <vertAlign val="subscript"/>
        <sz val="11"/>
        <color theme="1"/>
        <rFont val="Calibri"/>
        <family val="2"/>
        <scheme val="minor"/>
      </rPr>
      <t>5</t>
    </r>
    <r>
      <rPr>
        <b/>
        <sz val="11"/>
        <color rgb="FF000000"/>
        <rFont val="Calibri"/>
        <family val="2"/>
        <scheme val="minor"/>
      </rPr>
      <t>South</t>
    </r>
    <r>
      <rPr>
        <b/>
        <sz val="11"/>
        <color theme="1"/>
        <rFont val="Calibri"/>
        <family val="2"/>
        <scheme val="minor"/>
      </rPr>
      <t xml:space="preserve"> + β</t>
    </r>
    <r>
      <rPr>
        <b/>
        <vertAlign val="subscript"/>
        <sz val="11"/>
        <color theme="1"/>
        <rFont val="Calibri"/>
        <family val="2"/>
        <scheme val="minor"/>
      </rPr>
      <t>6</t>
    </r>
    <r>
      <rPr>
        <b/>
        <sz val="11"/>
        <color theme="1"/>
        <rFont val="Calibri"/>
        <family val="2"/>
        <scheme val="minor"/>
      </rPr>
      <t>Ln(LMED) + β</t>
    </r>
    <r>
      <rPr>
        <b/>
        <vertAlign val="subscript"/>
        <sz val="11"/>
        <color theme="1"/>
        <rFont val="Calibri"/>
        <family val="2"/>
        <scheme val="minor"/>
      </rPr>
      <t>7</t>
    </r>
    <r>
      <rPr>
        <b/>
        <sz val="11"/>
        <color theme="1"/>
        <rFont val="Calibri"/>
        <family val="2"/>
        <scheme val="minor"/>
      </rPr>
      <t>Ln(FMR) + β</t>
    </r>
    <r>
      <rPr>
        <b/>
        <vertAlign val="subscript"/>
        <sz val="11"/>
        <color theme="1"/>
        <rFont val="Calibri"/>
        <family val="2"/>
        <scheme val="minor"/>
      </rPr>
      <t>8</t>
    </r>
    <r>
      <rPr>
        <b/>
        <sz val="11"/>
        <color theme="1"/>
        <rFont val="Calibri"/>
        <family val="2"/>
        <scheme val="minor"/>
      </rPr>
      <t>BEDRMS + β</t>
    </r>
    <r>
      <rPr>
        <b/>
        <vertAlign val="subscript"/>
        <sz val="11"/>
        <color theme="1"/>
        <rFont val="Calibri"/>
        <family val="2"/>
        <scheme val="minor"/>
      </rPr>
      <t>9</t>
    </r>
    <r>
      <rPr>
        <b/>
        <sz val="11"/>
        <color theme="1"/>
        <rFont val="Calibri"/>
        <family val="2"/>
        <scheme val="minor"/>
      </rPr>
      <t>BUILT + β</t>
    </r>
    <r>
      <rPr>
        <b/>
        <vertAlign val="subscript"/>
        <sz val="11"/>
        <color theme="1"/>
        <rFont val="Calibri"/>
        <family val="2"/>
        <scheme val="minor"/>
      </rPr>
      <t>10</t>
    </r>
    <r>
      <rPr>
        <b/>
        <sz val="11"/>
        <color theme="1"/>
        <rFont val="Calibri"/>
        <family val="2"/>
        <scheme val="minor"/>
      </rPr>
      <t>ROOMS + β</t>
    </r>
    <r>
      <rPr>
        <b/>
        <vertAlign val="subscript"/>
        <sz val="11"/>
        <color theme="1"/>
        <rFont val="Calibri"/>
        <family val="2"/>
        <scheme val="minor"/>
      </rPr>
      <t>11</t>
    </r>
    <r>
      <rPr>
        <b/>
        <sz val="11"/>
        <color theme="1"/>
        <rFont val="Calibri"/>
        <family val="2"/>
        <scheme val="minor"/>
      </rPr>
      <t>PER + β</t>
    </r>
    <r>
      <rPr>
        <b/>
        <vertAlign val="subscript"/>
        <sz val="11"/>
        <color theme="1"/>
        <rFont val="Calibri"/>
        <family val="2"/>
        <scheme val="minor"/>
      </rPr>
      <t>12</t>
    </r>
    <r>
      <rPr>
        <b/>
        <sz val="11"/>
        <color theme="1"/>
        <rFont val="Calibri"/>
        <family val="2"/>
        <scheme val="minor"/>
      </rPr>
      <t>Ln(ZINC2) + β</t>
    </r>
    <r>
      <rPr>
        <b/>
        <vertAlign val="subscript"/>
        <sz val="11"/>
        <color theme="1"/>
        <rFont val="Calibri"/>
        <family val="2"/>
        <scheme val="minor"/>
      </rPr>
      <t>13</t>
    </r>
    <r>
      <rPr>
        <b/>
        <sz val="11"/>
        <color theme="1"/>
        <rFont val="Calibri"/>
        <family val="2"/>
        <scheme val="minor"/>
      </rPr>
      <t>Adequate + β</t>
    </r>
    <r>
      <rPr>
        <b/>
        <vertAlign val="subscript"/>
        <sz val="11"/>
        <color theme="1"/>
        <rFont val="Calibri"/>
        <family val="2"/>
        <scheme val="minor"/>
      </rPr>
      <t>14</t>
    </r>
    <r>
      <rPr>
        <b/>
        <sz val="11"/>
        <color theme="1"/>
        <rFont val="Calibri"/>
        <family val="2"/>
        <scheme val="minor"/>
      </rPr>
      <t>Ln(UTILITY) + β</t>
    </r>
    <r>
      <rPr>
        <b/>
        <vertAlign val="subscript"/>
        <sz val="11"/>
        <color theme="1"/>
        <rFont val="Calibri"/>
        <family val="2"/>
        <scheme val="minor"/>
      </rPr>
      <t>15</t>
    </r>
    <r>
      <rPr>
        <b/>
        <sz val="11"/>
        <color theme="1"/>
        <rFont val="Calibri"/>
        <family val="2"/>
        <scheme val="minor"/>
      </rPr>
      <t>Ln(OTHERCOST) + β</t>
    </r>
    <r>
      <rPr>
        <b/>
        <vertAlign val="subscript"/>
        <sz val="11"/>
        <color theme="1"/>
        <rFont val="Calibri"/>
        <family val="2"/>
        <scheme val="minor"/>
      </rPr>
      <t>16</t>
    </r>
    <r>
      <rPr>
        <b/>
        <sz val="11"/>
        <color theme="1"/>
        <rFont val="Calibri"/>
        <family val="2"/>
        <scheme val="minor"/>
      </rPr>
      <t>Ln(Value 2011)</t>
    </r>
  </si>
  <si>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</si>
  <si>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</si>
  <si>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</si>
  <si>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</si>
  <si>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</si>
  <si>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</si>
  <si>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</si>
  <si>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</si>
  <si>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</si>
  <si>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</si>
  <si>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</si>
  <si>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</si>
  <si>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</si>
  <si>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</si>
  <si>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</si>
  <si>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</si>
  <si>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</si>
  <si>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</si>
  <si>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</si>
  <si>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</si>
  <si>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</si>
  <si>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</si>
  <si>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</si>
  <si>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 xml:space="preserve"> 'Metro' is a dummy variable = 1 when METRO3 variable is = '1', otherwise it is =0</t>
  </si>
  <si>
    <t xml:space="preserve"> 'Northeast', Midwest' and 'South' are dummy variables for the categorical variable REGION</t>
  </si>
  <si>
    <t xml:space="preserve"> 'Adequate' is a dummy variable =1 when the categorical variable ZADEQ is ='1', otherwise it is =0</t>
  </si>
  <si>
    <t xml:space="preserve"> This regression also takes a logarithmic transformation of many of the 'X' variables</t>
  </si>
  <si>
    <t xml:space="preserve"> This regression also uses the natural logarithm of the 2011 Market Value as one of the 'X'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</si>
</sst>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vertAlign val="subscript"/>
      <sz val="11"/>
      <color theme="1"/>
      <name val="Calibri"/>
      <family val="2"/>
      <scheme val="minor"/>
    </font>
    <font>
      <b/>
      <sz val="11"/>
      <color rgb="FF000000"/>
      <name val="Calibri"/>
      <family val="2"/>
      <scheme val="minor"/>
    </font>
  </fonts>
  <fills count="2">
    <fill>
      <patternFill patternType="none"/>
    </fill>
    <fill>
      <patternFill patternType="gray125"/>
    </fill>
  </fills>
  <borders count="3">
    <border>
      <left/>
      <right/>
      <top/>
      <bottom/>
      <diagonal/>
    </border>
    <border>
      <left/>
      <right/>
      <top style="medium">
        <color indexed="64"/>
      </top>
      <bottom style="thin">
        <color indexed="64"/>
      </bottom>
      <diagonal/>
    </border>
    <border>
      <left/>
      <right/>
      <top/>
      <bottom style="medium">
        <color indexed="64"/>
      </bottom>
      <diagonal/>
    </border>
  </borders>
  <cellStyleXfs count="1">
    <xf numFmtId="0" fontId="0" fillId="0" borderId="0"/>
  </cellStyleXfs>
  <cellXfs count="7">
    <xf numFmtId="0" fontId="0" fillId="0" borderId="0" xfId="0"/>
    <xf numFmtId="0" fontId="2" fillId="0" borderId="0" xfId="0" applyFont="1"/>
    <xf numFmtId="0" fontId="3" fillId="0" borderId="1" xfId="0" applyFont="1" applyBorder="1" applyAlignment="1">
      <alignment horizontal="center"/>
    </xf>
    <xf numFmtId="0" fontId="0" fillId="0" borderId="2" xfId="0" applyBorder="1"/>
    <xf numFmtId="0" fontId="3" fillId="0" borderId="0" xfId="0" applyFont="1" applyAlignment="1">
      <alignment horizontal="right"/>
    </xf>
    <xf numFmtId="0" fontId="1" fillId="0" borderId="0" xfId="0" applyFont="1" applyAlignment="1">
      <alignment vertical="center"/>
    </xf>
    <xf numFmtId="0" fontId="3" fillId="0" borderId="1" xfId="0" applyFont="1" applyBorder="1" applyAlignment="1">
      <alignment horizontal="centerContinuous"/>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'[1]Graphs and Charts'!$U$2:$U$33</c:f>
              <c:strCache>
                <c:ptCount val="32"/>
                <c:pt idx="0">
                  <c:v>0</c:v>
                </c:pt>
                <c:pt idx="1">
                  <c:v>50000</c:v>
                </c:pt>
                <c:pt idx="2">
                  <c:v>100000</c:v>
                </c:pt>
                <c:pt idx="3">
                  <c:v>150000</c:v>
                </c:pt>
                <c:pt idx="4">
                  <c:v>200000</c:v>
                </c:pt>
                <c:pt idx="5">
                  <c:v>250000</c:v>
                </c:pt>
                <c:pt idx="6">
                  <c:v>300000</c:v>
                </c:pt>
                <c:pt idx="7">
                  <c:v>350000</c:v>
                </c:pt>
                <c:pt idx="8">
                  <c:v>400000</c:v>
                </c:pt>
                <c:pt idx="9">
                  <c:v>450000</c:v>
                </c:pt>
                <c:pt idx="10">
                  <c:v>500000</c:v>
                </c:pt>
                <c:pt idx="11">
                  <c:v>550000</c:v>
                </c:pt>
                <c:pt idx="12">
                  <c:v>600000</c:v>
                </c:pt>
                <c:pt idx="13">
                  <c:v>650000</c:v>
                </c:pt>
                <c:pt idx="14">
                  <c:v>700000</c:v>
                </c:pt>
                <c:pt idx="15">
                  <c:v>750000</c:v>
                </c:pt>
                <c:pt idx="16">
                  <c:v>800000</c:v>
                </c:pt>
                <c:pt idx="17">
                  <c:v>850000</c:v>
                </c:pt>
                <c:pt idx="18">
                  <c:v>900000</c:v>
                </c:pt>
                <c:pt idx="19">
                  <c:v>950000</c:v>
                </c:pt>
                <c:pt idx="20">
                  <c:v>1000000</c:v>
                </c:pt>
                <c:pt idx="21">
                  <c:v>1050000</c:v>
                </c:pt>
                <c:pt idx="22">
                  <c:v>1100000</c:v>
                </c:pt>
                <c:pt idx="23">
                  <c:v>1150000</c:v>
                </c:pt>
                <c:pt idx="24">
                  <c:v>1200000</c:v>
                </c:pt>
                <c:pt idx="25">
                  <c:v>1250000</c:v>
                </c:pt>
                <c:pt idx="26">
                  <c:v>1300000</c:v>
                </c:pt>
                <c:pt idx="27">
                  <c:v>1350000</c:v>
                </c:pt>
                <c:pt idx="28">
                  <c:v>1400000</c:v>
                </c:pt>
                <c:pt idx="29">
                  <c:v>1450000</c:v>
                </c:pt>
                <c:pt idx="30">
                  <c:v>1500000</c:v>
                </c:pt>
                <c:pt idx="31">
                  <c:v>More</c:v>
                </c:pt>
              </c:strCache>
            </c:strRef>
          </c:cat>
          <c:val>
            <c:numRef>
              <c:f>'[1]Graphs and Charts'!$V$2:$V$33</c:f>
              <c:numCache>
                <c:formatCode>General</c:formatCode>
                <c:ptCount val="32"/>
                <c:pt idx="0">
                  <c:v>0</c:v>
                </c:pt>
                <c:pt idx="1">
                  <c:v>1026</c:v>
                </c:pt>
                <c:pt idx="2">
                  <c:v>3674</c:v>
                </c:pt>
                <c:pt idx="3">
                  <c:v>3698</c:v>
                </c:pt>
                <c:pt idx="4">
                  <c:v>3177</c:v>
                </c:pt>
                <c:pt idx="5">
                  <c:v>2011</c:v>
                </c:pt>
                <c:pt idx="6">
                  <c:v>1619</c:v>
                </c:pt>
                <c:pt idx="7">
                  <c:v>1017</c:v>
                </c:pt>
                <c:pt idx="8">
                  <c:v>883</c:v>
                </c:pt>
                <c:pt idx="9">
                  <c:v>503</c:v>
                </c:pt>
                <c:pt idx="10">
                  <c:v>468</c:v>
                </c:pt>
                <c:pt idx="11">
                  <c:v>222</c:v>
                </c:pt>
                <c:pt idx="12">
                  <c:v>305</c:v>
                </c:pt>
                <c:pt idx="13">
                  <c:v>174</c:v>
                </c:pt>
                <c:pt idx="14">
                  <c:v>151</c:v>
                </c:pt>
                <c:pt idx="15">
                  <c:v>133</c:v>
                </c:pt>
                <c:pt idx="16">
                  <c:v>142</c:v>
                </c:pt>
                <c:pt idx="17">
                  <c:v>68</c:v>
                </c:pt>
                <c:pt idx="18">
                  <c:v>90</c:v>
                </c:pt>
                <c:pt idx="19">
                  <c:v>22</c:v>
                </c:pt>
                <c:pt idx="20">
                  <c:v>119</c:v>
                </c:pt>
                <c:pt idx="21">
                  <c:v>6</c:v>
                </c:pt>
                <c:pt idx="22">
                  <c:v>21</c:v>
                </c:pt>
                <c:pt idx="23">
                  <c:v>1</c:v>
                </c:pt>
                <c:pt idx="24">
                  <c:v>34</c:v>
                </c:pt>
                <c:pt idx="25">
                  <c:v>7</c:v>
                </c:pt>
                <c:pt idx="26">
                  <c:v>11</c:v>
                </c:pt>
                <c:pt idx="27">
                  <c:v>3</c:v>
                </c:pt>
                <c:pt idx="28">
                  <c:v>1</c:v>
                </c:pt>
                <c:pt idx="29">
                  <c:v>0</c:v>
                </c:pt>
                <c:pt idx="30">
                  <c:v>0</c:v>
                </c:pt>
                <c:pt idx="31">
                  <c:v>144</c:v>
                </c:pt>
              </c:numCache>
            </c:numRef>
          </c:val>
          <c:extLst>
            <c:ext xmlns:c16="http://schemas.microsoft.com/office/drawing/2014/chart" uri="{C3380CC4-5D6E-409C-BE32-E72D297353CC}">
              <c16:uniqueId val="{00000000-084F-4C66-8DEB-6AC22E643273}"/>
            </c:ext>
          </c:extLst>
        </c:ser>
        <c:dLbls>
          <c:showLegendKey val="0"/>
          <c:showVal val="0"/>
          <c:showCatName val="0"/>
          <c:showSerName val="0"/>
          <c:showPercent val="0"/>
          <c:showBubbleSize val="0"/>
        </c:dLbls>
        <c:gapWidth val="150"/>
        <c:axId val="147657472"/>
        <c:axId val="147659392"/>
      </c:barChart>
      <c:catAx>
        <c:axId val="147657472"/>
        <c:scaling>
          <c:orientation val="minMax"/>
        </c:scaling>
        <c:delete val="0"/>
        <c:axPos val="b"/>
        <c:title>
          <c:tx>
            <c:rich>
              <a:bodyPr/>
              <a:lstStyle/>
              <a:p>
                <a:pPr>
                  <a:defRPr sz="1100"/>
                </a:pPr>
                <a:r>
                  <a:rPr lang="en-US" sz="1100"/>
                  <a:t>VALUE, $</a:t>
                </a:r>
              </a:p>
            </c:rich>
          </c:tx>
          <c:overlay val="0"/>
        </c:title>
        <c:numFmt formatCode="General" sourceLinked="0"/>
        <c:majorTickMark val="out"/>
        <c:minorTickMark val="none"/>
        <c:tickLblPos val="nextTo"/>
        <c:crossAx val="147659392"/>
        <c:crosses val="autoZero"/>
        <c:auto val="1"/>
        <c:lblAlgn val="ctr"/>
        <c:lblOffset val="100"/>
        <c:noMultiLvlLbl val="0"/>
      </c:catAx>
      <c:valAx>
        <c:axId val="147659392"/>
        <c:scaling>
          <c:orientation val="minMax"/>
        </c:scaling>
        <c:delete val="0"/>
        <c:axPos val="l"/>
        <c:title>
          <c:tx>
            <c:rich>
              <a:bodyPr/>
              <a:lstStyle/>
              <a:p>
                <a:pPr>
                  <a:defRPr sz="1100"/>
                </a:pPr>
                <a:r>
                  <a:rPr lang="en-US" sz="1100"/>
                  <a:t>Frequency</a:t>
                </a:r>
              </a:p>
            </c:rich>
          </c:tx>
          <c:overlay val="0"/>
        </c:title>
        <c:numFmt formatCode="General" sourceLinked="1"/>
        <c:majorTickMark val="out"/>
        <c:minorTickMark val="none"/>
        <c:tickLblPos val="nextTo"/>
        <c:txPr>
          <a:bodyPr/>
          <a:lstStyle/>
          <a:p>
            <a:pPr>
              <a:defRPr sz="1050"/>
            </a:pPr>
            <a:endParaRPr lang="it-IT"/>
          </a:p>
        </c:txPr>
        <c:crossAx val="14765747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'[1]Graphs and Charts'!$AD$2:$AD$33</c:f>
              <c:strCache>
                <c:ptCount val="32"/>
                <c:pt idx="0">
                  <c:v>9</c:v>
                </c:pt>
                <c:pt idx="1">
                  <c:v>9,2</c:v>
                </c:pt>
                <c:pt idx="2">
                  <c:v>9,4</c:v>
                </c:pt>
                <c:pt idx="3">
                  <c:v>9,6</c:v>
                </c:pt>
                <c:pt idx="4">
                  <c:v>9,8</c:v>
                </c:pt>
                <c:pt idx="5">
                  <c:v>10</c:v>
                </c:pt>
                <c:pt idx="6">
                  <c:v>10,2</c:v>
                </c:pt>
                <c:pt idx="7">
                  <c:v>10,4</c:v>
                </c:pt>
                <c:pt idx="8">
                  <c:v>10,6</c:v>
                </c:pt>
                <c:pt idx="9">
                  <c:v>10,8</c:v>
                </c:pt>
                <c:pt idx="10">
                  <c:v>11</c:v>
                </c:pt>
                <c:pt idx="11">
                  <c:v>11,2</c:v>
                </c:pt>
                <c:pt idx="12">
                  <c:v>11,4</c:v>
                </c:pt>
                <c:pt idx="13">
                  <c:v>11,6</c:v>
                </c:pt>
                <c:pt idx="14">
                  <c:v>11,8</c:v>
                </c:pt>
                <c:pt idx="15">
                  <c:v>12</c:v>
                </c:pt>
                <c:pt idx="16">
                  <c:v>12,2</c:v>
                </c:pt>
                <c:pt idx="17">
                  <c:v>12,4</c:v>
                </c:pt>
                <c:pt idx="18">
                  <c:v>12,6</c:v>
                </c:pt>
                <c:pt idx="19">
                  <c:v>12,8</c:v>
                </c:pt>
                <c:pt idx="20">
                  <c:v>13</c:v>
                </c:pt>
                <c:pt idx="21">
                  <c:v>13,2</c:v>
                </c:pt>
                <c:pt idx="22">
                  <c:v>13,4</c:v>
                </c:pt>
                <c:pt idx="23">
                  <c:v>13,6</c:v>
                </c:pt>
                <c:pt idx="24">
                  <c:v>13,8</c:v>
                </c:pt>
                <c:pt idx="25">
                  <c:v>14</c:v>
                </c:pt>
                <c:pt idx="26">
                  <c:v>14,2</c:v>
                </c:pt>
                <c:pt idx="27">
                  <c:v>14,4</c:v>
                </c:pt>
                <c:pt idx="28">
                  <c:v>14,6</c:v>
                </c:pt>
                <c:pt idx="29">
                  <c:v>14,8</c:v>
                </c:pt>
                <c:pt idx="30">
                  <c:v>15</c:v>
                </c:pt>
                <c:pt idx="31">
                  <c:v>More</c:v>
                </c:pt>
              </c:strCache>
            </c:strRef>
          </c:cat>
          <c:val>
            <c:numRef>
              <c:f>'[1]Graphs and Charts'!$AE$2:$AE$33</c:f>
              <c:numCache>
                <c:formatCode>General</c:formatCode>
                <c:ptCount val="32"/>
                <c:pt idx="0">
                  <c:v>0</c:v>
                </c:pt>
                <c:pt idx="1">
                  <c:v>0</c:v>
                </c:pt>
                <c:pt idx="2">
                  <c:v>67</c:v>
                </c:pt>
                <c:pt idx="3">
                  <c:v>0</c:v>
                </c:pt>
                <c:pt idx="4">
                  <c:v>0</c:v>
                </c:pt>
                <c:pt idx="5">
                  <c:v>96</c:v>
                </c:pt>
                <c:pt idx="6">
                  <c:v>0</c:v>
                </c:pt>
                <c:pt idx="7">
                  <c:v>177</c:v>
                </c:pt>
                <c:pt idx="8">
                  <c:v>280</c:v>
                </c:pt>
                <c:pt idx="9">
                  <c:v>0</c:v>
                </c:pt>
                <c:pt idx="10">
                  <c:v>406</c:v>
                </c:pt>
                <c:pt idx="11">
                  <c:v>1021</c:v>
                </c:pt>
                <c:pt idx="12">
                  <c:v>846</c:v>
                </c:pt>
                <c:pt idx="13">
                  <c:v>1807</c:v>
                </c:pt>
                <c:pt idx="14">
                  <c:v>1892</c:v>
                </c:pt>
                <c:pt idx="15">
                  <c:v>2298</c:v>
                </c:pt>
                <c:pt idx="16">
                  <c:v>1652</c:v>
                </c:pt>
                <c:pt idx="17">
                  <c:v>2222</c:v>
                </c:pt>
                <c:pt idx="18">
                  <c:v>1655</c:v>
                </c:pt>
                <c:pt idx="19">
                  <c:v>1879</c:v>
                </c:pt>
                <c:pt idx="20">
                  <c:v>1025</c:v>
                </c:pt>
                <c:pt idx="21">
                  <c:v>826</c:v>
                </c:pt>
                <c:pt idx="22">
                  <c:v>631</c:v>
                </c:pt>
                <c:pt idx="23">
                  <c:v>423</c:v>
                </c:pt>
                <c:pt idx="24">
                  <c:v>188</c:v>
                </c:pt>
                <c:pt idx="25">
                  <c:v>173</c:v>
                </c:pt>
                <c:pt idx="26">
                  <c:v>22</c:v>
                </c:pt>
                <c:pt idx="27">
                  <c:v>0</c:v>
                </c:pt>
                <c:pt idx="28">
                  <c:v>0</c:v>
                </c:pt>
                <c:pt idx="29">
                  <c:v>144</c:v>
                </c:pt>
                <c:pt idx="30">
                  <c:v>0</c:v>
                </c:pt>
                <c:pt idx="31">
                  <c:v>0</c:v>
                </c:pt>
              </c:numCache>
            </c:numRef>
          </c:val>
          <c:extLst>
            <c:ext xmlns:c16="http://schemas.microsoft.com/office/drawing/2014/chart" uri="{C3380CC4-5D6E-409C-BE32-E72D297353CC}">
              <c16:uniqueId val="{00000000-2ADB-42B1-AFE4-4F409B09FE63}"/>
            </c:ext>
          </c:extLst>
        </c:ser>
        <c:dLbls>
          <c:showLegendKey val="0"/>
          <c:showVal val="0"/>
          <c:showCatName val="0"/>
          <c:showSerName val="0"/>
          <c:showPercent val="0"/>
          <c:showBubbleSize val="0"/>
        </c:dLbls>
        <c:gapWidth val="150"/>
        <c:axId val="147008128"/>
        <c:axId val="147014400"/>
      </c:barChart>
      <c:catAx>
        <c:axId val="147008128"/>
        <c:scaling>
          <c:orientation val="minMax"/>
        </c:scaling>
        <c:delete val="0"/>
        <c:axPos val="b"/>
        <c:title>
          <c:tx>
            <c:rich>
              <a:bodyPr/>
              <a:lstStyle/>
              <a:p>
                <a:pPr>
                  <a:defRPr sz="1100"/>
                </a:pPr>
                <a:r>
                  <a:rPr lang="en-US" sz="1100"/>
                  <a:t>Ln(VALUE)</a:t>
                </a:r>
              </a:p>
            </c:rich>
          </c:tx>
          <c:overlay val="0"/>
        </c:title>
        <c:numFmt formatCode="General" sourceLinked="0"/>
        <c:majorTickMark val="out"/>
        <c:minorTickMark val="none"/>
        <c:tickLblPos val="nextTo"/>
        <c:crossAx val="147014400"/>
        <c:crosses val="autoZero"/>
        <c:auto val="1"/>
        <c:lblAlgn val="ctr"/>
        <c:lblOffset val="100"/>
        <c:noMultiLvlLbl val="0"/>
      </c:catAx>
      <c:valAx>
        <c:axId val="147014400"/>
        <c:scaling>
          <c:orientation val="minMax"/>
        </c:scaling>
        <c:delete val="0"/>
        <c:axPos val="l"/>
        <c:title>
          <c:tx>
            <c:rich>
              <a:bodyPr/>
              <a:lstStyle/>
              <a:p>
                <a:pPr>
                  <a:defRPr sz="1100"/>
                </a:pPr>
                <a:r>
                  <a:rPr lang="en-US" sz="1100"/>
                  <a:t>Frequency</a:t>
                </a:r>
              </a:p>
            </c:rich>
          </c:tx>
          <c:overlay val="0"/>
        </c:title>
        <c:numFmt formatCode="General" sourceLinked="1"/>
        <c:majorTickMark val="out"/>
        <c:minorTickMark val="none"/>
        <c:tickLblPos val="nextTo"/>
        <c:txPr>
          <a:bodyPr/>
          <a:lstStyle/>
          <a:p>
            <a:pPr>
              <a:defRPr sz="1050"/>
            </a:pPr>
            <a:endParaRPr lang="it-IT"/>
          </a:p>
        </c:txPr>
        <c:crossAx val="147008128"/>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57150</xdr:rowOff>
    </xdr:from>
    <xdr:to>
      <xdr:col>11</xdr:col>
      <xdr:colOff>381000</xdr:colOff>
      <xdr:row>43</xdr:row>
      <xdr:rowOff>19050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76225" y="247650"/>
          <a:ext cx="6810375" cy="796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Summary Report</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(Please include a summary of your key findings here)</a:t>
          </a:r>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r>
            <a:rPr lang="en-US" sz="1100" b="1">
              <a:solidFill>
                <a:schemeClr val="dk1"/>
              </a:solidFill>
              <a:effectLst/>
              <a:latin typeface="+mn-lt"/>
              <a:ea typeface="+mn-ea"/>
              <a:cs typeface="+mn-cs"/>
            </a:rPr>
            <a:t>A Regression Model to predict the Market Value of Housing Units in Year 2013</a:t>
          </a:r>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rgbClr val="002060"/>
              </a:solidFill>
              <a:effectLst/>
              <a:latin typeface="+mn-lt"/>
              <a:ea typeface="+mn-ea"/>
              <a:cs typeface="+mn-cs"/>
            </a:rPr>
            <a:t>Interpretation of coefficients</a:t>
          </a:r>
          <a:endParaRPr lang="it-IT">
            <a:solidFill>
              <a:srgbClr val="002060"/>
            </a:solidFill>
            <a:effectLst/>
          </a:endParaRPr>
        </a:p>
        <a:p>
          <a:endParaRPr lang="en-US" sz="1100" b="0">
            <a:latin typeface="Arial" panose="020B0604020202020204" pitchFamily="34" charset="0"/>
            <a:cs typeface="Arial" panose="020B0604020202020204" pitchFamily="34" charset="0"/>
          </a:endParaRPr>
        </a:p>
        <a:p>
          <a:r>
            <a:rPr lang="en-US" sz="1400" b="0">
              <a:latin typeface="+mn-lt"/>
              <a:cs typeface="Arial" panose="020B0604020202020204" pitchFamily="34" charset="0"/>
            </a:rPr>
            <a:t>As established</a:t>
          </a:r>
          <a:r>
            <a:rPr lang="en-US" sz="1400" b="0" baseline="0">
              <a:latin typeface="+mn-lt"/>
              <a:cs typeface="Arial" panose="020B0604020202020204" pitchFamily="34" charset="0"/>
            </a:rPr>
            <a:t> in the assignment 3 we follow the same model to estiamte the regression to predict the 2013 market value. The dependent variables were sourced from 2013 data while the independent variables are sourced from 2011 data. </a:t>
          </a:r>
          <a:endParaRPr lang="en-US" sz="1400" b="0">
            <a:latin typeface="+mn-lt"/>
            <a:cs typeface="Arial" panose="020B0604020202020204" pitchFamily="34" charset="0"/>
          </a:endParaRPr>
        </a:p>
        <a:p>
          <a:endParaRPr lang="en-US" sz="1400" b="0">
            <a:latin typeface="+mn-lt"/>
            <a:cs typeface="Arial" panose="020B0604020202020204" pitchFamily="34" charset="0"/>
          </a:endParaRPr>
        </a:p>
        <a:p>
          <a:endParaRPr lang="en-US" sz="1400" b="0">
            <a:latin typeface="+mn-lt"/>
            <a:cs typeface="Arial" panose="020B0604020202020204" pitchFamily="34" charset="0"/>
          </a:endParaRPr>
        </a:p>
        <a:p>
          <a:r>
            <a:rPr lang="en-US" sz="1400" b="0">
              <a:latin typeface="+mn-lt"/>
              <a:cs typeface="Arial" panose="020B0604020202020204" pitchFamily="34" charset="0"/>
            </a:rPr>
            <a:t>Comments</a:t>
          </a:r>
        </a:p>
        <a:p>
          <a:r>
            <a:rPr lang="en-US" sz="1400" b="0">
              <a:latin typeface="+mn-lt"/>
              <a:cs typeface="Arial" panose="020B0604020202020204" pitchFamily="34" charset="0"/>
            </a:rPr>
            <a:t>The</a:t>
          </a:r>
          <a:r>
            <a:rPr lang="en-US" sz="1400" b="0" baseline="0">
              <a:latin typeface="+mn-lt"/>
              <a:cs typeface="Arial" panose="020B0604020202020204" pitchFamily="34" charset="0"/>
            </a:rPr>
            <a:t> hold-out sample is given by 1000 housing units.</a:t>
          </a:r>
        </a:p>
        <a:p>
          <a:r>
            <a:rPr lang="en-US" sz="1400" b="0" baseline="0">
              <a:latin typeface="+mn-lt"/>
              <a:cs typeface="Arial" panose="020B0604020202020204" pitchFamily="34" charset="0"/>
            </a:rPr>
            <a:t>The regression coefficients were applied to this sample to generate predicted market values. </a:t>
          </a:r>
          <a:endParaRPr lang="en-US" sz="1400" b="0">
            <a:latin typeface="+mn-lt"/>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effectLst/>
              <a:latin typeface="+mn-lt"/>
              <a:ea typeface="+mn-ea"/>
              <a:cs typeface="+mn-cs"/>
            </a:rPr>
            <a:t>The regression model  has a R-square of 0.60 because we added the Market Value for year 2011 as an additional 'X' variable.</a:t>
          </a:r>
          <a:endParaRPr lang="it-IT" sz="1400">
            <a:effectLst/>
            <a:latin typeface="+mn-lt"/>
          </a:endParaRPr>
        </a:p>
        <a:p>
          <a:endParaRPr lang="en-US" sz="1400" b="0">
            <a:latin typeface="+mn-lt"/>
            <a:cs typeface="Arial" panose="020B0604020202020204" pitchFamily="34" charset="0"/>
          </a:endParaRPr>
        </a:p>
        <a:p>
          <a:endParaRPr lang="en-US" sz="1400" b="0">
            <a:latin typeface="+mn-lt"/>
            <a:cs typeface="Arial" panose="020B0604020202020204" pitchFamily="34" charset="0"/>
          </a:endParaRPr>
        </a:p>
        <a:p>
          <a:endParaRPr lang="en-US" sz="1400" b="0">
            <a:latin typeface="+mn-lt"/>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0</xdr:row>
      <xdr:rowOff>180975</xdr:rowOff>
    </xdr:from>
    <xdr:to>
      <xdr:col>11</xdr:col>
      <xdr:colOff>285750</xdr:colOff>
      <xdr:row>5</xdr:row>
      <xdr:rowOff>76200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80975" y="180975"/>
          <a:ext cx="68103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Data Descriptors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(Please report any descriptive statistics on the data that you calculate)</a:t>
          </a:r>
          <a:endParaRPr lang="en-US"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104775</xdr:rowOff>
    </xdr:from>
    <xdr:to>
      <xdr:col>11</xdr:col>
      <xdr:colOff>219075</xdr:colOff>
      <xdr:row>5</xdr:row>
      <xdr:rowOff>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14300" y="104775"/>
          <a:ext cx="68103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Graphs and Charts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(Please put down any graphs or charts that you may wish to include in this worksheet)</a:t>
          </a:r>
          <a:endParaRPr lang="en-US" sz="1100" b="0">
            <a:latin typeface="Arial" panose="020B0604020202020204" pitchFamily="34" charset="0"/>
            <a:cs typeface="Arial" panose="020B0604020202020204" pitchFamily="34" charset="0"/>
          </a:endParaRPr>
        </a:p>
      </xdr:txBody>
    </xdr:sp>
    <xdr:clientData/>
  </xdr:twoCellAnchor>
  <xdr:twoCellAnchor>
    <xdr:from>
      <xdr:col>0</xdr:col>
      <xdr:colOff>571500</xdr:colOff>
      <xdr:row>9</xdr:row>
      <xdr:rowOff>121920</xdr:rowOff>
    </xdr:from>
    <xdr:to>
      <xdr:col>11</xdr:col>
      <xdr:colOff>504825</xdr:colOff>
      <xdr:row>36</xdr:row>
      <xdr:rowOff>36195</xdr:rowOff>
    </xdr:to>
    <xdr:graphicFrame macro="">
      <xdr:nvGraphicFramePr>
        <xdr:cNvPr id="4" name="Chart 3">
          <a:extLst>
            <a:ext uri="{FF2B5EF4-FFF2-40B4-BE49-F238E27FC236}">
              <a16:creationId xmlns:a16="http://schemas.microsoft.com/office/drawing/2014/main" id="{6D1F58E5-890F-4A95-998E-783AA7CF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42</xdr:row>
      <xdr:rowOff>0</xdr:rowOff>
    </xdr:from>
    <xdr:to>
      <xdr:col>11</xdr:col>
      <xdr:colOff>542925</xdr:colOff>
      <xdr:row>68</xdr:row>
      <xdr:rowOff>114300</xdr:rowOff>
    </xdr:to>
    <xdr:graphicFrame macro="">
      <xdr:nvGraphicFramePr>
        <xdr:cNvPr id="5" name="Chart 11">
          <a:extLst>
            <a:ext uri="{FF2B5EF4-FFF2-40B4-BE49-F238E27FC236}">
              <a16:creationId xmlns:a16="http://schemas.microsoft.com/office/drawing/2014/main" id="{76278E7A-92BC-4061-B42E-EEE7E1288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142875</xdr:colOff>
      <xdr:row>0</xdr:row>
      <xdr:rowOff>114300</xdr:rowOff>
    </xdr:from>
    <xdr:to>
      <xdr:col>11</xdr:col>
      <xdr:colOff>247650</xdr:colOff>
      <xdr:row>5</xdr:row>
      <xdr:rowOff>9525</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42875" y="114300"/>
          <a:ext cx="68103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Statistical Tests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(This worksheet should contain any statistical tests that you may have conducted using the data.)</a:t>
          </a:r>
          <a:endParaRPr lang="en-US" sz="1100" b="0">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leon\Downloads\_de21fa4db078e8ef503a16300b1a2399_Sample-Solution_-Week-4_-Assignment.xlsx" TargetMode="External"/><Relationship Id="rId1" Type="http://schemas.openxmlformats.org/officeDocument/2006/relationships/externalLinkPath" Target="_de21fa4db078e8ef503a16300b1a2399_Sample-Solution_-Week-4_-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Report"/>
      <sheetName val="Data Descriptors"/>
      <sheetName val="Graphs and Charts"/>
      <sheetName val="Statistical Tests"/>
    </sheetNames>
    <sheetDataSet>
      <sheetData sheetId="0"/>
      <sheetData sheetId="1"/>
      <sheetData sheetId="2">
        <row r="2">
          <cell r="U2">
            <v>0</v>
          </cell>
          <cell r="V2">
            <v>0</v>
          </cell>
          <cell r="AD2">
            <v>9</v>
          </cell>
          <cell r="AE2">
            <v>0</v>
          </cell>
        </row>
        <row r="3">
          <cell r="U3">
            <v>50000</v>
          </cell>
          <cell r="V3">
            <v>1026</v>
          </cell>
          <cell r="AD3">
            <v>9.1999999999999993</v>
          </cell>
          <cell r="AE3">
            <v>0</v>
          </cell>
        </row>
        <row r="4">
          <cell r="U4">
            <v>100000</v>
          </cell>
          <cell r="V4">
            <v>3674</v>
          </cell>
          <cell r="AD4">
            <v>9.4</v>
          </cell>
          <cell r="AE4">
            <v>67</v>
          </cell>
        </row>
        <row r="5">
          <cell r="U5">
            <v>150000</v>
          </cell>
          <cell r="V5">
            <v>3698</v>
          </cell>
          <cell r="AD5">
            <v>9.6</v>
          </cell>
          <cell r="AE5">
            <v>0</v>
          </cell>
        </row>
        <row r="6">
          <cell r="U6">
            <v>200000</v>
          </cell>
          <cell r="V6">
            <v>3177</v>
          </cell>
          <cell r="AD6">
            <v>9.8000000000000007</v>
          </cell>
          <cell r="AE6">
            <v>0</v>
          </cell>
        </row>
        <row r="7">
          <cell r="U7">
            <v>250000</v>
          </cell>
          <cell r="V7">
            <v>2011</v>
          </cell>
          <cell r="AD7">
            <v>10</v>
          </cell>
          <cell r="AE7">
            <v>96</v>
          </cell>
        </row>
        <row r="8">
          <cell r="U8">
            <v>300000</v>
          </cell>
          <cell r="V8">
            <v>1619</v>
          </cell>
          <cell r="AD8">
            <v>10.199999999999999</v>
          </cell>
          <cell r="AE8">
            <v>0</v>
          </cell>
        </row>
        <row r="9">
          <cell r="U9">
            <v>350000</v>
          </cell>
          <cell r="V9">
            <v>1017</v>
          </cell>
          <cell r="AD9">
            <v>10.4</v>
          </cell>
          <cell r="AE9">
            <v>177</v>
          </cell>
        </row>
        <row r="10">
          <cell r="U10">
            <v>400000</v>
          </cell>
          <cell r="V10">
            <v>883</v>
          </cell>
          <cell r="AD10">
            <v>10.6</v>
          </cell>
          <cell r="AE10">
            <v>280</v>
          </cell>
        </row>
        <row r="11">
          <cell r="U11">
            <v>450000</v>
          </cell>
          <cell r="V11">
            <v>503</v>
          </cell>
          <cell r="AD11">
            <v>10.8</v>
          </cell>
          <cell r="AE11">
            <v>0</v>
          </cell>
        </row>
        <row r="12">
          <cell r="U12">
            <v>500000</v>
          </cell>
          <cell r="V12">
            <v>468</v>
          </cell>
          <cell r="AD12">
            <v>11</v>
          </cell>
          <cell r="AE12">
            <v>406</v>
          </cell>
        </row>
        <row r="13">
          <cell r="U13">
            <v>550000</v>
          </cell>
          <cell r="V13">
            <v>222</v>
          </cell>
          <cell r="AD13">
            <v>11.2</v>
          </cell>
          <cell r="AE13">
            <v>1021</v>
          </cell>
        </row>
        <row r="14">
          <cell r="U14">
            <v>600000</v>
          </cell>
          <cell r="V14">
            <v>305</v>
          </cell>
          <cell r="AD14">
            <v>11.4</v>
          </cell>
          <cell r="AE14">
            <v>846</v>
          </cell>
        </row>
        <row r="15">
          <cell r="U15">
            <v>650000</v>
          </cell>
          <cell r="V15">
            <v>174</v>
          </cell>
          <cell r="AD15">
            <v>11.6</v>
          </cell>
          <cell r="AE15">
            <v>1807</v>
          </cell>
        </row>
        <row r="16">
          <cell r="U16">
            <v>700000</v>
          </cell>
          <cell r="V16">
            <v>151</v>
          </cell>
          <cell r="AD16">
            <v>11.8</v>
          </cell>
          <cell r="AE16">
            <v>1892</v>
          </cell>
        </row>
        <row r="17">
          <cell r="U17">
            <v>750000</v>
          </cell>
          <cell r="V17">
            <v>133</v>
          </cell>
          <cell r="AD17">
            <v>12</v>
          </cell>
          <cell r="AE17">
            <v>2298</v>
          </cell>
        </row>
        <row r="18">
          <cell r="U18">
            <v>800000</v>
          </cell>
          <cell r="V18">
            <v>142</v>
          </cell>
          <cell r="AD18">
            <v>12.2</v>
          </cell>
          <cell r="AE18">
            <v>1652</v>
          </cell>
        </row>
        <row r="19">
          <cell r="U19">
            <v>850000</v>
          </cell>
          <cell r="V19">
            <v>68</v>
          </cell>
          <cell r="AD19">
            <v>12.4</v>
          </cell>
          <cell r="AE19">
            <v>2222</v>
          </cell>
        </row>
        <row r="20">
          <cell r="U20">
            <v>900000</v>
          </cell>
          <cell r="V20">
            <v>90</v>
          </cell>
          <cell r="AD20">
            <v>12.6</v>
          </cell>
          <cell r="AE20">
            <v>1655</v>
          </cell>
        </row>
        <row r="21">
          <cell r="U21">
            <v>950000</v>
          </cell>
          <cell r="V21">
            <v>22</v>
          </cell>
          <cell r="AD21">
            <v>12.8</v>
          </cell>
          <cell r="AE21">
            <v>1879</v>
          </cell>
        </row>
        <row r="22">
          <cell r="U22">
            <v>1000000</v>
          </cell>
          <cell r="V22">
            <v>119</v>
          </cell>
          <cell r="AD22">
            <v>13</v>
          </cell>
          <cell r="AE22">
            <v>1025</v>
          </cell>
        </row>
        <row r="23">
          <cell r="U23">
            <v>1050000</v>
          </cell>
          <cell r="V23">
            <v>6</v>
          </cell>
          <cell r="AD23">
            <v>13.2</v>
          </cell>
          <cell r="AE23">
            <v>826</v>
          </cell>
        </row>
        <row r="24">
          <cell r="U24">
            <v>1100000</v>
          </cell>
          <cell r="V24">
            <v>21</v>
          </cell>
          <cell r="AD24">
            <v>13.4</v>
          </cell>
          <cell r="AE24">
            <v>631</v>
          </cell>
        </row>
        <row r="25">
          <cell r="U25">
            <v>1150000</v>
          </cell>
          <cell r="V25">
            <v>1</v>
          </cell>
          <cell r="AD25">
            <v>13.6</v>
          </cell>
          <cell r="AE25">
            <v>423</v>
          </cell>
        </row>
        <row r="26">
          <cell r="U26">
            <v>1200000</v>
          </cell>
          <cell r="V26">
            <v>34</v>
          </cell>
          <cell r="AD26">
            <v>13.8</v>
          </cell>
          <cell r="AE26">
            <v>188</v>
          </cell>
        </row>
        <row r="27">
          <cell r="U27">
            <v>1250000</v>
          </cell>
          <cell r="V27">
            <v>7</v>
          </cell>
          <cell r="AD27">
            <v>14</v>
          </cell>
          <cell r="AE27">
            <v>173</v>
          </cell>
        </row>
        <row r="28">
          <cell r="U28">
            <v>1300000</v>
          </cell>
          <cell r="V28">
            <v>11</v>
          </cell>
          <cell r="AD28">
            <v>14.2</v>
          </cell>
          <cell r="AE28">
            <v>22</v>
          </cell>
        </row>
        <row r="29">
          <cell r="U29">
            <v>1350000</v>
          </cell>
          <cell r="V29">
            <v>3</v>
          </cell>
          <cell r="AD29">
            <v>14.4</v>
          </cell>
          <cell r="AE29">
            <v>0</v>
          </cell>
        </row>
        <row r="30">
          <cell r="U30">
            <v>1400000</v>
          </cell>
          <cell r="V30">
            <v>1</v>
          </cell>
          <cell r="AD30">
            <v>14.6</v>
          </cell>
          <cell r="AE30">
            <v>0</v>
          </cell>
        </row>
        <row r="31">
          <cell r="U31">
            <v>1450000</v>
          </cell>
          <cell r="V31">
            <v>0</v>
          </cell>
          <cell r="AD31">
            <v>14.8</v>
          </cell>
          <cell r="AE31">
            <v>144</v>
          </cell>
        </row>
        <row r="32">
          <cell r="U32">
            <v>1500000</v>
          </cell>
          <cell r="V32">
            <v>0</v>
          </cell>
          <cell r="AD32">
            <v>15</v>
          </cell>
          <cell r="AE32">
            <v>0</v>
          </cell>
        </row>
        <row r="33">
          <cell r="U33" t="str">
            <v>More</v>
          </cell>
          <cell r="V33">
            <v>144</v>
          </cell>
          <cell r="AD33" t="str">
            <v>More</v>
          </cell>
          <cell r="AE33">
            <v>0</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47" sqref="D47"/>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9:T26"/>
  <sheetViews>
    <sheetView topLeftCell="A4" workbookViewId="0">
      <selection activeCell="V14" sqref="V14"/>
    </sheetView>
  </sheetViews>
  <sheetFormatPr defaultRowHeight="14.4" x14ac:dyDescent="0.3"/>
  <sheetData>
    <row r="9" spans="2:20" ht="18" x14ac:dyDescent="0.35">
      <c r="C9" s="1" t="s">
        <v>0</v>
      </c>
    </row>
    <row r="11" spans="2:20" ht="15" thickBot="1" x14ac:dyDescent="0.35"/>
    <row r="12" spans="2:20" x14ac:dyDescent="0.3">
      <c r="B12" s="2"/>
      <c r="C12" s="2" t="s">
        <v>1</v>
      </c>
      <c r="D12" s="2" t="s">
        <v>2</v>
      </c>
      <c r="E12" s="2" t="s">
        <v>3</v>
      </c>
      <c r="F12" s="2" t="s">
        <v>4</v>
      </c>
      <c r="G12" s="2" t="s">
        <v>5</v>
      </c>
      <c r="H12" s="2" t="s">
        <v>6</v>
      </c>
      <c r="I12" s="2" t="s">
        <v>7</v>
      </c>
      <c r="J12" s="2" t="s">
        <v>8</v>
      </c>
      <c r="K12" s="2" t="s">
        <v>9</v>
      </c>
      <c r="L12" s="2" t="s">
        <v>10</v>
      </c>
      <c r="M12" s="2" t="s">
        <v>11</v>
      </c>
      <c r="N12" s="2" t="s">
        <v>12</v>
      </c>
      <c r="O12" s="2" t="s">
        <v>13</v>
      </c>
      <c r="P12" s="2" t="s">
        <v>14</v>
      </c>
      <c r="Q12" s="2" t="s">
        <v>15</v>
      </c>
      <c r="R12" s="2" t="s">
        <v>16</v>
      </c>
      <c r="S12" s="2" t="s">
        <v>17</v>
      </c>
      <c r="T12" s="2" t="s">
        <v>18</v>
      </c>
    </row>
    <row r="14" spans="2:20" x14ac:dyDescent="0.3">
      <c r="B14" t="s">
        <v>19</v>
      </c>
      <c r="C14">
        <v>252262.03750633553</v>
      </c>
      <c r="D14">
        <v>12.121971594245618</v>
      </c>
      <c r="E14">
        <v>55.109630005068425</v>
      </c>
      <c r="F14">
        <v>0.21626964014191585</v>
      </c>
      <c r="G14">
        <v>0.17156614292954891</v>
      </c>
      <c r="H14">
        <v>0.2701976685250887</v>
      </c>
      <c r="I14">
        <v>0.35965534718702485</v>
      </c>
      <c r="J14">
        <v>11.092258152244925</v>
      </c>
      <c r="K14">
        <v>7.035718044937437</v>
      </c>
      <c r="L14">
        <v>3.2552965027876328</v>
      </c>
      <c r="M14">
        <v>1969.4847440446022</v>
      </c>
      <c r="N14">
        <v>6.6364419665484036</v>
      </c>
      <c r="O14">
        <v>2.6659908768373035</v>
      </c>
      <c r="P14">
        <v>11.002937824844192</v>
      </c>
      <c r="Q14">
        <v>0.97754688291941205</v>
      </c>
      <c r="R14">
        <v>5.5341337416738137</v>
      </c>
      <c r="S14">
        <v>4.2274794105693347</v>
      </c>
      <c r="T14">
        <v>12.114184236354538</v>
      </c>
    </row>
    <row r="15" spans="2:20" x14ac:dyDescent="0.3">
      <c r="B15" t="s">
        <v>20</v>
      </c>
      <c r="C15">
        <v>1917.4489919923337</v>
      </c>
      <c r="D15">
        <v>5.5241011620165243E-3</v>
      </c>
      <c r="E15">
        <v>0.10984942830880369</v>
      </c>
      <c r="F15">
        <v>2.9310861120546584E-3</v>
      </c>
      <c r="G15">
        <v>2.6840597367374119E-3</v>
      </c>
      <c r="H15">
        <v>3.1614832518937074E-3</v>
      </c>
      <c r="I15">
        <v>3.4166273889802922E-3</v>
      </c>
      <c r="J15">
        <v>1.2077721384320908E-3</v>
      </c>
      <c r="K15">
        <v>2.2076428521498911E-3</v>
      </c>
      <c r="L15">
        <v>5.9072168608255201E-3</v>
      </c>
      <c r="M15">
        <v>0.18767992436774825</v>
      </c>
      <c r="N15">
        <v>1.1457304743539988E-2</v>
      </c>
      <c r="O15">
        <v>1.0021244169016466E-2</v>
      </c>
      <c r="P15">
        <v>6.3815110180112629E-3</v>
      </c>
      <c r="Q15">
        <v>1.0547622590330041E-3</v>
      </c>
      <c r="R15">
        <v>3.2344173613230685E-3</v>
      </c>
      <c r="S15">
        <v>5.5933426610529739E-3</v>
      </c>
      <c r="T15">
        <v>5.3568659378152826E-3</v>
      </c>
    </row>
    <row r="16" spans="2:20" x14ac:dyDescent="0.3">
      <c r="B16" t="s">
        <v>21</v>
      </c>
      <c r="C16">
        <v>180000</v>
      </c>
      <c r="D16">
        <v>12.100712129872347</v>
      </c>
      <c r="E16">
        <v>54</v>
      </c>
      <c r="F16">
        <v>0</v>
      </c>
      <c r="G16">
        <v>0</v>
      </c>
      <c r="H16">
        <v>0</v>
      </c>
      <c r="I16">
        <v>0</v>
      </c>
      <c r="J16">
        <v>11.058889668606032</v>
      </c>
      <c r="K16">
        <v>6.9870283532037085</v>
      </c>
      <c r="L16">
        <v>3</v>
      </c>
      <c r="M16">
        <v>1975</v>
      </c>
      <c r="N16">
        <v>6</v>
      </c>
      <c r="O16">
        <v>2</v>
      </c>
      <c r="P16">
        <v>11.097137256538989</v>
      </c>
      <c r="Q16">
        <v>1</v>
      </c>
      <c r="R16">
        <v>5.5386457426032409</v>
      </c>
      <c r="S16">
        <v>4.1997050778849268</v>
      </c>
      <c r="T16">
        <v>12.100712129872347</v>
      </c>
    </row>
    <row r="17" spans="2:20" x14ac:dyDescent="0.3">
      <c r="B17" t="s">
        <v>22</v>
      </c>
      <c r="C17">
        <v>150000</v>
      </c>
      <c r="D17">
        <v>11.918390573078392</v>
      </c>
      <c r="E17">
        <v>54</v>
      </c>
      <c r="F17">
        <v>0</v>
      </c>
      <c r="G17">
        <v>0</v>
      </c>
      <c r="H17">
        <v>0</v>
      </c>
      <c r="I17">
        <v>0</v>
      </c>
      <c r="J17">
        <v>11.047805889293775</v>
      </c>
      <c r="K17">
        <v>6.8731638342125176</v>
      </c>
      <c r="L17">
        <v>3</v>
      </c>
      <c r="M17">
        <v>1950</v>
      </c>
      <c r="N17">
        <v>6</v>
      </c>
      <c r="O17">
        <v>2</v>
      </c>
      <c r="P17">
        <v>11.512565400154672</v>
      </c>
      <c r="Q17">
        <v>1</v>
      </c>
      <c r="R17">
        <v>5.4806389233419912</v>
      </c>
      <c r="S17">
        <v>3.912023005428146</v>
      </c>
      <c r="T17">
        <v>12.206072645530174</v>
      </c>
    </row>
    <row r="18" spans="2:20" x14ac:dyDescent="0.3">
      <c r="B18" t="s">
        <v>23</v>
      </c>
      <c r="C18">
        <v>269331.63175885484</v>
      </c>
      <c r="D18">
        <v>0.77593468518866615</v>
      </c>
      <c r="E18">
        <v>15.429837193972004</v>
      </c>
      <c r="F18">
        <v>0.4117106680189358</v>
      </c>
      <c r="G18">
        <v>0.37701247420542583</v>
      </c>
      <c r="H18">
        <v>0.44407306090895338</v>
      </c>
      <c r="I18">
        <v>0.47991150410207983</v>
      </c>
      <c r="J18">
        <v>0.16964792398404363</v>
      </c>
      <c r="K18">
        <v>0.31009328237331268</v>
      </c>
      <c r="L18">
        <v>0.82974846419586967</v>
      </c>
      <c r="M18">
        <v>26.36218250886655</v>
      </c>
      <c r="N18">
        <v>1.6093333356053261</v>
      </c>
      <c r="O18">
        <v>1.4076192146789088</v>
      </c>
      <c r="P18">
        <v>0.89636949026853496</v>
      </c>
      <c r="Q18">
        <v>0.14815561797440019</v>
      </c>
      <c r="R18">
        <v>0.45431764253043272</v>
      </c>
      <c r="S18">
        <v>0.7856605897622938</v>
      </c>
      <c r="T18">
        <v>0.75244423719772502</v>
      </c>
    </row>
    <row r="19" spans="2:20" x14ac:dyDescent="0.3">
      <c r="B19" t="s">
        <v>24</v>
      </c>
      <c r="C19">
        <v>72539527865.88739</v>
      </c>
      <c r="D19">
        <v>0.60207463567883446</v>
      </c>
      <c r="E19">
        <v>238.07987583248183</v>
      </c>
      <c r="F19">
        <v>0.16950567416059836</v>
      </c>
      <c r="G19">
        <v>0.14213840570649688</v>
      </c>
      <c r="H19">
        <v>0.19720088342504699</v>
      </c>
      <c r="I19">
        <v>0.23031505176952058</v>
      </c>
      <c r="J19">
        <v>2.8780418112095849E-2</v>
      </c>
      <c r="K19">
        <v>9.615784377305503E-2</v>
      </c>
      <c r="L19">
        <v>0.68848251383540449</v>
      </c>
      <c r="M19">
        <v>694.96466663078945</v>
      </c>
      <c r="N19">
        <v>2.589953785090565</v>
      </c>
      <c r="O19">
        <v>1.9813918535332677</v>
      </c>
      <c r="P19">
        <v>0.80347826308427317</v>
      </c>
      <c r="Q19">
        <v>2.1950087137376409E-2</v>
      </c>
      <c r="R19">
        <v>0.20640452031441003</v>
      </c>
      <c r="S19">
        <v>0.61726256230563536</v>
      </c>
      <c r="T19">
        <v>0.56617233009206624</v>
      </c>
    </row>
    <row r="20" spans="2:20" x14ac:dyDescent="0.3">
      <c r="B20" t="s">
        <v>25</v>
      </c>
      <c r="C20">
        <v>35.412942492383529</v>
      </c>
      <c r="D20">
        <v>0.8866313315966341</v>
      </c>
      <c r="E20">
        <v>-0.58889615017779029</v>
      </c>
      <c r="F20">
        <v>-9.9914677913747418E-2</v>
      </c>
      <c r="G20">
        <v>1.0363195028055023</v>
      </c>
      <c r="H20">
        <v>-0.92870301732424254</v>
      </c>
      <c r="I20">
        <v>-1.6580173572156383</v>
      </c>
      <c r="J20">
        <v>0.71713138185394953</v>
      </c>
      <c r="K20">
        <v>5.6562829452343699E-2</v>
      </c>
      <c r="L20">
        <v>1.005914153629353</v>
      </c>
      <c r="M20">
        <v>-0.87208248006823696</v>
      </c>
      <c r="N20">
        <v>0.99568012237000314</v>
      </c>
      <c r="O20">
        <v>1.6421153511441378</v>
      </c>
      <c r="P20">
        <v>1.7573832814870278</v>
      </c>
      <c r="Q20">
        <v>39.570546282019031</v>
      </c>
      <c r="R20">
        <v>0.92662798502941257</v>
      </c>
      <c r="S20">
        <v>8.4938985964865132</v>
      </c>
      <c r="T20">
        <v>1.0070758672963103</v>
      </c>
    </row>
    <row r="21" spans="2:20" x14ac:dyDescent="0.3">
      <c r="B21" t="s">
        <v>26</v>
      </c>
      <c r="C21">
        <v>4.9365491895793818</v>
      </c>
      <c r="D21">
        <v>3.4376480855654167E-2</v>
      </c>
      <c r="E21">
        <v>0.17181292889764879</v>
      </c>
      <c r="F21">
        <v>1.3784395019590703</v>
      </c>
      <c r="G21">
        <v>1.7424736620548336</v>
      </c>
      <c r="H21">
        <v>1.0350802549371452</v>
      </c>
      <c r="I21">
        <v>0.58493651258141877</v>
      </c>
      <c r="J21">
        <v>0.56731060007595846</v>
      </c>
      <c r="K21">
        <v>0.49679657640319452</v>
      </c>
      <c r="L21">
        <v>0.46422875354411008</v>
      </c>
      <c r="M21">
        <v>-0.37176344218754392</v>
      </c>
      <c r="N21">
        <v>0.76414927784142928</v>
      </c>
      <c r="O21">
        <v>1.086002785710565</v>
      </c>
      <c r="P21">
        <v>-0.73119752346770961</v>
      </c>
      <c r="Q21">
        <v>-6.4472114193912118</v>
      </c>
      <c r="R21">
        <v>-0.2152119803351675</v>
      </c>
      <c r="S21">
        <v>-0.8692187919100296</v>
      </c>
      <c r="T21">
        <v>8.7369007749302841E-2</v>
      </c>
    </row>
    <row r="22" spans="2:20" x14ac:dyDescent="0.3">
      <c r="B22" t="s">
        <v>27</v>
      </c>
      <c r="C22">
        <v>2510000</v>
      </c>
      <c r="D22">
        <v>5.5294290875114225</v>
      </c>
      <c r="E22">
        <v>76</v>
      </c>
      <c r="F22">
        <v>1</v>
      </c>
      <c r="G22">
        <v>1</v>
      </c>
      <c r="H22">
        <v>1</v>
      </c>
      <c r="I22">
        <v>1</v>
      </c>
      <c r="J22">
        <v>1.3235346723517587</v>
      </c>
      <c r="K22">
        <v>2.1469217342429401</v>
      </c>
      <c r="L22">
        <v>8</v>
      </c>
      <c r="M22">
        <v>92</v>
      </c>
      <c r="N22">
        <v>13</v>
      </c>
      <c r="O22">
        <v>13</v>
      </c>
      <c r="P22">
        <v>7.3115870539276226</v>
      </c>
      <c r="Q22">
        <v>1</v>
      </c>
      <c r="R22">
        <v>5.0218262635629545</v>
      </c>
      <c r="S22">
        <v>9.8470230159761627</v>
      </c>
      <c r="T22">
        <v>7.9871020627446727</v>
      </c>
    </row>
    <row r="23" spans="2:20" x14ac:dyDescent="0.3">
      <c r="B23" t="s">
        <v>28</v>
      </c>
      <c r="C23">
        <v>10000</v>
      </c>
      <c r="D23">
        <v>9.2103403719761836</v>
      </c>
      <c r="E23">
        <v>17</v>
      </c>
      <c r="F23">
        <v>0</v>
      </c>
      <c r="G23">
        <v>0</v>
      </c>
      <c r="H23">
        <v>0</v>
      </c>
      <c r="I23">
        <v>0</v>
      </c>
      <c r="J23">
        <v>10.425253116340453</v>
      </c>
      <c r="K23">
        <v>6.0378709199221374</v>
      </c>
      <c r="L23">
        <v>0</v>
      </c>
      <c r="M23">
        <v>1919</v>
      </c>
      <c r="N23">
        <v>1</v>
      </c>
      <c r="O23">
        <v>1</v>
      </c>
      <c r="P23">
        <v>6.9077552789821368</v>
      </c>
      <c r="Q23">
        <v>0</v>
      </c>
      <c r="R23">
        <v>2.2064412324374736</v>
      </c>
      <c r="S23">
        <v>-2.4849066501880004</v>
      </c>
      <c r="T23">
        <v>7.3132203870903014</v>
      </c>
    </row>
    <row r="24" spans="2:20" x14ac:dyDescent="0.3">
      <c r="B24" t="s">
        <v>29</v>
      </c>
      <c r="C24">
        <v>2520000</v>
      </c>
      <c r="D24">
        <v>14.739769459487606</v>
      </c>
      <c r="E24">
        <v>93</v>
      </c>
      <c r="F24">
        <v>1</v>
      </c>
      <c r="G24">
        <v>1</v>
      </c>
      <c r="H24">
        <v>1</v>
      </c>
      <c r="I24">
        <v>1</v>
      </c>
      <c r="J24">
        <v>11.748787788692212</v>
      </c>
      <c r="K24">
        <v>8.1847926541650775</v>
      </c>
      <c r="L24">
        <v>8</v>
      </c>
      <c r="M24">
        <v>2011</v>
      </c>
      <c r="N24">
        <v>14</v>
      </c>
      <c r="O24">
        <v>14</v>
      </c>
      <c r="P24">
        <v>14.219342332909759</v>
      </c>
      <c r="Q24">
        <v>1</v>
      </c>
      <c r="R24">
        <v>7.2282674960004281</v>
      </c>
      <c r="S24">
        <v>7.3621163657881628</v>
      </c>
      <c r="T24">
        <v>15.300322449834974</v>
      </c>
    </row>
    <row r="25" spans="2:20" x14ac:dyDescent="0.3">
      <c r="B25" t="s">
        <v>30</v>
      </c>
      <c r="C25">
        <v>4977130000</v>
      </c>
      <c r="D25">
        <v>239166.49955446605</v>
      </c>
      <c r="E25">
        <v>1087313</v>
      </c>
      <c r="F25">
        <v>4267</v>
      </c>
      <c r="G25">
        <v>3385</v>
      </c>
      <c r="H25">
        <v>5331</v>
      </c>
      <c r="I25">
        <v>7096</v>
      </c>
      <c r="J25">
        <v>218850.25334379237</v>
      </c>
      <c r="K25">
        <v>138814.71702661563</v>
      </c>
      <c r="L25">
        <v>64227</v>
      </c>
      <c r="M25">
        <v>38857934</v>
      </c>
      <c r="N25">
        <v>130937</v>
      </c>
      <c r="O25">
        <v>52600</v>
      </c>
      <c r="P25">
        <v>217087.9632841759</v>
      </c>
      <c r="Q25">
        <v>19287</v>
      </c>
      <c r="R25">
        <v>109188.45872322434</v>
      </c>
      <c r="S25">
        <v>83408.168770532982</v>
      </c>
      <c r="T25">
        <v>239012.85498327503</v>
      </c>
    </row>
    <row r="26" spans="2:20" ht="15" thickBot="1" x14ac:dyDescent="0.35">
      <c r="B26" s="3" t="s">
        <v>31</v>
      </c>
      <c r="C26" s="3">
        <v>19730</v>
      </c>
      <c r="D26" s="3">
        <v>19730</v>
      </c>
      <c r="E26" s="3">
        <v>19730</v>
      </c>
      <c r="F26" s="3">
        <v>19730</v>
      </c>
      <c r="G26" s="3">
        <v>19730</v>
      </c>
      <c r="H26" s="3">
        <v>19730</v>
      </c>
      <c r="I26" s="3">
        <v>19730</v>
      </c>
      <c r="J26" s="3">
        <v>19730</v>
      </c>
      <c r="K26" s="3">
        <v>19730</v>
      </c>
      <c r="L26" s="3">
        <v>19730</v>
      </c>
      <c r="M26" s="3">
        <v>19730</v>
      </c>
      <c r="N26" s="3">
        <v>19730</v>
      </c>
      <c r="O26" s="3">
        <v>19730</v>
      </c>
      <c r="P26" s="3">
        <v>19730</v>
      </c>
      <c r="Q26" s="3">
        <v>19730</v>
      </c>
      <c r="R26" s="3">
        <v>19730</v>
      </c>
      <c r="S26" s="3">
        <v>19730</v>
      </c>
      <c r="T26" s="3">
        <v>19730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40"/>
  <sheetViews>
    <sheetView workbookViewId="0">
      <selection activeCell="O46" sqref="O46"/>
    </sheetView>
  </sheetViews>
  <sheetFormatPr defaultRowHeight="14.4" x14ac:dyDescent="0.3"/>
  <sheetData>
    <row r="1" spans="2:21" ht="15" thickBot="1" x14ac:dyDescent="0.35"/>
    <row r="2" spans="2:21" x14ac:dyDescent="0.3">
      <c r="O2" t="s">
        <v>1</v>
      </c>
      <c r="T2" s="2" t="s">
        <v>32</v>
      </c>
      <c r="U2" s="2" t="s">
        <v>33</v>
      </c>
    </row>
    <row r="3" spans="2:21" x14ac:dyDescent="0.3">
      <c r="O3">
        <v>170000</v>
      </c>
      <c r="Q3" s="4" t="s">
        <v>34</v>
      </c>
      <c r="T3">
        <v>0</v>
      </c>
      <c r="U3">
        <v>0</v>
      </c>
    </row>
    <row r="4" spans="2:21" x14ac:dyDescent="0.3">
      <c r="O4">
        <v>360000</v>
      </c>
      <c r="Q4">
        <v>0</v>
      </c>
      <c r="T4">
        <v>50000</v>
      </c>
      <c r="U4">
        <v>1026</v>
      </c>
    </row>
    <row r="5" spans="2:21" x14ac:dyDescent="0.3">
      <c r="O5">
        <v>60000</v>
      </c>
      <c r="Q5">
        <v>50000</v>
      </c>
      <c r="T5">
        <v>100000</v>
      </c>
      <c r="U5">
        <v>3674</v>
      </c>
    </row>
    <row r="6" spans="2:21" x14ac:dyDescent="0.3">
      <c r="O6">
        <v>190000</v>
      </c>
      <c r="Q6">
        <v>100000</v>
      </c>
      <c r="T6">
        <v>150000</v>
      </c>
      <c r="U6">
        <v>3698</v>
      </c>
    </row>
    <row r="7" spans="2:21" x14ac:dyDescent="0.3">
      <c r="O7">
        <v>300000</v>
      </c>
      <c r="Q7">
        <v>150000</v>
      </c>
      <c r="T7">
        <v>200000</v>
      </c>
      <c r="U7">
        <v>3177</v>
      </c>
    </row>
    <row r="8" spans="2:21" x14ac:dyDescent="0.3">
      <c r="O8">
        <v>220000</v>
      </c>
      <c r="Q8">
        <v>200000</v>
      </c>
      <c r="T8">
        <v>250000</v>
      </c>
      <c r="U8">
        <v>2011</v>
      </c>
    </row>
    <row r="9" spans="2:21" ht="18" x14ac:dyDescent="0.35">
      <c r="B9" s="1" t="s">
        <v>36</v>
      </c>
      <c r="O9">
        <v>800000</v>
      </c>
      <c r="Q9">
        <v>250000</v>
      </c>
      <c r="T9">
        <v>300000</v>
      </c>
      <c r="U9">
        <v>1619</v>
      </c>
    </row>
    <row r="10" spans="2:21" x14ac:dyDescent="0.3">
      <c r="O10">
        <v>50000</v>
      </c>
      <c r="Q10">
        <v>300000</v>
      </c>
      <c r="T10">
        <v>350000</v>
      </c>
      <c r="U10">
        <v>1017</v>
      </c>
    </row>
    <row r="11" spans="2:21" x14ac:dyDescent="0.3">
      <c r="O11">
        <v>40000</v>
      </c>
      <c r="Q11">
        <v>350000</v>
      </c>
      <c r="T11">
        <v>400000</v>
      </c>
      <c r="U11">
        <v>883</v>
      </c>
    </row>
    <row r="12" spans="2:21" x14ac:dyDescent="0.3">
      <c r="O12">
        <v>110000</v>
      </c>
      <c r="Q12">
        <v>400000</v>
      </c>
      <c r="T12">
        <v>450000</v>
      </c>
      <c r="U12">
        <v>503</v>
      </c>
    </row>
    <row r="13" spans="2:21" x14ac:dyDescent="0.3">
      <c r="O13">
        <v>100000</v>
      </c>
      <c r="Q13">
        <v>450000</v>
      </c>
      <c r="T13">
        <v>500000</v>
      </c>
      <c r="U13">
        <v>468</v>
      </c>
    </row>
    <row r="14" spans="2:21" x14ac:dyDescent="0.3">
      <c r="O14">
        <v>230000</v>
      </c>
      <c r="Q14">
        <v>500000</v>
      </c>
      <c r="T14">
        <v>550000</v>
      </c>
      <c r="U14">
        <v>222</v>
      </c>
    </row>
    <row r="15" spans="2:21" x14ac:dyDescent="0.3">
      <c r="O15">
        <v>180000</v>
      </c>
      <c r="Q15">
        <v>550000</v>
      </c>
      <c r="T15">
        <v>600000</v>
      </c>
      <c r="U15">
        <v>305</v>
      </c>
    </row>
    <row r="16" spans="2:21" x14ac:dyDescent="0.3">
      <c r="O16">
        <v>120000</v>
      </c>
      <c r="Q16">
        <v>600000</v>
      </c>
      <c r="T16">
        <v>650000</v>
      </c>
      <c r="U16">
        <v>174</v>
      </c>
    </row>
    <row r="17" spans="15:21" x14ac:dyDescent="0.3">
      <c r="O17">
        <v>130000</v>
      </c>
      <c r="Q17">
        <v>650000</v>
      </c>
      <c r="T17">
        <v>700000</v>
      </c>
      <c r="U17">
        <v>151</v>
      </c>
    </row>
    <row r="18" spans="15:21" x14ac:dyDescent="0.3">
      <c r="O18">
        <v>130000</v>
      </c>
      <c r="Q18">
        <v>700000</v>
      </c>
      <c r="T18">
        <v>750000</v>
      </c>
      <c r="U18">
        <v>133</v>
      </c>
    </row>
    <row r="19" spans="15:21" x14ac:dyDescent="0.3">
      <c r="O19">
        <v>130000</v>
      </c>
      <c r="Q19">
        <v>750000</v>
      </c>
      <c r="T19">
        <v>800000</v>
      </c>
      <c r="U19">
        <v>142</v>
      </c>
    </row>
    <row r="20" spans="15:21" x14ac:dyDescent="0.3">
      <c r="O20">
        <v>100000</v>
      </c>
      <c r="Q20">
        <v>800000</v>
      </c>
      <c r="T20">
        <v>850000</v>
      </c>
      <c r="U20">
        <v>68</v>
      </c>
    </row>
    <row r="21" spans="15:21" x14ac:dyDescent="0.3">
      <c r="O21">
        <v>300000</v>
      </c>
      <c r="Q21">
        <v>850000</v>
      </c>
      <c r="T21">
        <v>900000</v>
      </c>
      <c r="U21">
        <v>90</v>
      </c>
    </row>
    <row r="22" spans="15:21" x14ac:dyDescent="0.3">
      <c r="O22">
        <v>100000</v>
      </c>
      <c r="Q22">
        <v>900000</v>
      </c>
      <c r="T22">
        <v>950000</v>
      </c>
      <c r="U22">
        <v>22</v>
      </c>
    </row>
    <row r="23" spans="15:21" x14ac:dyDescent="0.3">
      <c r="O23">
        <v>110000</v>
      </c>
      <c r="Q23">
        <v>950000</v>
      </c>
      <c r="T23">
        <v>1000000</v>
      </c>
      <c r="U23">
        <v>119</v>
      </c>
    </row>
    <row r="24" spans="15:21" x14ac:dyDescent="0.3">
      <c r="O24">
        <v>730000</v>
      </c>
      <c r="Q24">
        <v>1000000</v>
      </c>
      <c r="T24">
        <v>1050000</v>
      </c>
      <c r="U24">
        <v>6</v>
      </c>
    </row>
    <row r="25" spans="15:21" x14ac:dyDescent="0.3">
      <c r="O25">
        <v>90000</v>
      </c>
      <c r="Q25">
        <v>1050000</v>
      </c>
      <c r="T25">
        <v>1100000</v>
      </c>
      <c r="U25">
        <v>21</v>
      </c>
    </row>
    <row r="26" spans="15:21" x14ac:dyDescent="0.3">
      <c r="O26">
        <v>720000</v>
      </c>
      <c r="Q26">
        <v>1100000</v>
      </c>
      <c r="T26">
        <v>1150000</v>
      </c>
      <c r="U26">
        <v>1</v>
      </c>
    </row>
    <row r="27" spans="15:21" x14ac:dyDescent="0.3">
      <c r="O27">
        <v>80000</v>
      </c>
      <c r="Q27">
        <v>1150000</v>
      </c>
      <c r="T27">
        <v>1200000</v>
      </c>
      <c r="U27">
        <v>34</v>
      </c>
    </row>
    <row r="28" spans="15:21" x14ac:dyDescent="0.3">
      <c r="O28">
        <v>50000</v>
      </c>
      <c r="Q28">
        <v>1200000</v>
      </c>
      <c r="T28">
        <v>1250000</v>
      </c>
      <c r="U28">
        <v>7</v>
      </c>
    </row>
    <row r="29" spans="15:21" x14ac:dyDescent="0.3">
      <c r="O29">
        <v>60000</v>
      </c>
      <c r="Q29">
        <v>1250000</v>
      </c>
      <c r="T29">
        <v>1300000</v>
      </c>
      <c r="U29">
        <v>11</v>
      </c>
    </row>
    <row r="30" spans="15:21" x14ac:dyDescent="0.3">
      <c r="O30">
        <v>40000</v>
      </c>
      <c r="Q30">
        <v>1300000</v>
      </c>
      <c r="T30">
        <v>1350000</v>
      </c>
      <c r="U30">
        <v>3</v>
      </c>
    </row>
    <row r="31" spans="15:21" x14ac:dyDescent="0.3">
      <c r="O31">
        <v>560000</v>
      </c>
      <c r="Q31">
        <v>1350000</v>
      </c>
      <c r="T31">
        <v>1400000</v>
      </c>
      <c r="U31">
        <v>1</v>
      </c>
    </row>
    <row r="32" spans="15:21" x14ac:dyDescent="0.3">
      <c r="O32">
        <v>120000</v>
      </c>
      <c r="Q32">
        <v>1400000</v>
      </c>
      <c r="T32">
        <v>1450000</v>
      </c>
      <c r="U32">
        <v>0</v>
      </c>
    </row>
    <row r="33" spans="2:21" x14ac:dyDescent="0.3">
      <c r="O33">
        <v>180000</v>
      </c>
      <c r="Q33">
        <v>1450000</v>
      </c>
      <c r="T33">
        <v>1500000</v>
      </c>
      <c r="U33">
        <v>0</v>
      </c>
    </row>
    <row r="34" spans="2:21" ht="15" thickBot="1" x14ac:dyDescent="0.35">
      <c r="O34">
        <v>360000</v>
      </c>
      <c r="Q34">
        <v>1500000</v>
      </c>
      <c r="T34" s="3" t="s">
        <v>35</v>
      </c>
      <c r="U34" s="3">
        <v>144</v>
      </c>
    </row>
    <row r="40" spans="2:21" ht="18" x14ac:dyDescent="0.35">
      <c r="B40" s="1" t="s">
        <v>37</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7:R62"/>
  <sheetViews>
    <sheetView tabSelected="1" topLeftCell="A39" workbookViewId="0">
      <selection activeCell="N42" sqref="N42"/>
    </sheetView>
  </sheetViews>
  <sheetFormatPr defaultRowHeight="14.4" x14ac:dyDescent="0.3"/>
  <sheetData>
    <row r="7" spans="2:18" ht="18" x14ac:dyDescent="0.35">
      <c r="D7" s="1" t="s">
        <v>38</v>
      </c>
    </row>
    <row r="8" spans="2:18" ht="15" thickBot="1" x14ac:dyDescent="0.35"/>
    <row r="9" spans="2:18" x14ac:dyDescent="0.3">
      <c r="B9" s="2"/>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row>
    <row r="10" spans="2:18" x14ac:dyDescent="0.3">
      <c r="B10" t="s">
        <v>3</v>
      </c>
      <c r="C10">
        <v>1</v>
      </c>
    </row>
    <row r="11" spans="2:18" x14ac:dyDescent="0.3">
      <c r="B11" t="s">
        <v>4</v>
      </c>
      <c r="C11">
        <v>-2.1956188245950276E-2</v>
      </c>
      <c r="D11">
        <v>1</v>
      </c>
    </row>
    <row r="12" spans="2:18" x14ac:dyDescent="0.3">
      <c r="B12" t="s">
        <v>5</v>
      </c>
      <c r="C12">
        <v>2.3908180629073218E-2</v>
      </c>
      <c r="D12">
        <v>-6.9905031901473028E-2</v>
      </c>
      <c r="E12">
        <v>1</v>
      </c>
    </row>
    <row r="13" spans="2:18" x14ac:dyDescent="0.3">
      <c r="B13" t="s">
        <v>6</v>
      </c>
      <c r="C13">
        <v>-1.9029351882764018E-2</v>
      </c>
      <c r="D13">
        <v>-1.6061192329200315E-2</v>
      </c>
      <c r="E13">
        <v>-0.27690133492605812</v>
      </c>
      <c r="F13">
        <v>1</v>
      </c>
    </row>
    <row r="14" spans="2:18" x14ac:dyDescent="0.3">
      <c r="B14" t="s">
        <v>7</v>
      </c>
      <c r="C14">
        <v>4.360702899879337E-3</v>
      </c>
      <c r="D14">
        <v>-1.427584653200812E-2</v>
      </c>
      <c r="E14">
        <v>-0.34105407360770656</v>
      </c>
      <c r="F14">
        <v>-0.45601018477822963</v>
      </c>
      <c r="G14">
        <v>1</v>
      </c>
    </row>
    <row r="15" spans="2:18" x14ac:dyDescent="0.3">
      <c r="B15" t="s">
        <v>8</v>
      </c>
      <c r="C15">
        <v>-2.4176363040487092E-2</v>
      </c>
      <c r="D15">
        <v>7.1351446780883426E-2</v>
      </c>
      <c r="E15">
        <v>0.38631087146971599</v>
      </c>
      <c r="F15">
        <v>-9.3992137547033394E-2</v>
      </c>
      <c r="G15">
        <v>-0.34239047999105093</v>
      </c>
      <c r="H15">
        <v>1</v>
      </c>
    </row>
    <row r="16" spans="2:18" x14ac:dyDescent="0.3">
      <c r="B16" t="s">
        <v>9</v>
      </c>
      <c r="C16">
        <v>-4.973839604316968E-2</v>
      </c>
      <c r="D16">
        <v>9.3566920851682056E-2</v>
      </c>
      <c r="E16">
        <v>0.19896723698637395</v>
      </c>
      <c r="F16">
        <v>-0.41285452737511913</v>
      </c>
      <c r="G16">
        <v>-0.13189449127354161</v>
      </c>
      <c r="H16">
        <v>0.65974762473705173</v>
      </c>
      <c r="I16">
        <v>1</v>
      </c>
    </row>
    <row r="17" spans="2:18" x14ac:dyDescent="0.3">
      <c r="B17" t="s">
        <v>10</v>
      </c>
      <c r="C17">
        <v>-0.1108849036575756</v>
      </c>
      <c r="D17">
        <v>-2.3791717493980024E-2</v>
      </c>
      <c r="E17">
        <v>-5.2138763951573722E-3</v>
      </c>
      <c r="F17">
        <v>-4.3329613929680766E-2</v>
      </c>
      <c r="G17">
        <v>1.0490566166195432E-2</v>
      </c>
      <c r="H17">
        <v>0.10127206091653859</v>
      </c>
      <c r="I17">
        <v>0.46799848243635733</v>
      </c>
      <c r="J17">
        <v>1</v>
      </c>
    </row>
    <row r="18" spans="2:18" x14ac:dyDescent="0.3">
      <c r="B18" t="s">
        <v>11</v>
      </c>
      <c r="C18">
        <v>-0.1526285084001352</v>
      </c>
      <c r="D18">
        <v>-0.1269198050185322</v>
      </c>
      <c r="E18">
        <v>-0.19208022486755402</v>
      </c>
      <c r="F18">
        <v>-0.10846871507372101</v>
      </c>
      <c r="G18">
        <v>0.19759580882541644</v>
      </c>
      <c r="H18">
        <v>-0.12035233217650002</v>
      </c>
      <c r="I18">
        <v>3.7800763792790161E-2</v>
      </c>
      <c r="J18">
        <v>0.1512989871793862</v>
      </c>
      <c r="K18">
        <v>1</v>
      </c>
    </row>
    <row r="19" spans="2:18" x14ac:dyDescent="0.3">
      <c r="B19" t="s">
        <v>12</v>
      </c>
      <c r="C19">
        <v>-5.7146974200869012E-2</v>
      </c>
      <c r="D19">
        <v>-3.4019024033341942E-2</v>
      </c>
      <c r="E19">
        <v>3.9066860685459184E-2</v>
      </c>
      <c r="F19">
        <v>-1.6729043444666844E-2</v>
      </c>
      <c r="G19">
        <v>-1.7010210114552081E-2</v>
      </c>
      <c r="H19">
        <v>0.14038342442370727</v>
      </c>
      <c r="I19">
        <v>0.34477675523643619</v>
      </c>
      <c r="J19">
        <v>0.74159315828045791</v>
      </c>
      <c r="K19">
        <v>0.13196092316658076</v>
      </c>
      <c r="L19">
        <v>1</v>
      </c>
    </row>
    <row r="20" spans="2:18" x14ac:dyDescent="0.3">
      <c r="B20" t="s">
        <v>13</v>
      </c>
      <c r="C20">
        <v>-0.41223155736636158</v>
      </c>
      <c r="D20">
        <v>6.0538261376139211E-3</v>
      </c>
      <c r="E20">
        <v>2.5751797323116658E-2</v>
      </c>
      <c r="F20">
        <v>-2.0304161816544621E-2</v>
      </c>
      <c r="G20">
        <v>-4.1558265384068392E-2</v>
      </c>
      <c r="H20">
        <v>8.0197913831309267E-2</v>
      </c>
      <c r="I20">
        <v>0.21973834355077249</v>
      </c>
      <c r="J20">
        <v>0.33500173123628901</v>
      </c>
      <c r="K20">
        <v>9.5730456500127528E-2</v>
      </c>
      <c r="L20">
        <v>0.26279820565674505</v>
      </c>
      <c r="M20">
        <v>1</v>
      </c>
    </row>
    <row r="21" spans="2:18" x14ac:dyDescent="0.3">
      <c r="B21" t="s">
        <v>14</v>
      </c>
      <c r="C21">
        <v>-0.31925151671517693</v>
      </c>
      <c r="D21">
        <v>-2.3573093816626711E-2</v>
      </c>
      <c r="E21">
        <v>4.9347656264314907E-2</v>
      </c>
      <c r="F21">
        <v>-3.2716757391308401E-2</v>
      </c>
      <c r="G21">
        <v>-6.1188448718336445E-2</v>
      </c>
      <c r="H21">
        <v>0.17550079494870344</v>
      </c>
      <c r="I21">
        <v>0.2426145354640398</v>
      </c>
      <c r="J21">
        <v>0.26625488843246681</v>
      </c>
      <c r="K21">
        <v>0.16659632282868586</v>
      </c>
      <c r="L21">
        <v>0.33649714178595541</v>
      </c>
      <c r="M21">
        <v>0.30987789539609617</v>
      </c>
      <c r="N21">
        <v>1</v>
      </c>
    </row>
    <row r="22" spans="2:18" x14ac:dyDescent="0.3">
      <c r="B22" t="s">
        <v>15</v>
      </c>
      <c r="C22">
        <v>-1.5752124677167752E-2</v>
      </c>
      <c r="D22">
        <v>-5.9767836721667713E-3</v>
      </c>
      <c r="E22">
        <v>-1.1793356447065672E-2</v>
      </c>
      <c r="F22">
        <v>2.9813024527121153E-2</v>
      </c>
      <c r="G22">
        <v>-4.0400747624506177E-2</v>
      </c>
      <c r="H22">
        <v>3.8760712676275282E-2</v>
      </c>
      <c r="I22">
        <v>4.5510711699617096E-2</v>
      </c>
      <c r="J22">
        <v>5.4877774867585473E-2</v>
      </c>
      <c r="K22">
        <v>7.8368563773432473E-2</v>
      </c>
      <c r="L22">
        <v>5.1008236864777172E-2</v>
      </c>
      <c r="M22">
        <v>4.8692086495731469E-3</v>
      </c>
      <c r="N22">
        <v>7.2834372249149001E-2</v>
      </c>
      <c r="O22">
        <v>1</v>
      </c>
    </row>
    <row r="23" spans="2:18" x14ac:dyDescent="0.3">
      <c r="B23" t="s">
        <v>16</v>
      </c>
      <c r="C23">
        <v>-8.7561651984947739E-2</v>
      </c>
      <c r="D23">
        <v>4.6298475530292441E-2</v>
      </c>
      <c r="E23">
        <v>0.20394308794973687</v>
      </c>
      <c r="F23">
        <v>-0.17659221026455893</v>
      </c>
      <c r="G23">
        <v>5.3075090551584228E-2</v>
      </c>
      <c r="H23">
        <v>0.17301595528731731</v>
      </c>
      <c r="I23">
        <v>0.29274758601656947</v>
      </c>
      <c r="J23">
        <v>0.33831123695494753</v>
      </c>
      <c r="K23">
        <v>1.0217569688394947E-3</v>
      </c>
      <c r="L23">
        <v>0.38413493446416774</v>
      </c>
      <c r="M23">
        <v>0.31785332037169223</v>
      </c>
      <c r="N23">
        <v>0.25476367944210038</v>
      </c>
      <c r="O23">
        <v>1.2464758265992162E-2</v>
      </c>
      <c r="P23">
        <v>1</v>
      </c>
    </row>
    <row r="24" spans="2:18" x14ac:dyDescent="0.3">
      <c r="B24" t="s">
        <v>17</v>
      </c>
      <c r="C24">
        <v>1.494403872582285E-2</v>
      </c>
      <c r="D24">
        <v>-1.116728197112383E-2</v>
      </c>
      <c r="E24">
        <v>9.2911277623998461E-3</v>
      </c>
      <c r="F24">
        <v>-0.14249170608607484</v>
      </c>
      <c r="G24">
        <v>6.9832054225227189E-2</v>
      </c>
      <c r="H24">
        <v>0.13476590135084654</v>
      </c>
      <c r="I24">
        <v>0.27807551727517099</v>
      </c>
      <c r="J24">
        <v>0.18197574195268987</v>
      </c>
      <c r="K24">
        <v>0.20325520887876689</v>
      </c>
      <c r="L24">
        <v>0.24219088630357005</v>
      </c>
      <c r="M24">
        <v>5.8778496885301172E-2</v>
      </c>
      <c r="N24">
        <v>0.24345117177555844</v>
      </c>
      <c r="O24">
        <v>5.0417649436076115E-2</v>
      </c>
      <c r="P24">
        <v>0.18548518199928984</v>
      </c>
      <c r="Q24">
        <v>1</v>
      </c>
    </row>
    <row r="25" spans="2:18" ht="15" thickBot="1" x14ac:dyDescent="0.35">
      <c r="B25" s="3" t="s">
        <v>18</v>
      </c>
      <c r="C25" s="3">
        <v>-9.2349890715515658E-3</v>
      </c>
      <c r="D25" s="3">
        <v>-2.7127261092607505E-2</v>
      </c>
      <c r="E25" s="3">
        <v>0.14717760758257176</v>
      </c>
      <c r="F25" s="3">
        <v>-0.21458144645085286</v>
      </c>
      <c r="G25" s="3">
        <v>-0.12786390063620717</v>
      </c>
      <c r="H25" s="3">
        <v>0.38007400753503262</v>
      </c>
      <c r="I25" s="3">
        <v>0.53127992981663952</v>
      </c>
      <c r="J25" s="3">
        <v>0.34248029415103043</v>
      </c>
      <c r="K25" s="3">
        <v>0.19271257777696471</v>
      </c>
      <c r="L25" s="3">
        <v>0.41622912120467981</v>
      </c>
      <c r="M25" s="3">
        <v>0.13112267077478551</v>
      </c>
      <c r="N25" s="3">
        <v>0.40227072485641346</v>
      </c>
      <c r="O25" s="3">
        <v>9.4324280091429E-2</v>
      </c>
      <c r="P25" s="3">
        <v>0.27433957171272522</v>
      </c>
      <c r="Q25" s="3">
        <v>0.47433186197692978</v>
      </c>
      <c r="R25" s="3">
        <v>1</v>
      </c>
    </row>
    <row r="29" spans="2:18" ht="18" x14ac:dyDescent="0.35">
      <c r="B29" s="1" t="s">
        <v>39</v>
      </c>
      <c r="E29" s="5" t="s">
        <v>40</v>
      </c>
    </row>
    <row r="30" spans="2:18" x14ac:dyDescent="0.3">
      <c r="B30" t="s">
        <v>41</v>
      </c>
      <c r="E30" t="s">
        <v>64</v>
      </c>
    </row>
    <row r="31" spans="2:18" ht="15" thickBot="1" x14ac:dyDescent="0.35">
      <c r="E31" t="s">
        <v>65</v>
      </c>
    </row>
    <row r="32" spans="2:18" x14ac:dyDescent="0.3">
      <c r="B32" s="6" t="s">
        <v>42</v>
      </c>
      <c r="C32" s="6"/>
      <c r="E32" t="s">
        <v>66</v>
      </c>
    </row>
    <row r="33" spans="2:10" x14ac:dyDescent="0.3">
      <c r="B33" t="s">
        <v>43</v>
      </c>
      <c r="C33">
        <v>0.77668067215937153</v>
      </c>
      <c r="E33" t="s">
        <v>67</v>
      </c>
    </row>
    <row r="34" spans="2:10" x14ac:dyDescent="0.3">
      <c r="B34" t="s">
        <v>44</v>
      </c>
      <c r="C34">
        <v>0.60323286650593322</v>
      </c>
      <c r="E34" t="s">
        <v>68</v>
      </c>
    </row>
    <row r="35" spans="2:10" x14ac:dyDescent="0.3">
      <c r="B35" t="s">
        <v>45</v>
      </c>
      <c r="C35">
        <v>0.60291083159821213</v>
      </c>
    </row>
    <row r="36" spans="2:10" x14ac:dyDescent="0.3">
      <c r="B36" t="s">
        <v>20</v>
      </c>
      <c r="C36">
        <v>0.48895533169965305</v>
      </c>
    </row>
    <row r="37" spans="2:10" ht="15" thickBot="1" x14ac:dyDescent="0.35">
      <c r="B37" s="3" t="s">
        <v>46</v>
      </c>
      <c r="C37" s="3">
        <v>19730</v>
      </c>
    </row>
    <row r="39" spans="2:10" ht="15" thickBot="1" x14ac:dyDescent="0.35">
      <c r="B39" t="s">
        <v>47</v>
      </c>
    </row>
    <row r="40" spans="2:10" x14ac:dyDescent="0.3">
      <c r="B40" s="2"/>
      <c r="C40" s="2" t="s">
        <v>48</v>
      </c>
      <c r="D40" s="2" t="s">
        <v>49</v>
      </c>
      <c r="E40" s="2" t="s">
        <v>50</v>
      </c>
      <c r="F40" s="2" t="s">
        <v>51</v>
      </c>
      <c r="G40" s="2" t="s">
        <v>52</v>
      </c>
    </row>
    <row r="41" spans="2:10" x14ac:dyDescent="0.3">
      <c r="B41" t="s">
        <v>53</v>
      </c>
      <c r="C41">
        <v>16</v>
      </c>
      <c r="D41">
        <v>7165.3993491634574</v>
      </c>
      <c r="E41">
        <v>447.83745932271609</v>
      </c>
      <c r="F41">
        <v>1873.1909244710168</v>
      </c>
      <c r="G41">
        <v>0</v>
      </c>
    </row>
    <row r="42" spans="2:10" x14ac:dyDescent="0.3">
      <c r="B42" t="s">
        <v>54</v>
      </c>
      <c r="C42">
        <v>19713</v>
      </c>
      <c r="D42">
        <v>4712.9311381442676</v>
      </c>
      <c r="E42">
        <v>0.23907731639751775</v>
      </c>
    </row>
    <row r="43" spans="2:10" ht="15" thickBot="1" x14ac:dyDescent="0.35">
      <c r="B43" s="3" t="s">
        <v>55</v>
      </c>
      <c r="C43" s="3">
        <v>19729</v>
      </c>
      <c r="D43" s="3">
        <v>11878.330487307725</v>
      </c>
      <c r="E43" s="3"/>
      <c r="F43" s="3"/>
      <c r="G43" s="3"/>
    </row>
    <row r="44" spans="2:10" ht="15" thickBot="1" x14ac:dyDescent="0.35"/>
    <row r="45" spans="2:10" x14ac:dyDescent="0.3">
      <c r="B45" s="2"/>
      <c r="C45" s="2" t="s">
        <v>56</v>
      </c>
      <c r="D45" s="2" t="s">
        <v>20</v>
      </c>
      <c r="E45" s="2" t="s">
        <v>57</v>
      </c>
      <c r="F45" s="2" t="s">
        <v>58</v>
      </c>
      <c r="G45" s="2" t="s">
        <v>59</v>
      </c>
      <c r="H45" s="2" t="s">
        <v>60</v>
      </c>
      <c r="I45" s="2" t="s">
        <v>61</v>
      </c>
      <c r="J45" s="2" t="s">
        <v>62</v>
      </c>
    </row>
    <row r="46" spans="2:10" x14ac:dyDescent="0.3">
      <c r="B46" t="s">
        <v>63</v>
      </c>
      <c r="C46">
        <v>-4.2432485080752613</v>
      </c>
      <c r="D46">
        <v>0.41788576430806268</v>
      </c>
      <c r="E46">
        <v>-10.154087242242515</v>
      </c>
      <c r="F46">
        <v>3.6440794359571496E-24</v>
      </c>
      <c r="G46">
        <v>-5.0623398473656094</v>
      </c>
      <c r="H46">
        <v>-3.4241571687849133</v>
      </c>
      <c r="I46">
        <v>-5.0623398473656094</v>
      </c>
      <c r="J46">
        <v>-3.4241571687849133</v>
      </c>
    </row>
    <row r="47" spans="2:10" x14ac:dyDescent="0.3">
      <c r="B47" t="s">
        <v>3</v>
      </c>
      <c r="C47">
        <v>1.1150906048609864E-3</v>
      </c>
      <c r="D47">
        <v>2.6067442983900263E-4</v>
      </c>
      <c r="E47">
        <v>4.2777137962848411</v>
      </c>
      <c r="F47">
        <v>1.8971195378165169E-5</v>
      </c>
      <c r="G47">
        <v>6.0414673911548134E-4</v>
      </c>
      <c r="H47">
        <v>1.6260344706064914E-3</v>
      </c>
      <c r="I47">
        <v>6.0414673911548134E-4</v>
      </c>
      <c r="J47">
        <v>1.6260344706064914E-3</v>
      </c>
    </row>
    <row r="48" spans="2:10" x14ac:dyDescent="0.3">
      <c r="B48" t="s">
        <v>4</v>
      </c>
      <c r="C48">
        <v>-4.2556903214045538E-2</v>
      </c>
      <c r="D48">
        <v>8.693928984883666E-3</v>
      </c>
      <c r="E48">
        <v>-4.8950138985538301</v>
      </c>
      <c r="F48">
        <v>9.9075763869823527E-7</v>
      </c>
      <c r="G48">
        <v>-5.9597737203005957E-2</v>
      </c>
      <c r="H48">
        <v>-2.5516069225085116E-2</v>
      </c>
      <c r="I48">
        <v>-5.9597737203005957E-2</v>
      </c>
      <c r="J48">
        <v>-2.5516069225085116E-2</v>
      </c>
    </row>
    <row r="49" spans="2:10" x14ac:dyDescent="0.3">
      <c r="B49" t="s">
        <v>5</v>
      </c>
      <c r="C49">
        <v>-8.2114926320193571E-2</v>
      </c>
      <c r="D49">
        <v>1.3251140361432484E-2</v>
      </c>
      <c r="E49">
        <v>-6.1968196004616711</v>
      </c>
      <c r="F49">
        <v>5.8758179435355234E-10</v>
      </c>
      <c r="G49">
        <v>-0.10808827892707659</v>
      </c>
      <c r="H49">
        <v>-5.6141573713310557E-2</v>
      </c>
      <c r="I49">
        <v>-0.10808827892707659</v>
      </c>
      <c r="J49">
        <v>-5.6141573713310557E-2</v>
      </c>
    </row>
    <row r="50" spans="2:10" x14ac:dyDescent="0.3">
      <c r="B50" t="s">
        <v>6</v>
      </c>
      <c r="C50">
        <v>-0.10678473913363255</v>
      </c>
      <c r="D50">
        <v>1.3870088892097725E-2</v>
      </c>
      <c r="E50">
        <v>-7.6989224773080984</v>
      </c>
      <c r="F50">
        <v>1.4367167257184507E-14</v>
      </c>
      <c r="G50">
        <v>-0.13397128305794137</v>
      </c>
      <c r="H50">
        <v>-7.9598195209323735E-2</v>
      </c>
      <c r="I50">
        <v>-0.13397128305794137</v>
      </c>
      <c r="J50">
        <v>-7.9598195209323735E-2</v>
      </c>
    </row>
    <row r="51" spans="2:10" x14ac:dyDescent="0.3">
      <c r="B51" t="s">
        <v>7</v>
      </c>
      <c r="C51">
        <v>-0.11154209719073345</v>
      </c>
      <c r="D51">
        <v>1.1316033070475335E-2</v>
      </c>
      <c r="E51">
        <v>-9.856996395826906</v>
      </c>
      <c r="F51">
        <v>7.2212619966236901E-23</v>
      </c>
      <c r="G51">
        <v>-0.13372247631538955</v>
      </c>
      <c r="H51">
        <v>-8.9361718066077345E-2</v>
      </c>
      <c r="I51">
        <v>-0.13372247631538955</v>
      </c>
      <c r="J51">
        <v>-8.9361718066077345E-2</v>
      </c>
    </row>
    <row r="52" spans="2:10" x14ac:dyDescent="0.3">
      <c r="B52" t="s">
        <v>8</v>
      </c>
      <c r="C52">
        <v>0.17054916669271245</v>
      </c>
      <c r="D52">
        <v>3.4570656690624667E-2</v>
      </c>
      <c r="E52">
        <v>4.9333505064416165</v>
      </c>
      <c r="F52">
        <v>8.1489380763455876E-7</v>
      </c>
      <c r="G52">
        <v>0.1027877641578421</v>
      </c>
      <c r="H52">
        <v>0.23831056922758279</v>
      </c>
      <c r="I52">
        <v>0.1027877641578421</v>
      </c>
      <c r="J52">
        <v>0.23831056922758279</v>
      </c>
    </row>
    <row r="53" spans="2:10" x14ac:dyDescent="0.3">
      <c r="B53" t="s">
        <v>9</v>
      </c>
      <c r="C53">
        <v>0.36462489549254795</v>
      </c>
      <c r="D53">
        <v>2.4283783213668846E-2</v>
      </c>
      <c r="E53">
        <v>15.015160211416648</v>
      </c>
      <c r="F53">
        <v>1.1139620300495597E-50</v>
      </c>
      <c r="G53">
        <v>0.31702663248769181</v>
      </c>
      <c r="H53">
        <v>0.4122231584974041</v>
      </c>
      <c r="I53">
        <v>0.31702663248769181</v>
      </c>
      <c r="J53">
        <v>0.4122231584974041</v>
      </c>
    </row>
    <row r="54" spans="2:10" x14ac:dyDescent="0.3">
      <c r="B54" t="s">
        <v>10</v>
      </c>
      <c r="C54">
        <v>-3.52368039904907E-2</v>
      </c>
      <c r="D54">
        <v>7.49157809357373E-3</v>
      </c>
      <c r="E54">
        <v>-4.7035222152615352</v>
      </c>
      <c r="F54">
        <v>2.5744414881758542E-6</v>
      </c>
      <c r="G54">
        <v>-4.9920928835528275E-2</v>
      </c>
      <c r="H54">
        <v>-2.0552679145453126E-2</v>
      </c>
      <c r="I54">
        <v>-4.9920928835528275E-2</v>
      </c>
      <c r="J54">
        <v>-2.0552679145453126E-2</v>
      </c>
    </row>
    <row r="55" spans="2:10" x14ac:dyDescent="0.3">
      <c r="B55" t="s">
        <v>11</v>
      </c>
      <c r="C55">
        <v>1.8955940473970399E-3</v>
      </c>
      <c r="D55">
        <v>1.46485387381436E-4</v>
      </c>
      <c r="E55">
        <v>12.940499262640222</v>
      </c>
      <c r="F55">
        <v>3.8029423169256212E-38</v>
      </c>
      <c r="G55">
        <v>1.608470334687186E-3</v>
      </c>
      <c r="H55">
        <v>2.1827177601068935E-3</v>
      </c>
      <c r="I55">
        <v>1.608470334687186E-3</v>
      </c>
      <c r="J55">
        <v>2.1827177601068935E-3</v>
      </c>
    </row>
    <row r="56" spans="2:10" x14ac:dyDescent="0.3">
      <c r="B56" t="s">
        <v>12</v>
      </c>
      <c r="C56">
        <v>4.6204301622216656E-2</v>
      </c>
      <c r="D56">
        <v>3.4932231149473665E-3</v>
      </c>
      <c r="E56">
        <v>13.226839540970126</v>
      </c>
      <c r="F56">
        <v>9.0736152437219981E-40</v>
      </c>
      <c r="G56">
        <v>3.9357289725556473E-2</v>
      </c>
      <c r="H56">
        <v>5.305131351887684E-2</v>
      </c>
      <c r="I56">
        <v>3.9357289725556473E-2</v>
      </c>
      <c r="J56">
        <v>5.305131351887684E-2</v>
      </c>
    </row>
    <row r="57" spans="2:10" x14ac:dyDescent="0.3">
      <c r="B57" t="s">
        <v>13</v>
      </c>
      <c r="C57">
        <v>-8.3240005372694145E-3</v>
      </c>
      <c r="D57">
        <v>2.9799245597338865E-3</v>
      </c>
      <c r="E57">
        <v>-2.7933594862591975</v>
      </c>
      <c r="F57">
        <v>5.2213990851484359E-3</v>
      </c>
      <c r="G57">
        <v>-1.4164903978089345E-2</v>
      </c>
      <c r="H57">
        <v>-2.4830970964494839E-3</v>
      </c>
      <c r="I57">
        <v>-1.4164903978089345E-2</v>
      </c>
      <c r="J57">
        <v>-2.4830970964494839E-3</v>
      </c>
    </row>
    <row r="58" spans="2:10" x14ac:dyDescent="0.3">
      <c r="B58" t="s">
        <v>14</v>
      </c>
      <c r="C58">
        <v>6.3505936514227132E-2</v>
      </c>
      <c r="D58">
        <v>4.6883848763137666E-3</v>
      </c>
      <c r="E58">
        <v>13.545376113438568</v>
      </c>
      <c r="F58">
        <v>1.2957395078267632E-41</v>
      </c>
      <c r="G58">
        <v>5.4316306774608927E-2</v>
      </c>
      <c r="H58">
        <v>7.2695566253845337E-2</v>
      </c>
      <c r="I58">
        <v>5.4316306774608927E-2</v>
      </c>
      <c r="J58">
        <v>7.2695566253845337E-2</v>
      </c>
    </row>
    <row r="59" spans="2:10" x14ac:dyDescent="0.3">
      <c r="B59" t="s">
        <v>15</v>
      </c>
      <c r="C59">
        <v>3.2706000431497267E-2</v>
      </c>
      <c r="D59">
        <v>2.3714023996238315E-2</v>
      </c>
      <c r="E59">
        <v>1.3791839139863113</v>
      </c>
      <c r="F59">
        <v>0.16785370294113353</v>
      </c>
      <c r="G59">
        <v>-1.3775486458118533E-2</v>
      </c>
      <c r="H59">
        <v>7.9187487321113068E-2</v>
      </c>
      <c r="I59">
        <v>-1.3775486458118533E-2</v>
      </c>
      <c r="J59">
        <v>7.9187487321113068E-2</v>
      </c>
    </row>
    <row r="60" spans="2:10" x14ac:dyDescent="0.3">
      <c r="B60" t="s">
        <v>16</v>
      </c>
      <c r="C60">
        <v>4.705313988847773E-2</v>
      </c>
      <c r="D60">
        <v>9.0552095226974685E-3</v>
      </c>
      <c r="E60">
        <v>5.1962508178895241</v>
      </c>
      <c r="F60">
        <v>2.0537347804023685E-7</v>
      </c>
      <c r="G60">
        <v>2.9304165577801796E-2</v>
      </c>
      <c r="H60">
        <v>6.480211419915366E-2</v>
      </c>
      <c r="I60">
        <v>2.9304165577801796E-2</v>
      </c>
      <c r="J60">
        <v>6.480211419915366E-2</v>
      </c>
    </row>
    <row r="61" spans="2:10" x14ac:dyDescent="0.3">
      <c r="B61" t="s">
        <v>17</v>
      </c>
      <c r="C61">
        <v>8.0113501727384975E-3</v>
      </c>
      <c r="D61">
        <v>5.1802958347036262E-3</v>
      </c>
      <c r="E61">
        <v>1.5465043751110097</v>
      </c>
      <c r="F61">
        <v>0.12199885679766567</v>
      </c>
      <c r="G61">
        <v>-2.1424665292815136E-3</v>
      </c>
      <c r="H61">
        <v>1.8165166874758509E-2</v>
      </c>
      <c r="I61">
        <v>-2.1424665292815136E-3</v>
      </c>
      <c r="J61">
        <v>1.8165166874758509E-2</v>
      </c>
    </row>
    <row r="62" spans="2:10" ht="15" thickBot="1" x14ac:dyDescent="0.35">
      <c r="B62" s="3" t="s">
        <v>18</v>
      </c>
      <c r="C62" s="3">
        <v>0.57872560990891231</v>
      </c>
      <c r="D62" s="3">
        <v>6.5997256630358119E-3</v>
      </c>
      <c r="E62" s="3">
        <v>87.689343384419402</v>
      </c>
      <c r="F62" s="3">
        <v>0</v>
      </c>
      <c r="G62" s="3">
        <v>0.56578959103965076</v>
      </c>
      <c r="H62" s="3">
        <v>0.59166162877817385</v>
      </c>
      <c r="I62" s="3">
        <v>0.56578959103965076</v>
      </c>
      <c r="J62" s="3">
        <v>0.59166162877817385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Summary Report</vt:lpstr>
      <vt:lpstr>Data Descriptors</vt:lpstr>
      <vt:lpstr>Graphs and Charts</vt:lpstr>
      <vt:lpstr>Statistical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2017-03-21T19:15:09Z</dcterms:created>
  <dcterms:modified xsi:type="dcterms:W3CDTF">2026-07-11T13:40:48Z</dcterms:modified>
</cp:coreProperties>
</file>